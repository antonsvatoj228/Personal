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йс" sheetId="1" state="visible" r:id="rId3"/>
    <sheet name="Керування прайсом" sheetId="2" state="visible" r:id="rId4"/>
    <sheet name="Контроль і порівняння" sheetId="3" state="visible" r:id="rId5"/>
    <sheet name="Калькулятор" sheetId="4" state="visible" r:id="rId6"/>
    <sheet name="Моделювання" sheetId="5" state="visible" r:id="rId7"/>
    <sheet name="Матриця категорій" sheetId="6" state="visible" r:id="rId8"/>
    <sheet name="Базові ціни" sheetId="7" state="visible" r:id="rId9"/>
    <sheet name="Довідник категорій" sheetId="8" state="visible" r:id="rId10"/>
    <sheet name="Додаткові послуги" sheetId="9" state="visible" r:id="rId11"/>
    <sheet name="Журнал змін" sheetId="10" state="visible" r:id="rId12"/>
  </sheets>
  <definedNames>
    <definedName function="false" hidden="false" localSheetId="3" name="_xlnm.Print_Area" vbProcedure="false">Калькулятор!$A$1:$F$29</definedName>
    <definedName function="false" hidden="false" localSheetId="2" name="_xlnm.Print_Area" vbProcedure="false">'Контроль і порівняння'!$A$1:$I$24</definedName>
    <definedName function="false" hidden="false" localSheetId="2" name="_xlnm.Print_Titles" vbProcedure="false">'Контроль і порівняння'!$1:$6</definedName>
    <definedName function="false" hidden="false" localSheetId="0" name="_xlnm.Print_Area" vbProcedure="false">Прайс!$A$1:$T$26</definedName>
    <definedName function="false" hidden="false" localSheetId="0" name="_xlnm.Print_Titles" vbProcedure="false">Прайс!$1:$8</definedName>
    <definedName function="false" hidden="false" name="SPA_РОЛЬ" vbProcedure="false">'Керування прайсом'!$H$61:$H$62</definedName>
    <definedName function="false" hidden="false" name="SPA_ЦІНИ" vbProcedure="false">'Керування прайсом'!$I$61:$DX$62</definedName>
    <definedName function="false" hidden="false" name="БАЗА_RO" vbProcedure="false">'Керування прайсом'!$I$12:$DX$15</definedName>
    <definedName function="false" hidden="false" name="БАЗА_КАТ" vbProcedure="false">'Керування прайсом'!$H$12:$H$15</definedName>
    <definedName function="false" hidden="false" name="ДОВ_BOOKING" vbProcedure="false">'Довідник категорій'!$B$5:$B$22</definedName>
    <definedName function="false" hidden="false" name="ДОВ_SPA" vbProcedure="false">'Довідник категорій'!$I$5:$I$22</definedName>
    <definedName function="false" hidden="false" name="ДОВ_ВКЛ" vbProcedure="false">'Довідник категорій'!$F$5:$F$22</definedName>
    <definedName function="false" hidden="false" name="ДОВ_ГРУПА" vbProcedure="false">'Довідник категорій'!$C$5:$C$22</definedName>
    <definedName function="false" hidden="false" name="ДОВ_МІН" vbProcedure="false">'Довідник категорій'!$E$5:$E$22</definedName>
    <definedName function="false" hidden="false" name="ДОВ_МАКС" vbProcedure="false">'Довідник категорій'!$G$5:$G$22</definedName>
    <definedName function="false" hidden="false" name="ДОВ_ОПОРА" vbProcedure="false">'Довідник категорій'!$D$5:$D$22</definedName>
    <definedName function="false" hidden="false" name="ДОВ_РОЛЬ" vbProcedure="false">'Довідник категорій'!$H$5:$H$22</definedName>
    <definedName function="false" hidden="false" name="ЕТАЛОН_ПЛ" vbProcedure="false">'Керування прайсом'!$G$10</definedName>
    <definedName function="false" hidden="false" name="ЗНИЖКА_BBSPA" vbProcedure="false">'Керування прайсом'!$G$8</definedName>
    <definedName function="false" hidden="false" name="КАТЕГОРІЇ" vbProcedure="false">'Довідник категорій'!$A$5:$A$22</definedName>
    <definedName function="false" hidden="false" name="КРОК_ГОСТЯ" vbProcedure="false">'Керування прайсом'!$G$6</definedName>
    <definedName function="false" hidden="false" name="МНОЖ_КАТ" vbProcedure="false">'Керування прайсом'!$H$33:$H$50</definedName>
    <definedName function="false" hidden="false" name="МНОЖНИКИ" vbProcedure="false">'Керування прайсом'!$I$33:$DX$50</definedName>
    <definedName function="false" hidden="false" name="ОКРУГЛЕННЯ" vbProcedure="false">'Керування прайсом'!$G$7</definedName>
    <definedName function="false" hidden="false" name="ПАКЕТИ_КЛЮЧ" vbProcedure="false">'Керування прайсом'!$H$54:$H$57</definedName>
    <definedName function="false" hidden="false" name="ПАКЕТИ_ЦІНИ" vbProcedure="false">'Керування прайсом'!$I$54:$DX$57</definedName>
    <definedName function="false" hidden="false" name="ПЕРЕМИКАЧІ" vbProcedure="false">'Керування прайсом'!$I$66:$DX$68</definedName>
    <definedName function="false" hidden="false" name="ПЕРШИЙ_ВИХІДНИЙ" vbProcedure="false">'Керування прайсом'!$G$11</definedName>
    <definedName function="false" hidden="false" name="ПЛ_ДАТА_З" vbProcedure="false">'Керування прайсом'!$B$6:$B$65</definedName>
    <definedName function="false" hidden="false" name="ПЛ_ДАТА_ПО" vbProcedure="false">'Керування прайсом'!$C$6:$C$65</definedName>
    <definedName function="false" hidden="false" name="ПЛ_РЯДОК" vbProcedure="false">'Керування прайсом'!$I$2:$DX$2</definedName>
    <definedName function="false" hidden="false" name="ПЛ_СТАТУС" vbProcedure="false">'Керування прайсом'!$D$6:$D$65</definedName>
    <definedName function="false" hidden="false" name="ПРАЙС_ЛИСТИ" vbProcedure="false">'Керування прайсом'!$A$6:$A$65</definedName>
    <definedName function="false" hidden="false" name="СПИСОК_ДНІВ" vbProcedure="false">'Керування прайсом'!$F$32:$F$33</definedName>
    <definedName function="false" hidden="false" name="СПИСОК_ПАКЕТІВ" vbProcedure="false">'Керування прайсом'!$F$25:$F$29</definedName>
    <definedName function="false" hidden="false" name="СПИСОК_СТАТУСІВ" vbProcedure="false">'Керування прайсом'!$F$36:$F$38</definedName>
    <definedName function="false" hidden="false" name="ТАРИФИ_ЗНИЖКИ" vbProcedure="false">'Керування прайсом'!$G$14:$G$21</definedName>
    <definedName function="false" hidden="false" name="ТАРИФИ_НАЗВИ" vbProcedure="false">'Керування прайсом'!$F$14:$F$21</definedName>
    <definedName function="false" hidden="false" name="ТВАРИНИ" vbProcedure="false">'Керування прайсом'!$G$9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<sst xmlns="http://schemas.openxmlformats.org/spreadsheetml/2006/main" count="1350" uniqueCount="306">
  <si>
    <t xml:space="preserve">ТЕХНІЧНІ ДАНІ — НЕ РЕДАГУВАТИ</t>
  </si>
  <si>
    <t xml:space="preserve">Активний прайс-лист</t>
  </si>
  <si>
    <t xml:space="preserve">Зима ВС 2026</t>
  </si>
  <si>
    <t xml:space="preserve">колонка прайс-листа</t>
  </si>
  <si>
    <t xml:space="preserve">Тариф (знижка)</t>
  </si>
  <si>
    <t xml:space="preserve">Раннє бронювання -10%</t>
  </si>
  <si>
    <t xml:space="preserve">знижка тарифу</t>
  </si>
  <si>
    <t xml:space="preserve">Пакет</t>
  </si>
  <si>
    <t xml:space="preserve">RO</t>
  </si>
  <si>
    <t xml:space="preserve">знижка на проживання</t>
  </si>
  <si>
    <t xml:space="preserve">перемикач: пакет</t>
  </si>
  <si>
    <t xml:space="preserve">БУДНІ — кількість гостей</t>
  </si>
  <si>
    <t xml:space="preserve">ВИХІДНІ — кількість гостей</t>
  </si>
  <si>
    <t xml:space="preserve">перемикач: SPA</t>
  </si>
  <si>
    <t xml:space="preserve">Категорія</t>
  </si>
  <si>
    <t xml:space="preserve">Назва на Booking</t>
  </si>
  <si>
    <t xml:space="preserve">Група</t>
  </si>
  <si>
    <t xml:space="preserve">потрібен пакет</t>
  </si>
  <si>
    <t xml:space="preserve">потрібен SPA</t>
  </si>
  <si>
    <t xml:space="preserve">ключ пакета</t>
  </si>
  <si>
    <t xml:space="preserve">період (текст)</t>
  </si>
  <si>
    <t xml:space="preserve">рядок прайс-листа</t>
  </si>
  <si>
    <t xml:space="preserve">заповнених баз RO</t>
  </si>
  <si>
    <t xml:space="preserve">КЕРУВАННЯ ПРАЙСОМ — PHOENIX RELAX PARK BUKOVEL</t>
  </si>
  <si>
    <t xml:space="preserve">Три кроки: 1) додайте прайс-лист у наступному вільному рядку зліва; 2) заповніть його блок праворуч; 3) перевірте результат у листі «Прайс». Жовті клітинки — ввід, решта рахується автоматично.</t>
  </si>
  <si>
    <t xml:space="preserve">технічний рядок — не редагувати</t>
  </si>
  <si>
    <t xml:space="preserve">1. ПРАЙС-ЛИСТИ / ПЕРІОДИ</t>
  </si>
  <si>
    <t xml:space="preserve">2. ГЛОБАЛЬНІ ПАРАМЕТРИ</t>
  </si>
  <si>
    <t xml:space="preserve">Прайс-лист</t>
  </si>
  <si>
    <t xml:space="preserve">Дата з</t>
  </si>
  <si>
    <t xml:space="preserve">Дата по</t>
  </si>
  <si>
    <t xml:space="preserve">Статус</t>
  </si>
  <si>
    <t xml:space="preserve">Примітка / оновлено</t>
  </si>
  <si>
    <t xml:space="preserve">Активний прайс-лист (показується у «Прайс»)</t>
  </si>
  <si>
    <t xml:space="preserve">ПРАЙС-ЛИСТ</t>
  </si>
  <si>
    <t xml:space="preserve">Осінь 2025</t>
  </si>
  <si>
    <t xml:space="preserve">Чернетка</t>
  </si>
  <si>
    <t xml:space="preserve">Крок за 3-го й кожного наступного гостя, грн</t>
  </si>
  <si>
    <t xml:space="preserve">Період дії</t>
  </si>
  <si>
    <t xml:space="preserve">Осінь 2026 База</t>
  </si>
  <si>
    <t xml:space="preserve">Крок округлення, грн</t>
  </si>
  <si>
    <t xml:space="preserve">Осінь 2026 (00-10%)</t>
  </si>
  <si>
    <t xml:space="preserve">Активний</t>
  </si>
  <si>
    <t xml:space="preserve">Знижка на проживання для пакета BBSPA</t>
  </si>
  <si>
    <t xml:space="preserve">Оновлено</t>
  </si>
  <si>
    <t xml:space="preserve">Осінь 2026 (Канікули) 0-10%</t>
  </si>
  <si>
    <t xml:space="preserve">Проживання з тваринами, грн / ніч</t>
  </si>
  <si>
    <t xml:space="preserve">Осінь 2026 (10-20%)</t>
  </si>
  <si>
    <t xml:space="preserve">Еталонний прайс-лист для Δ (варіант B)</t>
  </si>
  <si>
    <t xml:space="preserve">Різдво 2026</t>
  </si>
  <si>
    <t xml:space="preserve">БАЗОВІ RO-ЦІНИ — 1–2 ОСОБИ</t>
  </si>
  <si>
    <t xml:space="preserve">Осінь 2026 (Канікули) 10%-20%</t>
  </si>
  <si>
    <t xml:space="preserve">Вихідні починаються з дня тижня (1=Пн … 7=Нд)</t>
  </si>
  <si>
    <t xml:space="preserve">Базова категорія</t>
  </si>
  <si>
    <t xml:space="preserve">RO 1–2 ос.</t>
  </si>
  <si>
    <t xml:space="preserve">Вихідні 1–2
(авто)</t>
  </si>
  <si>
    <t xml:space="preserve">Осінь 2026 (20-30%)</t>
  </si>
  <si>
    <t xml:space="preserve">3. ТАРИФИ — ЗНИЖКИ НА ПРОЖИВАННЯ</t>
  </si>
  <si>
    <t xml:space="preserve">Міні-котедж</t>
  </si>
  <si>
    <t xml:space="preserve">Осінь 2026 (Канікули) 20-30%</t>
  </si>
  <si>
    <t xml:space="preserve">Тариф</t>
  </si>
  <si>
    <t xml:space="preserve">Знижка</t>
  </si>
  <si>
    <t xml:space="preserve">Котедж комфорт класу</t>
  </si>
  <si>
    <t xml:space="preserve">Осінь 2026 (30-40%)</t>
  </si>
  <si>
    <t xml:space="preserve">Rack Rate</t>
  </si>
  <si>
    <t xml:space="preserve">Апартаменти стандартні 20 м²</t>
  </si>
  <si>
    <t xml:space="preserve">Осінь 2026 (Канікули) 30-40%</t>
  </si>
  <si>
    <t xml:space="preserve">Апартаменти 1-й поверх 45 м²</t>
  </si>
  <si>
    <t xml:space="preserve">Осінь 2026 (40-50%)</t>
  </si>
  <si>
    <t xml:space="preserve">NON REF -20%</t>
  </si>
  <si>
    <t xml:space="preserve">Осінь 2026 (Канікули) 40-50%</t>
  </si>
  <si>
    <t xml:space="preserve">HAPPY -15%</t>
  </si>
  <si>
    <t xml:space="preserve">Δ МІЖ ОПОРНИМИ КАТЕГОРІЯМИ  (варіант A)</t>
  </si>
  <si>
    <t xml:space="preserve">Осінь 2026 (50-60%)</t>
  </si>
  <si>
    <t xml:space="preserve">Військовий -30%</t>
  </si>
  <si>
    <t xml:space="preserve">Порівняння</t>
  </si>
  <si>
    <t xml:space="preserve">Δ грн</t>
  </si>
  <si>
    <t xml:space="preserve">Δ %</t>
  </si>
  <si>
    <t xml:space="preserve">Осінь 2026 (Канікули) 50-60%</t>
  </si>
  <si>
    <t xml:space="preserve">Інвестор -70%</t>
  </si>
  <si>
    <t xml:space="preserve">Котедж комфорт класу  ↔  Міні-котедж</t>
  </si>
  <si>
    <t xml:space="preserve">Промокод </t>
  </si>
  <si>
    <t xml:space="preserve">Апартаменти стандартні 20 м²  ↔  Міні-котедж</t>
  </si>
  <si>
    <t xml:space="preserve">Апартаменти 1-й поверх 45 м²  ↔  Апартаменти стандартні 20 м²</t>
  </si>
  <si>
    <t xml:space="preserve">4. ДОВІДНИКИ ДЛЯ ВИПАДАЮЧИХ СПИСКІВ</t>
  </si>
  <si>
    <t xml:space="preserve">Δ ДО ЕТАЛОННОГО ПРАЙС-ЛИСТА  (варіант B)</t>
  </si>
  <si>
    <t xml:space="preserve">Пакети</t>
  </si>
  <si>
    <t xml:space="preserve">Зима НЗ 2025</t>
  </si>
  <si>
    <t xml:space="preserve">BB</t>
  </si>
  <si>
    <t xml:space="preserve">Зима ВС 2025</t>
  </si>
  <si>
    <t xml:space="preserve">BBSPA</t>
  </si>
  <si>
    <t xml:space="preserve">Різдво 2025</t>
  </si>
  <si>
    <t xml:space="preserve">ROSPA</t>
  </si>
  <si>
    <t xml:space="preserve">Новий рік 2025</t>
  </si>
  <si>
    <t xml:space="preserve">ROSPABB</t>
  </si>
  <si>
    <t xml:space="preserve">Зима НЗ 2026</t>
  </si>
  <si>
    <t xml:space="preserve">Типи дня</t>
  </si>
  <si>
    <t xml:space="preserve">МАТРИЦЯ КАТЕГОРІЙ — МНОЖНИКИ</t>
  </si>
  <si>
    <t xml:space="preserve">Будні</t>
  </si>
  <si>
    <t xml:space="preserve">Множник ціни</t>
  </si>
  <si>
    <t xml:space="preserve">Множник вихідних</t>
  </si>
  <si>
    <t xml:space="preserve">Новий рік 2026</t>
  </si>
  <si>
    <t xml:space="preserve">Вихідні</t>
  </si>
  <si>
    <t xml:space="preserve">Міні-котедж East Hill</t>
  </si>
  <si>
    <t xml:space="preserve">Статуси</t>
  </si>
  <si>
    <t xml:space="preserve">Шале преміум</t>
  </si>
  <si>
    <t xml:space="preserve">Шале преміум збільшене</t>
  </si>
  <si>
    <t xml:space="preserve">Архів</t>
  </si>
  <si>
    <t xml:space="preserve">Шале преміум збільшене East Hill</t>
  </si>
  <si>
    <t xml:space="preserve">Президентське шале</t>
  </si>
  <si>
    <t xml:space="preserve">Апартаменти покращені 28 м²</t>
  </si>
  <si>
    <t xml:space="preserve">Апартаменти Люкс 25 м²</t>
  </si>
  <si>
    <t xml:space="preserve">Люкс зі спальнею та вітальнею</t>
  </si>
  <si>
    <t xml:space="preserve">Люкс з видом на гори (з 2-ма спальнями) 61 м²</t>
  </si>
  <si>
    <t xml:space="preserve">Апартаменти 2-кімнатні 1-й поверх</t>
  </si>
  <si>
    <t xml:space="preserve">Апартаменти з ванною 2-й поверх</t>
  </si>
  <si>
    <t xml:space="preserve">Апартаменти 2-х місні стандартні</t>
  </si>
  <si>
    <t xml:space="preserve">Апартаменти 3-й поверх</t>
  </si>
  <si>
    <t xml:space="preserve">Апартаменти президентські</t>
  </si>
  <si>
    <t xml:space="preserve">ПАКЕТИ BB / BBSPA — ЗА 1 ГОСТЯ</t>
  </si>
  <si>
    <t xml:space="preserve">Пакет / тип дня</t>
  </si>
  <si>
    <t xml:space="preserve">Дорослий, грн</t>
  </si>
  <si>
    <t xml:space="preserve">Дитина, грн</t>
  </si>
  <si>
    <t xml:space="preserve">BB|Будні</t>
  </si>
  <si>
    <t xml:space="preserve">BB|Вихідні</t>
  </si>
  <si>
    <t xml:space="preserve">BBSPA|Будні</t>
  </si>
  <si>
    <t xml:space="preserve">BBSPA|Вихідні</t>
  </si>
  <si>
    <t xml:space="preserve">ФІКСОВАНИЙ SPA-ВІЗИТ ДЛЯ ROSPA / ROSPABB — 1 ОД. НА ОБ'ЄКТ</t>
  </si>
  <si>
    <t xml:space="preserve">SPA-рівень / категорії</t>
  </si>
  <si>
    <t xml:space="preserve">Фіксовано, грн</t>
  </si>
  <si>
    <t xml:space="preserve">—</t>
  </si>
  <si>
    <t xml:space="preserve">Малий об'єкт</t>
  </si>
  <si>
    <t xml:space="preserve">Великий котедж / шале</t>
  </si>
  <si>
    <t xml:space="preserve">ПЕРЕМИКАЧІ ЗНИЖКИ   (1 = знижка тарифу діє, 0 = не діє)</t>
  </si>
  <si>
    <t xml:space="preserve">На що діє знижка тарифу</t>
  </si>
  <si>
    <t xml:space="preserve">1 / 0</t>
  </si>
  <si>
    <t xml:space="preserve">Знижка на пакет BB (сніданки)</t>
  </si>
  <si>
    <t xml:space="preserve">Знижка на пакет BBSPA</t>
  </si>
  <si>
    <t xml:space="preserve">Знижка на фіксований SPA-візит (ROSPA / ROSPABB)</t>
  </si>
  <si>
    <t xml:space="preserve">Логіка: RO-ціна задається лише для 4 опорних категорій, решта формуються множниками. Крок округлення (G7) застосовується до базової ціни за 1–2 особи після знижки; крок за 3-го й наступних гостей (G6) додається точно, помножений на знижку, і не округлюється. BB / BBSPA додають пакет за кожного гостя, ROSPA — один SPA-візит на об'єкт, ROSPABB — сніданки за кількістю гостей + один SPA-візит.</t>
  </si>
  <si>
    <t xml:space="preserve">ПОРІВНЯННЯ ТА КОНТРОЛЬ ПРАЙС-ЛИСТІВ — BUKOVEL</t>
  </si>
  <si>
    <t xml:space="preserve">K: службові</t>
  </si>
  <si>
    <t xml:space="preserve">L: службові</t>
  </si>
  <si>
    <t xml:space="preserve">Прайс-лист 1</t>
  </si>
  <si>
    <t xml:space="preserve">Тариф 1</t>
  </si>
  <si>
    <t xml:space="preserve">Прайс-лист 2</t>
  </si>
  <si>
    <t xml:space="preserve">Тариф 2</t>
  </si>
  <si>
    <t xml:space="preserve">КОНТРОЛЬ АКТИВНОГО ПРАЙС-ЛИСТА</t>
  </si>
  <si>
    <t xml:space="preserve">колонка активного прайсу</t>
  </si>
  <si>
    <t xml:space="preserve">Дорослих</t>
  </si>
  <si>
    <t xml:space="preserve">Дітей</t>
  </si>
  <si>
    <t xml:space="preserve">Незаповнені базові RO-ціни</t>
  </si>
  <si>
    <t xml:space="preserve">Порівняння показує ціну за одну ніч без тварин — для буднього і вихідного дня одночасно. Базові (опорні) категорії виділені червоним: саме вони задають ціну решті через множники. Значення поза місткістю категорії не показуються.</t>
  </si>
  <si>
    <t xml:space="preserve">Незаповнені множники</t>
  </si>
  <si>
    <t xml:space="preserve">Прайс 1
будні</t>
  </si>
  <si>
    <t xml:space="preserve">Прайс 1
вихідні</t>
  </si>
  <si>
    <t xml:space="preserve">Прайс 2
будні</t>
  </si>
  <si>
    <t xml:space="preserve">Прайс 2
вихідні</t>
  </si>
  <si>
    <t xml:space="preserve">Δ грн
будні</t>
  </si>
  <si>
    <t xml:space="preserve">Δ грн
вихідні</t>
  </si>
  <si>
    <t xml:space="preserve">Δ %
будні</t>
  </si>
  <si>
    <t xml:space="preserve">Δ %
вихідні</t>
  </si>
  <si>
    <t xml:space="preserve">Незаповнені пакети BB</t>
  </si>
  <si>
    <t xml:space="preserve">Незаповнений фіксований SPA-візит</t>
  </si>
  <si>
    <t xml:space="preserve">Дублікати назв прайс-листів</t>
  </si>
  <si>
    <t xml:space="preserve">Пакет BBSPA заповнено?</t>
  </si>
  <si>
    <t xml:space="preserve">Прайс-листів у моделі</t>
  </si>
  <si>
    <t xml:space="preserve">Категорій у моделі</t>
  </si>
  <si>
    <t xml:space="preserve">Крок за 3-го гостя, грн</t>
  </si>
  <si>
    <t xml:space="preserve">BBSPA не входить до чек-листа: пакет може бути свідомо не задіяний у сезоні. Його стан показано окремим рядком вище.</t>
  </si>
  <si>
    <t xml:space="preserve">КАЛЬКУЛЯТОР ВАРТОСТІ БРОНЮВАННЯ — BUKOVEL</t>
  </si>
  <si>
    <t xml:space="preserve">Заповнюйте лише жовті клітинки. Калькулятор рахує тією самою формулою, що й лист «Прайс» (одне округлення в кінці), але додатково розділяє дорослих і дітей. Поле «Дата заїзду» необовʼязкове — воно лише підказує прайс-лист і тип дня.</t>
  </si>
  <si>
    <t xml:space="preserve">ВХІДНІ ПАРАМЕТРИ</t>
  </si>
  <si>
    <t xml:space="preserve">РОЗРАХУНОК</t>
  </si>
  <si>
    <t xml:space="preserve">Усього гостей</t>
  </si>
  <si>
    <t xml:space="preserve">Мін. гостей</t>
  </si>
  <si>
    <t xml:space="preserve">Тип дня</t>
  </si>
  <si>
    <t xml:space="preserve">Включено в базову ціну</t>
  </si>
  <si>
    <t xml:space="preserve">Макс. гостей</t>
  </si>
  <si>
    <t xml:space="preserve">RO будні 1–2, грн (без округлення)</t>
  </si>
  <si>
    <t xml:space="preserve">Кількість тварин</t>
  </si>
  <si>
    <t xml:space="preserve">Кількість ночей</t>
  </si>
  <si>
    <t xml:space="preserve">Додаткових гостей (понад включених)</t>
  </si>
  <si>
    <t xml:space="preserve">Дата заїзду (необовʼязково)</t>
  </si>
  <si>
    <t xml:space="preserve">Знижка на проживання</t>
  </si>
  <si>
    <t xml:space="preserve">Перемикач: знижка на пакет</t>
  </si>
  <si>
    <t xml:space="preserve">Перемикач: знижка на SPA</t>
  </si>
  <si>
    <t xml:space="preserve">Пакет, дорослий, грн</t>
  </si>
  <si>
    <t xml:space="preserve">Пакет, дитина, грн</t>
  </si>
  <si>
    <t xml:space="preserve">Фіксований SPA-візит, грн</t>
  </si>
  <si>
    <t xml:space="preserve">Проживання з тваринами, грн</t>
  </si>
  <si>
    <t xml:space="preserve">Проживання 1–2 ос. до знижки, грн</t>
  </si>
  <si>
    <t xml:space="preserve">ЦІНА ЗА НІЧ, грн</t>
  </si>
  <si>
    <t xml:space="preserve">ВАРТІСТЬ ПРОЖИВАННЯ, грн</t>
  </si>
  <si>
    <t xml:space="preserve">ПІДКАЗКА ЗА ДАТОЮ ЗАЇЗДУ</t>
  </si>
  <si>
    <t xml:space="preserve">Прайс-лист, що покриває дату</t>
  </si>
  <si>
    <t xml:space="preserve">Тип дня за датою</t>
  </si>
  <si>
    <t xml:space="preserve">Підказка не змінює розрахунок — прайс-лист і тип дня обираються вручну вище.</t>
  </si>
  <si>
    <t xml:space="preserve">МОДЕЛЮВАННЯ ЦІН — ДВА СЦЕНАРІЇ У ПОРІВНЯННІ</t>
  </si>
  <si>
    <t xml:space="preserve">ТЕХНІЧНІ ДАНІ</t>
  </si>
  <si>
    <t xml:space="preserve">Прайс-лист-основа</t>
  </si>
  <si>
    <t xml:space="preserve">Жовті колонки — ввід множників. Сценарії нічого не змінюють у діючому прайсі: щоб застосувати сценарій, скопіюйте його множники у блок відповідного прайс-листа на листі «Керування прайсом». Ціни рахуються для RO 1–2 особи — це чистий важіль сходинки між категоріями.</t>
  </si>
  <si>
    <t xml:space="preserve">ПОТОЧНО</t>
  </si>
  <si>
    <t xml:space="preserve">СЦЕНАРІЙ 1</t>
  </si>
  <si>
    <t xml:space="preserve">СЦЕНАРІЙ 2</t>
  </si>
  <si>
    <t xml:space="preserve">СЦЕНАРІЙ 2 vs 1</t>
  </si>
  <si>
    <t xml:space="preserve">Опорна базова</t>
  </si>
  <si>
    <t xml:space="preserve">RO база, грн</t>
  </si>
  <si>
    <t xml:space="preserve">Множник</t>
  </si>
  <si>
    <t xml:space="preserve">Множник вих.</t>
  </si>
  <si>
    <t xml:space="preserve">Будні, грн</t>
  </si>
  <si>
    <t xml:space="preserve">Вихідні, грн</t>
  </si>
  <si>
    <t xml:space="preserve">Δ грн буд.</t>
  </si>
  <si>
    <t xml:space="preserve">Δ % буд.</t>
  </si>
  <si>
    <t xml:space="preserve">ПІДСУМОК — середня зміна до поточного прайсу</t>
  </si>
  <si>
    <t xml:space="preserve">МАТРИЦЯ КАТЕГОРІЙ — ПЕРЕГЛЯД АКТИВНОГО ПРАЙСУ</t>
  </si>
  <si>
    <t xml:space="preserve">Лист лише показує результат — редагування множників і цін виконується на «Керування прайсом», моделювання — на листі «Моделювання». Вихідні 1–2 ос. = RO будні × множник вихідних; з 3-го гостя у прайсі додається фіксований крок без множника.</t>
  </si>
  <si>
    <t xml:space="preserve">Опорна базова категорія</t>
  </si>
  <si>
    <t xml:space="preserve">RO будні 1–2, грн</t>
  </si>
  <si>
    <t xml:space="preserve">RO вихідні 1–2, грн</t>
  </si>
  <si>
    <t xml:space="preserve">Δ грн до попередньої</t>
  </si>
  <si>
    <t xml:space="preserve">Δ грн буд.→вих.</t>
  </si>
  <si>
    <t xml:space="preserve">БАЗОВІ ЦІНИ — ПЕРЕГЛЯД АКТИВНОГО ПРАЙСУ</t>
  </si>
  <si>
    <t xml:space="preserve">Чотири опорні категорії, з яких множниками формуються всі інші. Редагування — на «Керування прайсом».</t>
  </si>
  <si>
    <t xml:space="preserve">RO 1–2, грн</t>
  </si>
  <si>
    <t xml:space="preserve">Вихідні 1–2, грн</t>
  </si>
  <si>
    <t xml:space="preserve">ДОВІДНИК КАТЕГОРІЙ — РЕДАГУЙТЕ ЛИШЕ ПРИ ДОДАВАННІ / ЗМІНІ КАТЕГОРІЇ</t>
  </si>
  <si>
    <t xml:space="preserve">У щоденній роботі цей лист не редагують. Він визначає місткість, опорну базову категорію та SPA-роль — саме з нього формули беруть правила. Зміна «Макс. гостей» одразу прибирає або додає варіант розміщення в листах «Прайс», «Калькулятор» і «Контроль і порівняння».</t>
  </si>
  <si>
    <t xml:space="preserve">Включено в базову</t>
  </si>
  <si>
    <t xml:space="preserve">Роль</t>
  </si>
  <si>
    <t xml:space="preserve">SPA-візит: 1 од. / об'єкт</t>
  </si>
  <si>
    <t xml:space="preserve">Віла з 1 спальнею 45 м²</t>
  </si>
  <si>
    <t xml:space="preserve">Котеджі 1 спальня</t>
  </si>
  <si>
    <t xml:space="preserve">Базова</t>
  </si>
  <si>
    <t xml:space="preserve">За матрицею</t>
  </si>
  <si>
    <t xml:space="preserve">Стандартна віла 96 м²</t>
  </si>
  <si>
    <t xml:space="preserve">Котеджі 3 спальні</t>
  </si>
  <si>
    <t xml:space="preserve">Віла з 3 спальнями 96 м²</t>
  </si>
  <si>
    <t xml:space="preserve">Шале з 3 спальнями 112 м²</t>
  </si>
  <si>
    <t xml:space="preserve">Шале Люкс</t>
  </si>
  <si>
    <t xml:space="preserve">Apartments A</t>
  </si>
  <si>
    <t xml:space="preserve">Стандартний двомісний люкс 52 м²</t>
  </si>
  <si>
    <t xml:space="preserve">Apartments B</t>
  </si>
  <si>
    <t xml:space="preserve">Апартаменти Делюкс 40 м²</t>
  </si>
  <si>
    <t xml:space="preserve">Апартаменти з балконом 45 м²</t>
  </si>
  <si>
    <t xml:space="preserve">Апартаменти з балконом 40 м²</t>
  </si>
  <si>
    <t xml:space="preserve">Апартаменти з видом на гори 50 м²</t>
  </si>
  <si>
    <t xml:space="preserve">Дворівневі апартаменти 60 м²</t>
  </si>
  <si>
    <t xml:space="preserve">ДОДАТКОВІ ПОСЛУГИ — ІНФОРМАЦІЙНО</t>
  </si>
  <si>
    <t xml:space="preserve">Цей лист НЕ бере участі в розрахунку прайсу. Ціни сніданків і SPA, які реально рахує система, задаються на листі «Керування прайсом» у блоках «ПАКЕТИ BB / BBSPA» та «ФІКСОВАНИЙ SPA-ВІЗИТ». Тут — довідкові умови продажу та взаєморозрахунків.</t>
  </si>
  <si>
    <t xml:space="preserve">*Продаж від готелю </t>
  </si>
  <si>
    <t xml:space="preserve">- продаж, від готелю по тарифах BB/ BBSPA</t>
  </si>
  <si>
    <t xml:space="preserve">**Купівля</t>
  </si>
  <si>
    <t xml:space="preserve">- ціна при взаєморозрахунку між готель - субєкт </t>
  </si>
  <si>
    <t xml:space="preserve">*Стадартна вартість</t>
  </si>
  <si>
    <t xml:space="preserve">- ціна за якою здійнює продаж безпосередньо ресторан</t>
  </si>
  <si>
    <t xml:space="preserve">Податкове навантаження****</t>
  </si>
  <si>
    <t xml:space="preserve">-  сума або % податків, яка лягає на готель при взаєморозрахунку</t>
  </si>
  <si>
    <t xml:space="preserve">Буковель</t>
  </si>
  <si>
    <t xml:space="preserve">Додаткові послуги Весна</t>
  </si>
  <si>
    <t xml:space="preserve">Назва послуги </t>
  </si>
  <si>
    <t xml:space="preserve">Стандартна вартість</t>
  </si>
  <si>
    <t xml:space="preserve">Продаж від готелю**</t>
  </si>
  <si>
    <t xml:space="preserve">Купівля ***</t>
  </si>
  <si>
    <t xml:space="preserve">Податкове навантаження**** </t>
  </si>
  <si>
    <t xml:space="preserve">Сніданок дорослий</t>
  </si>
  <si>
    <t xml:space="preserve">Сніданок дитячий </t>
  </si>
  <si>
    <t xml:space="preserve">СПА візит дорослий </t>
  </si>
  <si>
    <t xml:space="preserve">СПА Візит дитячий </t>
  </si>
  <si>
    <t xml:space="preserve">Термін дії цін  - до 31.05.2026 </t>
  </si>
  <si>
    <t xml:space="preserve">Додаткові послуги Літо BB</t>
  </si>
  <si>
    <t xml:space="preserve">Стандартна вартість*</t>
  </si>
  <si>
    <t xml:space="preserve">Купівля***</t>
  </si>
  <si>
    <t xml:space="preserve">-</t>
  </si>
  <si>
    <t xml:space="preserve">Термін дії цін  - до 31.08.2026 </t>
  </si>
  <si>
    <t xml:space="preserve">Додаткові послуги Осінь</t>
  </si>
  <si>
    <t xml:space="preserve">Термін дії цін  - до 30.11.2026 </t>
  </si>
  <si>
    <t xml:space="preserve">ЖУРНАЛ ЗМІН</t>
  </si>
  <si>
    <t xml:space="preserve">Заповнюється вручну. Правило: діючий прайс-лист не перезаписуємо — переводимо його у статус «Архів» і створюємо новий рядок на «Керування прайсом». Тоді порівняння рік/рік лишається можливим.</t>
  </si>
  <si>
    <t xml:space="preserve">Дата</t>
  </si>
  <si>
    <t xml:space="preserve">Автор</t>
  </si>
  <si>
    <t xml:space="preserve">Лист</t>
  </si>
  <si>
    <t xml:space="preserve">Що змінено</t>
  </si>
  <si>
    <t xml:space="preserve">Було</t>
  </si>
  <si>
    <t xml:space="preserve">Стало</t>
  </si>
  <si>
    <t xml:space="preserve">Claude (міграція v2)</t>
  </si>
  <si>
    <t xml:space="preserve">Довідник категорій</t>
  </si>
  <si>
    <t xml:space="preserve">Апартаменти Люкс 25 м²: макс. гостей</t>
  </si>
  <si>
    <t xml:space="preserve">3</t>
  </si>
  <si>
    <t xml:space="preserve">2</t>
  </si>
  <si>
    <t xml:space="preserve">Керування прайсом</t>
  </si>
  <si>
    <t xml:space="preserve">Перемикачі знижки на пакети та SPA (за замовчуванням 0 — поведінка як раніше)</t>
  </si>
  <si>
    <t xml:space="preserve">0 / 0 / 0</t>
  </si>
  <si>
    <t xml:space="preserve">Прайс</t>
  </si>
  <si>
    <t xml:space="preserve">Будні й вихідні показуються одночасно; тип дня як перемикач прибрано</t>
  </si>
  <si>
    <t xml:space="preserve">перемикач</t>
  </si>
  <si>
    <t xml:space="preserve">дві групи колонок</t>
  </si>
  <si>
    <t xml:space="preserve">Claude (v2.2)</t>
  </si>
  <si>
    <t xml:space="preserve">Прайс · Калькулятор · Контроль</t>
  </si>
  <si>
    <t xml:space="preserve">Крок округлення застосовується лише до базової ціни за 1–2 особи; крок за додаткового гостя додається точно, помножений на знижку</t>
  </si>
  <si>
    <t xml:space="preserve">ROUND(база + крок×N)</t>
  </si>
  <si>
    <t xml:space="preserve">ROUND(база) + крок×N</t>
  </si>
  <si>
    <t xml:space="preserve">Прайс · Контроль · Моделювання · Матриця</t>
  </si>
  <si>
    <t xml:space="preserve">Відновлено підсвітку опорних категорій, випадаючі списки та області друку, втрачені при редагуванні файлу</t>
  </si>
  <si>
    <t xml:space="preserve">відсутні</t>
  </si>
  <si>
    <t xml:space="preserve">відновлено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</si>
</sst>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"/>
    <numFmt numFmtId="167" formatCode="#,##0"/>
    <numFmt numFmtId="168" formatCode="0.0000"/>
    <numFmt numFmtId="169" formatCode="dd\.mm\.yyyy"/>
    <numFmt numFmtId="170" formatCode="0%"/>
    <numFmt numFmtId="171" formatCode="0.0%"/>
    <numFmt numFmtId="172" formatCode="#,##0.00"/>
  </numFmts>
  <fonts count="2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6B777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2A3B33"/>
      <name val="Calibri"/>
      <family val="0"/>
      <charset val="1"/>
    </font>
    <font>
      <sz val="9"/>
      <color rgb="FF6B7771"/>
      <name val="Calibri"/>
      <family val="0"/>
      <charset val="1"/>
    </font>
    <font>
      <i val="true"/>
      <sz val="9"/>
      <color rgb="FF9AA6A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i val="true"/>
      <sz val="10"/>
      <color rgb="FF000000"/>
      <name val="Calibri"/>
      <family val="0"/>
      <charset val="1"/>
    </font>
    <font>
      <b val="true"/>
      <i val="true"/>
      <sz val="8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sz val="11"/>
      <color rgb="FF1F4E3D"/>
      <name val="Calibri"/>
      <family val="0"/>
      <charset val="1"/>
    </font>
    <font>
      <b val="true"/>
      <sz val="11"/>
      <color rgb="FF1F4E3D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1F4E3D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9"/>
      <color rgb="FF6B7771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9"/>
      <color rgb="FF6B7771"/>
      <name val="Calibri"/>
      <family val="0"/>
      <charset val="1"/>
    </font>
    <font>
      <b val="true"/>
      <sz val="12"/>
      <color rgb="FF1F4E3D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3D"/>
        <bgColor rgb="FF2A3B33"/>
      </patternFill>
    </fill>
    <fill>
      <patternFill patternType="solid">
        <fgColor rgb="FFFFF2CC"/>
        <bgColor rgb="FFFFF9E6"/>
      </patternFill>
    </fill>
    <fill>
      <patternFill patternType="solid">
        <fgColor rgb="FFEAF3F0"/>
        <bgColor rgb="FFEDEFEE"/>
      </patternFill>
    </fill>
    <fill>
      <patternFill patternType="solid">
        <fgColor rgb="FF2F6B55"/>
        <bgColor rgb="FF2E6B4F"/>
      </patternFill>
    </fill>
    <fill>
      <patternFill patternType="solid">
        <fgColor rgb="FFF4F8F6"/>
        <bgColor rgb="FFEAF3F0"/>
      </patternFill>
    </fill>
    <fill>
      <patternFill patternType="solid">
        <fgColor rgb="FFEDEFEE"/>
        <bgColor rgb="FFEAF3F0"/>
      </patternFill>
    </fill>
    <fill>
      <patternFill patternType="solid">
        <fgColor rgb="FFFFF9E6"/>
        <bgColor rgb="FFF4F8F6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thin">
        <color rgb="FFC9D4CD"/>
      </bottom>
      <diagonal/>
    </border>
    <border diagonalUp="false" diagonalDown="false">
      <left style="medium">
        <color rgb="FF7E9488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medium">
        <color rgb="FF7E9488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medium">
        <color rgb="FF7E9488"/>
      </bottom>
      <diagonal/>
    </border>
    <border diagonalUp="false" diagonalDown="false">
      <left style="medium">
        <color rgb="FF7E9488"/>
      </left>
      <right style="thin">
        <color rgb="FFC9D4CD"/>
      </right>
      <top style="thin">
        <color rgb="FFC9D4CD"/>
      </top>
      <bottom style="medium">
        <color rgb="FF7E9488"/>
      </bottom>
      <diagonal/>
    </border>
    <border diagonalUp="false" diagonalDown="false">
      <left style="medium">
        <color rgb="FF7E9488"/>
      </left>
      <right/>
      <top/>
      <bottom/>
      <diagonal/>
    </border>
    <border diagonalUp="false" diagonalDown="false">
      <left/>
      <right/>
      <top/>
      <bottom style="thin">
        <color rgb="FFC9D4CD"/>
      </bottom>
      <diagonal/>
    </border>
    <border diagonalUp="false" diagonalDown="false">
      <left/>
      <right style="medium">
        <color rgb="FF7E9488"/>
      </right>
      <top/>
      <bottom/>
      <diagonal/>
    </border>
    <border diagonalUp="false" diagonalDown="false">
      <left/>
      <right/>
      <top/>
      <bottom style="medium">
        <color rgb="FF7E9488"/>
      </bottom>
      <diagonal/>
    </border>
    <border diagonalUp="false" diagonalDown="false">
      <left style="medium">
        <color rgb="FF7E9488"/>
      </left>
      <right style="thin">
        <color rgb="FFC9D4CD"/>
      </right>
      <top style="medium">
        <color rgb="FF7E9488"/>
      </top>
      <bottom style="medium">
        <color rgb="FF7E9488"/>
      </bottom>
      <diagonal/>
    </border>
    <border diagonalUp="false" diagonalDown="false">
      <left style="thin">
        <color rgb="FFC9D4CD"/>
      </left>
      <right style="thin">
        <color rgb="FFC9D4CD"/>
      </right>
      <top style="medium">
        <color rgb="FF7E9488"/>
      </top>
      <bottom style="medium">
        <color rgb="FF7E9488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Calibri"/>
        <charset val="1"/>
        <family val="0"/>
        <b val="1"/>
        <color rgb="FFA8321E"/>
        <sz val="10"/>
      </font>
      <fill>
        <patternFill>
          <bgColor rgb="FFFCE8E4"/>
        </patternFill>
      </fill>
    </dxf>
    <dxf>
      <font>
        <name val="Calibri"/>
        <charset val="1"/>
        <family val="0"/>
        <b val="1"/>
        <color rgb="FFA8321E"/>
        <sz val="11"/>
      </font>
    </dxf>
    <dxf>
      <font>
        <name val="Calibri"/>
        <charset val="1"/>
        <family val="0"/>
        <color rgb="FFA8321E"/>
        <sz val="11"/>
      </font>
    </dxf>
    <dxf>
      <font>
        <name val="Calibri"/>
        <charset val="1"/>
        <family val="0"/>
        <b val="1"/>
        <color rgb="FFA8321E"/>
        <sz val="11"/>
      </font>
      <fill>
        <patternFill>
          <bgColor rgb="FFFCE8E4"/>
        </patternFill>
      </fill>
    </dxf>
    <dxf>
      <font>
        <name val="Calibri"/>
        <charset val="1"/>
        <family val="0"/>
        <b val="1"/>
        <color rgb="FF2E6B4F"/>
        <sz val="12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2"/>
      </font>
      <fill>
        <patternFill>
          <bgColor rgb="FFFCE8E4"/>
        </patternFill>
      </fill>
    </dxf>
    <dxf>
      <font>
        <name val="Calibri"/>
        <charset val="1"/>
        <family val="0"/>
        <b val="1"/>
        <color rgb="FF2E6B4F"/>
        <sz val="11"/>
      </font>
      <fill>
        <patternFill>
          <bgColor rgb="FFE1EF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55"/>
      <rgbColor rgb="FFB7B7B7"/>
      <rgbColor rgb="FF6B7771"/>
      <rgbColor rgb="FF9999FF"/>
      <rgbColor rgb="FF993366"/>
      <rgbColor rgb="FFFFF9E6"/>
      <rgbColor rgb="FFE1EFE7"/>
      <rgbColor rgb="FF660066"/>
      <rgbColor rgb="FFFF8080"/>
      <rgbColor rgb="FF0066CC"/>
      <rgbColor rgb="FFC9D4CD"/>
      <rgbColor rgb="FF000080"/>
      <rgbColor rgb="FFFF00FF"/>
      <rgbColor rgb="FFFFFF00"/>
      <rgbColor rgb="FF00FFFF"/>
      <rgbColor rgb="FF800080"/>
      <rgbColor rgb="FF800000"/>
      <rgbColor rgb="FF2E6B4F"/>
      <rgbColor rgb="FF0000FF"/>
      <rgbColor rgb="FF00CCFF"/>
      <rgbColor rgb="FFEAF3F0"/>
      <rgbColor rgb="FFEDEFEE"/>
      <rgbColor rgb="FFFFF2CC"/>
      <rgbColor rgb="FFF4F8F6"/>
      <rgbColor rgb="FFFF99CC"/>
      <rgbColor rgb="FFCC99FF"/>
      <rgbColor rgb="FFFCE8E4"/>
      <rgbColor rgb="FF3366FF"/>
      <rgbColor rgb="FF33CCCC"/>
      <rgbColor rgb="FF99CC00"/>
      <rgbColor rgb="FFFFCC00"/>
      <rgbColor rgb="FFFF9900"/>
      <rgbColor rgb="FFFF6600"/>
      <rgbColor rgb="FF7E9488"/>
      <rgbColor rgb="FF9AA6A0"/>
      <rgbColor rgb="FF1F4E3D"/>
      <rgbColor rgb="FF339966"/>
      <rgbColor rgb="FF003300"/>
      <rgbColor rgb="FF333300"/>
      <rgbColor rgb="FFA8321E"/>
      <rgbColor rgb="FF993366"/>
      <rgbColor rgb="FF333399"/>
      <rgbColor rgb="FF2A3B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D9" activePane="bottomLeft" state="frozen"/>
      <selection pane="topLeft" activeCell="A1" activeCellId="0" sqref="A1"/>
      <selection pane="bottomLeft" activeCell="B10" activeCellId="0" sqref="B10"/>
    </sheetView>
  </sheetViews>
  <sheetFormatPr defaultColWidth="14.4296875" defaultRowHeight="15" zeroHeight="false" outlineLevelRow="0" outlineLevelCol="1"/>
  <cols>
    <col collapsed="false" customWidth="true" hidden="false" outlineLevel="0" max="1" min="1" style="1" width="46"/>
    <col collapsed="false" customWidth="true" hidden="false" outlineLevel="0" max="2" min="2" style="1" width="40"/>
    <col collapsed="false" customWidth="true" hidden="false" outlineLevel="0" max="3" min="3" style="1" width="18.14"/>
    <col collapsed="false" customWidth="true" hidden="false" outlineLevel="0" max="11" min="4" style="1" width="12.43"/>
    <col collapsed="false" customWidth="true" hidden="false" outlineLevel="0" max="12" min="12" style="1" width="2.57"/>
    <col collapsed="false" customWidth="true" hidden="false" outlineLevel="0" max="20" min="13" style="1" width="12.43"/>
    <col collapsed="false" customWidth="true" hidden="true" outlineLevel="1" max="32" min="21" style="1" width="13"/>
  </cols>
  <sheetData>
    <row r="1" customFormat="false" ht="27.75" hidden="false" customHeight="true" outlineLevel="0" collapsed="false">
      <c r="A1" s="2" t="str">
        <f aca="false">"ПРАЙС BUKOVEL · "&amp;$B$3&amp;" · "&amp;$U$11&amp;" · Тариф: "&amp;$B$4&amp;" · Пакет: "&amp;$B$5</f>
        <v>ПРАЙС BUKOVEL · Зима ВС 2026 · період не заданий · Тариф: Раннє бронювання -10% · Пакет: RO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 t="s">
        <v>0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false" ht="15" hidden="false" customHeight="true" outlineLevel="0" collapsed="false">
      <c r="A3" s="5" t="s">
        <v>1</v>
      </c>
      <c r="B3" s="6" t="s">
        <v>2</v>
      </c>
      <c r="C3" s="4"/>
      <c r="D3" s="7" t="str">
        <f aca="false">"Період дії: "&amp;$U$11</f>
        <v>Період дії: період не заданий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 t="n">
        <f aca="false">IFERROR(MATCH($B$3,ПЛ_РЯДОК,0),0)</f>
        <v>51</v>
      </c>
      <c r="V3" s="9" t="s">
        <v>3</v>
      </c>
      <c r="W3" s="4"/>
      <c r="X3" s="4"/>
      <c r="Y3" s="4"/>
      <c r="Z3" s="4"/>
      <c r="AA3" s="4"/>
      <c r="AB3" s="4"/>
      <c r="AC3" s="4"/>
      <c r="AD3" s="4"/>
      <c r="AE3" s="4"/>
      <c r="AF3" s="4"/>
    </row>
    <row r="4" customFormat="false" ht="15" hidden="false" customHeight="true" outlineLevel="0" collapsed="false">
      <c r="A4" s="5" t="s">
        <v>4</v>
      </c>
      <c r="B4" s="6" t="s">
        <v>5</v>
      </c>
      <c r="C4" s="4"/>
      <c r="D4" s="7" t="str">
        <f aca="false">"Знижка на проживання: "&amp;TEXT($U$5,"0%")&amp;IF($B$5="BBSPA"," — фіксована для пакета BBSPA; обраний тариф не застосовується","")</f>
        <v>Знижка на проживання: 10%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 t="n">
        <f aca="false">IFERROR(SUMIFS(ТАРИФИ_ЗНИЖКИ,ТАРИФИ_НАЗВИ,$B$4),0)</f>
        <v>0.1</v>
      </c>
      <c r="V4" s="9" t="s">
        <v>6</v>
      </c>
      <c r="W4" s="4"/>
      <c r="X4" s="4"/>
      <c r="Y4" s="4"/>
      <c r="Z4" s="4"/>
      <c r="AA4" s="4"/>
      <c r="AB4" s="4"/>
      <c r="AC4" s="4"/>
      <c r="AD4" s="4"/>
      <c r="AE4" s="4"/>
      <c r="AF4" s="4"/>
    </row>
    <row r="5" customFormat="false" ht="15" hidden="false" customHeight="true" outlineLevel="0" collapsed="false">
      <c r="A5" s="5" t="s">
        <v>7</v>
      </c>
      <c r="B5" s="6" t="s">
        <v>8</v>
      </c>
      <c r="C5" s="4"/>
      <c r="D5" s="7" t="str">
        <f aca="false">IF($B$5="RO","Лише проживання.",IF($B$5="BB","Проживання + сніданок за кожного гостя.",IF($B$5="BBSPA","Проживання + сніданок і SPA за кожного гостя.",IF($B$5="ROSPA","Проживання + 1 SPA-візит на обʼєкт.",IF($B$5="ROSPABB","Проживання + сніданки за кількістю гостей + 1 SPA-візит на обʼєкт.","")))))</f>
        <v>Лише проживання.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 t="n">
        <f aca="false">IF($B$5="BBSPA",ЗНИЖКА_BBSPA,$U$4)</f>
        <v>0.1</v>
      </c>
      <c r="V5" s="9" t="s">
        <v>9</v>
      </c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30" hidden="false" customHeight="true" outlineLevel="0" collapsed="false">
      <c r="A6" s="10" t="str">
        <f aca="false">IF($U$3=0,"⚠ Прайс-лист не обрано або не знайдено — оберіть значення у клітинці B3.",IF($U$13=0,"⚠ У цьому прайс-листі ще не заповнені базові RO-ціни — сітка буде порожньою. Заповніть його блок на листі «Керування прайсом».","Усі ціни — за ніч, за дорослих гостей, у гривні. Дитячі тарифи рахує лист «Калькулятор». Крок округлення діє на базову ціну за 1–2 особи; кожен наступний гість додає рівно крок за гостя × знижку."))</f>
        <v>Усі ціни — за ніч, за дорослих гостей, у гривні. Дитячі тарифи рахує лист «Калькулятор». Крок округлення діє на базову ціну за 1–2 особи; кожен наступний гість додає рівно крок за гостя × знижку.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1" t="n">
        <f aca="false">IF($U$3=0,0,IFERROR(INDEX(ПЕРЕМИКАЧІ,IF($B$5="BBSPA",2,1),$U$3),0))</f>
        <v>0</v>
      </c>
      <c r="V6" s="9" t="s">
        <v>10</v>
      </c>
      <c r="W6" s="4"/>
      <c r="X6" s="4"/>
      <c r="Y6" s="4"/>
      <c r="Z6" s="4"/>
      <c r="AA6" s="4"/>
      <c r="AB6" s="4"/>
      <c r="AC6" s="4"/>
      <c r="AD6" s="4"/>
      <c r="AE6" s="4"/>
      <c r="AF6" s="4"/>
    </row>
    <row r="7" customFormat="false" ht="19.5" hidden="false" customHeight="true" outlineLevel="0" collapsed="false">
      <c r="A7" s="4"/>
      <c r="B7" s="4"/>
      <c r="C7" s="4"/>
      <c r="D7" s="12" t="s">
        <v>11</v>
      </c>
      <c r="E7" s="12"/>
      <c r="F7" s="12"/>
      <c r="G7" s="12"/>
      <c r="H7" s="12"/>
      <c r="I7" s="12"/>
      <c r="J7" s="12"/>
      <c r="K7" s="12"/>
      <c r="L7" s="4"/>
      <c r="M7" s="12" t="s">
        <v>12</v>
      </c>
      <c r="N7" s="12"/>
      <c r="O7" s="12"/>
      <c r="P7" s="12"/>
      <c r="Q7" s="12"/>
      <c r="R7" s="12"/>
      <c r="S7" s="12"/>
      <c r="T7" s="12"/>
      <c r="U7" s="11" t="n">
        <f aca="false">IF($U$3=0,0,IFERROR(INDEX(ПЕРЕМИКАЧІ,3,$U$3),0))</f>
        <v>0</v>
      </c>
      <c r="V7" s="9" t="s">
        <v>13</v>
      </c>
      <c r="W7" s="4"/>
      <c r="X7" s="4"/>
      <c r="Y7" s="4"/>
      <c r="Z7" s="4"/>
      <c r="AA7" s="4"/>
      <c r="AB7" s="4"/>
      <c r="AC7" s="4"/>
      <c r="AD7" s="4"/>
      <c r="AE7" s="4"/>
      <c r="AF7" s="4"/>
    </row>
    <row r="8" customFormat="false" ht="19.5" hidden="false" customHeight="true" outlineLevel="0" collapsed="false">
      <c r="A8" s="13" t="s">
        <v>14</v>
      </c>
      <c r="B8" s="13" t="s">
        <v>15</v>
      </c>
      <c r="C8" s="14" t="s">
        <v>16</v>
      </c>
      <c r="D8" s="15" t="n">
        <v>1</v>
      </c>
      <c r="E8" s="15" t="n">
        <v>2</v>
      </c>
      <c r="F8" s="15" t="n">
        <v>3</v>
      </c>
      <c r="G8" s="15" t="n">
        <v>4</v>
      </c>
      <c r="H8" s="15" t="n">
        <v>5</v>
      </c>
      <c r="I8" s="15" t="n">
        <v>6</v>
      </c>
      <c r="J8" s="15" t="n">
        <v>7</v>
      </c>
      <c r="K8" s="16" t="n">
        <v>8</v>
      </c>
      <c r="L8" s="4"/>
      <c r="M8" s="17" t="n">
        <v>1</v>
      </c>
      <c r="N8" s="15" t="n">
        <v>2</v>
      </c>
      <c r="O8" s="15" t="n">
        <v>3</v>
      </c>
      <c r="P8" s="15" t="n">
        <v>4</v>
      </c>
      <c r="Q8" s="15" t="n">
        <v>5</v>
      </c>
      <c r="R8" s="15" t="n">
        <v>6</v>
      </c>
      <c r="S8" s="15" t="n">
        <v>7</v>
      </c>
      <c r="T8" s="15" t="n">
        <v>8</v>
      </c>
      <c r="U8" s="8" t="n">
        <f aca="false">IF(OR($B$5="BB",$B$5="BBSPA",$B$5="ROSPABB"),1,0)</f>
        <v>0</v>
      </c>
      <c r="V8" s="9" t="s">
        <v>17</v>
      </c>
      <c r="W8" s="4"/>
      <c r="X8" s="4"/>
      <c r="Y8" s="4"/>
      <c r="Z8" s="4"/>
      <c r="AA8" s="4"/>
      <c r="AB8" s="4"/>
      <c r="AC8" s="4"/>
      <c r="AD8" s="4"/>
      <c r="AE8" s="4"/>
      <c r="AF8" s="4"/>
    </row>
    <row r="9" customFormat="false" ht="15" hidden="false" customHeight="true" outlineLevel="0" collapsed="false">
      <c r="A9" s="18" t="str">
        <f aca="false">IF('Довідник категорій'!A5="","",'Довідник категорій'!A5)</f>
        <v>Міні-котедж</v>
      </c>
      <c r="B9" s="19" t="str">
        <f aca="false" t="array" ref="B9:B9">IF($A9="","",IFERROR(INDEX(ДОВ_BOOKING,MATCH($A9,КАТЕГОРІЇ,0)),""))</f>
        <v>Віла з 1 спальнею 45 м²</v>
      </c>
      <c r="C9" s="20" t="str">
        <f aca="false" t="array" ref="C9:C9">IF($A9="","",IFERROR(INDEX(ДОВ_ГРУПА,MATCH($A9,КАТЕГОРІЇ,0)),""))</f>
        <v>Котеджі 1 спальня</v>
      </c>
      <c r="D9" s="21" t="n">
        <f aca="false">IF(OR($AE9=0,D$8&gt;$Z9),"",ROUND(W9*X9*(1-$U$5)/ОКРУГЛЕННЯ,0)*ОКРУГЛЕННЯ+MAX(0,D$8-$AA9)*КРОК_ГОСТЯ*(1-$U$5)+D$8*$AB9*(1-$U$5*$U$6)+$AD9*(1-$U$5*$U$7))</f>
        <v>6930</v>
      </c>
      <c r="E9" s="21" t="n">
        <f aca="false">IF(OR($AE9=0,E$8&gt;$Z9),"",ROUND(W9*X9*(1-$U$5)/ОКРУГЛЕННЯ,0)*ОКРУГЛЕННЯ+MAX(0,E$8-$AA9)*КРОК_ГОСТЯ*(1-$U$5)+E$8*$AB9*(1-$U$5*$U$6)+$AD9*(1-$U$5*$U$7))</f>
        <v>6930</v>
      </c>
      <c r="F9" s="21" t="n">
        <f aca="false">IF(OR($AE9=0,F$8&gt;$Z9),"",ROUND(W9*X9*(1-$U$5)/ОКРУГЛЕННЯ,0)*ОКРУГЛЕННЯ+MAX(0,F$8-$AA9)*КРОК_ГОСТЯ*(1-$U$5)+F$8*$AB9*(1-$U$5*$U$6)+$AD9*(1-$U$5*$U$7))</f>
        <v>7380</v>
      </c>
      <c r="G9" s="21" t="str">
        <f aca="false">IF(OR($AE9=0,G$8&gt;$Z9),"",ROUND(W9*X9*(1-$U$5)/ОКРУГЛЕННЯ,0)*ОКРУГЛЕННЯ+MAX(0,G$8-$AA9)*КРОК_ГОСТЯ*(1-$U$5)+G$8*$AB9*(1-$U$5*$U$6)+$AD9*(1-$U$5*$U$7))</f>
        <v/>
      </c>
      <c r="H9" s="21" t="str">
        <f aca="false">IF(OR($AE9=0,H$8&gt;$Z9),"",ROUND(W9*X9*(1-$U$5)/ОКРУГЛЕННЯ,0)*ОКРУГЛЕННЯ+MAX(0,H$8-$AA9)*КРОК_ГОСТЯ*(1-$U$5)+H$8*$AB9*(1-$U$5*$U$6)+$AD9*(1-$U$5*$U$7))</f>
        <v/>
      </c>
      <c r="I9" s="21" t="str">
        <f aca="false">IF(OR($AE9=0,I$8&gt;$Z9),"",ROUND(W9*X9*(1-$U$5)/ОКРУГЛЕННЯ,0)*ОКРУГЛЕННЯ+MAX(0,I$8-$AA9)*КРОК_ГОСТЯ*(1-$U$5)+I$8*$AB9*(1-$U$5*$U$6)+$AD9*(1-$U$5*$U$7))</f>
        <v/>
      </c>
      <c r="J9" s="21" t="str">
        <f aca="false">IF(OR($AE9=0,J$8&gt;$Z9),"",ROUND(W9*X9*(1-$U$5)/ОКРУГЛЕННЯ,0)*ОКРУГЛЕННЯ+MAX(0,J$8-$AA9)*КРОК_ГОСТЯ*(1-$U$5)+J$8*$AB9*(1-$U$5*$U$6)+$AD9*(1-$U$5*$U$7))</f>
        <v/>
      </c>
      <c r="K9" s="22" t="str">
        <f aca="false">IF(OR($AE9=0,K$8&gt;$Z9),"",ROUND(W9*X9*(1-$U$5)/ОКРУГЛЕННЯ,0)*ОКРУГЛЕННЯ+MAX(0,K$8-$AA9)*КРОК_ГОСТЯ*(1-$U$5)+K$8*$AB9*(1-$U$5*$U$6)+$AD9*(1-$U$5*$U$7))</f>
        <v/>
      </c>
      <c r="L9" s="4"/>
      <c r="M9" s="23" t="n">
        <f aca="false">IF(OR($AF9=0,M$8&gt;$Z9),"",ROUND(W9*X9*Y9*(1-$U$5)/ОКРУГЛЕННЯ,0)*ОКРУГЛЕННЯ+MAX(0,M$8-$AA9)*КРОК_ГОСТЯ*(1-$U$5)+M$8*$AC9*(1-$U$5*$U$6)+$AD9*(1-$U$5*$U$7))</f>
        <v>7277</v>
      </c>
      <c r="N9" s="21" t="n">
        <f aca="false">IF(OR($AF9=0,N$8&gt;$Z9),"",ROUND(W9*X9*Y9*(1-$U$5)/ОКРУГЛЕННЯ,0)*ОКРУГЛЕННЯ+MAX(0,N$8-$AA9)*КРОК_ГОСТЯ*(1-$U$5)+N$8*$AC9*(1-$U$5*$U$6)+$AD9*(1-$U$5*$U$7))</f>
        <v>7277</v>
      </c>
      <c r="O9" s="21" t="n">
        <f aca="false">IF(OR($AF9=0,O$8&gt;$Z9),"",ROUND(W9*X9*Y9*(1-$U$5)/ОКРУГЛЕННЯ,0)*ОКРУГЛЕННЯ+MAX(0,O$8-$AA9)*КРОК_ГОСТЯ*(1-$U$5)+O$8*$AC9*(1-$U$5*$U$6)+$AD9*(1-$U$5*$U$7))</f>
        <v>7727</v>
      </c>
      <c r="P9" s="21" t="str">
        <f aca="false">IF(OR($AF9=0,P$8&gt;$Z9),"",ROUND(W9*X9*Y9*(1-$U$5)/ОКРУГЛЕННЯ,0)*ОКРУГЛЕННЯ+MAX(0,P$8-$AA9)*КРОК_ГОСТЯ*(1-$U$5)+P$8*$AC9*(1-$U$5*$U$6)+$AD9*(1-$U$5*$U$7))</f>
        <v/>
      </c>
      <c r="Q9" s="21" t="str">
        <f aca="false">IF(OR($AF9=0,Q$8&gt;$Z9),"",ROUND(W9*X9*Y9*(1-$U$5)/ОКРУГЛЕННЯ,0)*ОКРУГЛЕННЯ+MAX(0,Q$8-$AA9)*КРОК_ГОСТЯ*(1-$U$5)+Q$8*$AC9*(1-$U$5*$U$6)+$AD9*(1-$U$5*$U$7))</f>
        <v/>
      </c>
      <c r="R9" s="21" t="str">
        <f aca="false">IF(OR($AF9=0,R$8&gt;$Z9),"",ROUND(W9*X9*Y9*(1-$U$5)/ОКРУГЛЕННЯ,0)*ОКРУГЛЕННЯ+MAX(0,R$8-$AA9)*КРОК_ГОСТЯ*(1-$U$5)+R$8*$AC9*(1-$U$5*$U$6)+$AD9*(1-$U$5*$U$7))</f>
        <v/>
      </c>
      <c r="S9" s="21" t="str">
        <f aca="false">IF(OR($AF9=0,S$8&gt;$Z9),"",ROUND(W9*X9*Y9*(1-$U$5)/ОКРУГЛЕННЯ,0)*ОКРУГЛЕННЯ+MAX(0,S$8-$AA9)*КРОК_ГОСТЯ*(1-$U$5)+S$8*$AC9*(1-$U$5*$U$6)+$AD9*(1-$U$5*$U$7))</f>
        <v/>
      </c>
      <c r="T9" s="21" t="str">
        <f aca="false">IF(OR($AF9=0,T$8&gt;$Z9),"",ROUND(W9*X9*Y9*(1-$U$5)/ОКРУГЛЕННЯ,0)*ОКРУГЛЕННЯ+MAX(0,T$8-$AA9)*КРОК_ГОСТЯ*(1-$U$5)+T$8*$AC9*(1-$U$5*$U$6)+$AD9*(1-$U$5*$U$7))</f>
        <v/>
      </c>
      <c r="U9" s="8" t="n">
        <f aca="false">IF(OR($B$5="ROSPA",$B$5="ROSPABB"),1,0)</f>
        <v>0</v>
      </c>
      <c r="V9" s="9" t="s">
        <v>18</v>
      </c>
      <c r="W9" s="24" t="n">
        <f aca="false" t="array" ref="W9:W9">IF(OR($U$3=0,$A9=""),0,IFERROR(INDEX(БАЗА_RO,MATCH(INDEX(ДОВ_ОПОРА,MATCH($A9,КАТЕГОРІЇ,0)),БАЗА_КАТ,0),$U$3),0))</f>
        <v>7700</v>
      </c>
      <c r="X9" s="25" t="n">
        <f aca="false" t="array" ref="X9:X9">IF(OR($U$3=0,$A9=""),0,IFERROR(INDEX(МНОЖНИКИ,MATCH($A9,МНОЖ_КАТ,0),$U$3),0))</f>
        <v>1</v>
      </c>
      <c r="Y9" s="25" t="n">
        <f aca="false" t="array" ref="Y9:Y9">IF(OR($U$3=0,$A9=""),0,IFERROR(INDEX(МНОЖНИКИ,MATCH($A9,МНОЖ_КАТ,0),$U$3+1),0))</f>
        <v>1.05</v>
      </c>
      <c r="Z9" s="11" t="n">
        <f aca="false" t="array" ref="Z9:Z9">IF($A9="",0,IFERROR(INDEX(ДОВ_МАКС,MATCH($A9,КАТЕГОРІЇ,0)),0))</f>
        <v>3</v>
      </c>
      <c r="AA9" s="11" t="n">
        <f aca="false" t="array" ref="AA9:AA9">IF($A9="",0,IFERROR(INDEX(ДОВ_ВКЛ,MATCH($A9,КАТЕГОРІЇ,0)),0))</f>
        <v>2</v>
      </c>
      <c r="AB9" s="8" t="n">
        <f aca="false" t="array" ref="AB9:AB9">IF(OR($U$3=0,$U$8=0),0,IFERROR(INDEX(ПАКЕТИ_ЦІНИ,MATCH($U$10&amp;"|Будні",ПАКЕТИ_КЛЮЧ,0),$U$3),0))</f>
        <v>0</v>
      </c>
      <c r="AC9" s="8" t="n">
        <f aca="false" t="array" ref="AC9:AC9">IF(OR($U$3=0,$U$8=0),0,IFERROR(INDEX(ПАКЕТИ_ЦІНИ,MATCH($U$10&amp;"|Вихідні",ПАКЕТИ_КЛЮЧ,0),$U$3),0))</f>
        <v>0</v>
      </c>
      <c r="AD9" s="24" t="n">
        <f aca="false" t="array" ref="AD9:AD9">IF(OR($U$3=0,$U$9=0,$A9=""),0,IFERROR(INDEX(SPA_ЦІНИ,MATCH(INDEX(ДОВ_SPA,MATCH($A9,КАТЕГОРІЇ,0)),SPA_РОЛЬ,0),$U$3),0))</f>
        <v>0</v>
      </c>
      <c r="AE9" s="8" t="n">
        <f aca="false">IF(OR($A9="",W9=0,X9=0,AND($U$8=1,AB9=0),AND($U$9=1,AD9=0)),0,1)</f>
        <v>1</v>
      </c>
      <c r="AF9" s="8" t="n">
        <f aca="false">IF(OR(AE9=0,Y9=0,AND($U$8=1,AC9=0)),0,1)</f>
        <v>1</v>
      </c>
    </row>
    <row r="10" customFormat="false" ht="15" hidden="false" customHeight="true" outlineLevel="0" collapsed="false">
      <c r="A10" s="26" t="str">
        <f aca="false">IF('Довідник категорій'!A6="","",'Довідник категорій'!A6)</f>
        <v>Міні-котедж East Hill</v>
      </c>
      <c r="B10" s="27" t="str">
        <f aca="false" t="array" ref="B10:B10">IF($A10="","",IFERROR(INDEX(ДОВ_BOOKING,MATCH($A10,КАТЕГОРІЇ,0)),""))</f>
        <v>Віла з 1 спальнею 45 м²</v>
      </c>
      <c r="C10" s="28" t="str">
        <f aca="false" t="array" ref="C10:C10">IF($A10="","",IFERROR(INDEX(ДОВ_ГРУПА,MATCH($A10,КАТЕГОРІЇ,0)),""))</f>
        <v>Котеджі 1 спальня</v>
      </c>
      <c r="D10" s="29" t="n">
        <f aca="false">IF(OR($AE10=0,D$8&gt;$Z10),"",ROUND(W10*X10*(1-$U$5)/ОКРУГЛЕННЯ,0)*ОКРУГЛЕННЯ+MAX(0,D$8-$AA10)*КРОК_ГОСТЯ*(1-$U$5)+D$8*$AB10*(1-$U$5*$U$6)+$AD10*(1-$U$5*$U$7))</f>
        <v>7762</v>
      </c>
      <c r="E10" s="29" t="n">
        <f aca="false">IF(OR($AE10=0,E$8&gt;$Z10),"",ROUND(W10*X10*(1-$U$5)/ОКРУГЛЕННЯ,0)*ОКРУГЛЕННЯ+MAX(0,E$8-$AA10)*КРОК_ГОСТЯ*(1-$U$5)+E$8*$AB10*(1-$U$5*$U$6)+$AD10*(1-$U$5*$U$7))</f>
        <v>7762</v>
      </c>
      <c r="F10" s="29" t="n">
        <f aca="false">IF(OR($AE10=0,F$8&gt;$Z10),"",ROUND(W10*X10*(1-$U$5)/ОКРУГЛЕННЯ,0)*ОКРУГЛЕННЯ+MAX(0,F$8-$AA10)*КРОК_ГОСТЯ*(1-$U$5)+F$8*$AB10*(1-$U$5*$U$6)+$AD10*(1-$U$5*$U$7))</f>
        <v>8212</v>
      </c>
      <c r="G10" s="29" t="str">
        <f aca="false">IF(OR($AE10=0,G$8&gt;$Z10),"",ROUND(W10*X10*(1-$U$5)/ОКРУГЛЕННЯ,0)*ОКРУГЛЕННЯ+MAX(0,G$8-$AA10)*КРОК_ГОСТЯ*(1-$U$5)+G$8*$AB10*(1-$U$5*$U$6)+$AD10*(1-$U$5*$U$7))</f>
        <v/>
      </c>
      <c r="H10" s="29" t="str">
        <f aca="false">IF(OR($AE10=0,H$8&gt;$Z10),"",ROUND(W10*X10*(1-$U$5)/ОКРУГЛЕННЯ,0)*ОКРУГЛЕННЯ+MAX(0,H$8-$AA10)*КРОК_ГОСТЯ*(1-$U$5)+H$8*$AB10*(1-$U$5*$U$6)+$AD10*(1-$U$5*$U$7))</f>
        <v/>
      </c>
      <c r="I10" s="29" t="str">
        <f aca="false">IF(OR($AE10=0,I$8&gt;$Z10),"",ROUND(W10*X10*(1-$U$5)/ОКРУГЛЕННЯ,0)*ОКРУГЛЕННЯ+MAX(0,I$8-$AA10)*КРОК_ГОСТЯ*(1-$U$5)+I$8*$AB10*(1-$U$5*$U$6)+$AD10*(1-$U$5*$U$7))</f>
        <v/>
      </c>
      <c r="J10" s="29" t="str">
        <f aca="false">IF(OR($AE10=0,J$8&gt;$Z10),"",ROUND(W10*X10*(1-$U$5)/ОКРУГЛЕННЯ,0)*ОКРУГЛЕННЯ+MAX(0,J$8-$AA10)*КРОК_ГОСТЯ*(1-$U$5)+J$8*$AB10*(1-$U$5*$U$6)+$AD10*(1-$U$5*$U$7))</f>
        <v/>
      </c>
      <c r="K10" s="30" t="str">
        <f aca="false">IF(OR($AE10=0,K$8&gt;$Z10),"",ROUND(W10*X10*(1-$U$5)/ОКРУГЛЕННЯ,0)*ОКРУГЛЕННЯ+MAX(0,K$8-$AA10)*КРОК_ГОСТЯ*(1-$U$5)+K$8*$AB10*(1-$U$5*$U$6)+$AD10*(1-$U$5*$U$7))</f>
        <v/>
      </c>
      <c r="L10" s="4"/>
      <c r="M10" s="31" t="n">
        <f aca="false">IF(OR($AF10=0,M$8&gt;$Z10),"",ROUND(W10*X10*Y10*(1-$U$5)/ОКРУГЛЕННЯ,0)*ОКРУГЛЕННЯ+MAX(0,M$8-$AA10)*КРОК_ГОСТЯ*(1-$U$5)+M$8*$AC10*(1-$U$5*$U$6)+$AD10*(1-$U$5*$U$7))</f>
        <v>8150</v>
      </c>
      <c r="N10" s="29" t="n">
        <f aca="false">IF(OR($AF10=0,N$8&gt;$Z10),"",ROUND(W10*X10*Y10*(1-$U$5)/ОКРУГЛЕННЯ,0)*ОКРУГЛЕННЯ+MAX(0,N$8-$AA10)*КРОК_ГОСТЯ*(1-$U$5)+N$8*$AC10*(1-$U$5*$U$6)+$AD10*(1-$U$5*$U$7))</f>
        <v>8150</v>
      </c>
      <c r="O10" s="29" t="n">
        <f aca="false">IF(OR($AF10=0,O$8&gt;$Z10),"",ROUND(W10*X10*Y10*(1-$U$5)/ОКРУГЛЕННЯ,0)*ОКРУГЛЕННЯ+MAX(0,O$8-$AA10)*КРОК_ГОСТЯ*(1-$U$5)+O$8*$AC10*(1-$U$5*$U$6)+$AD10*(1-$U$5*$U$7))</f>
        <v>8600</v>
      </c>
      <c r="P10" s="29" t="str">
        <f aca="false">IF(OR($AF10=0,P$8&gt;$Z10),"",ROUND(W10*X10*Y10*(1-$U$5)/ОКРУГЛЕННЯ,0)*ОКРУГЛЕННЯ+MAX(0,P$8-$AA10)*КРОК_ГОСТЯ*(1-$U$5)+P$8*$AC10*(1-$U$5*$U$6)+$AD10*(1-$U$5*$U$7))</f>
        <v/>
      </c>
      <c r="Q10" s="29" t="str">
        <f aca="false">IF(OR($AF10=0,Q$8&gt;$Z10),"",ROUND(W10*X10*Y10*(1-$U$5)/ОКРУГЛЕННЯ,0)*ОКРУГЛЕННЯ+MAX(0,Q$8-$AA10)*КРОК_ГОСТЯ*(1-$U$5)+Q$8*$AC10*(1-$U$5*$U$6)+$AD10*(1-$U$5*$U$7))</f>
        <v/>
      </c>
      <c r="R10" s="29" t="str">
        <f aca="false">IF(OR($AF10=0,R$8&gt;$Z10),"",ROUND(W10*X10*Y10*(1-$U$5)/ОКРУГЛЕННЯ,0)*ОКРУГЛЕННЯ+MAX(0,R$8-$AA10)*КРОК_ГОСТЯ*(1-$U$5)+R$8*$AC10*(1-$U$5*$U$6)+$AD10*(1-$U$5*$U$7))</f>
        <v/>
      </c>
      <c r="S10" s="29" t="str">
        <f aca="false">IF(OR($AF10=0,S$8&gt;$Z10),"",ROUND(W10*X10*Y10*(1-$U$5)/ОКРУГЛЕННЯ,0)*ОКРУГЛЕННЯ+MAX(0,S$8-$AA10)*КРОК_ГОСТЯ*(1-$U$5)+S$8*$AC10*(1-$U$5*$U$6)+$AD10*(1-$U$5*$U$7))</f>
        <v/>
      </c>
      <c r="T10" s="29" t="str">
        <f aca="false">IF(OR($AF10=0,T$8&gt;$Z10),"",ROUND(W10*X10*Y10*(1-$U$5)/ОКРУГЛЕННЯ,0)*ОКРУГЛЕННЯ+MAX(0,T$8-$AA10)*КРОК_ГОСТЯ*(1-$U$5)+T$8*$AC10*(1-$U$5*$U$6)+$AD10*(1-$U$5*$U$7))</f>
        <v/>
      </c>
      <c r="U10" s="8" t="str">
        <f aca="false">IF($U$8=0,"",IF($B$5="ROSPABB","BB",$B$5))</f>
        <v/>
      </c>
      <c r="V10" s="9" t="s">
        <v>19</v>
      </c>
      <c r="W10" s="24" t="n">
        <f aca="false" t="array" ref="W10:W10">IF(OR($U$3=0,$A10=""),0,IFERROR(INDEX(БАЗА_RO,MATCH(INDEX(ДОВ_ОПОРА,MATCH($A10,КАТЕГОРІЇ,0)),БАЗА_КАТ,0),$U$3),0))</f>
        <v>7700</v>
      </c>
      <c r="X10" s="25" t="n">
        <f aca="false" t="array" ref="X10:X10">IF(OR($U$3=0,$A10=""),0,IFERROR(INDEX(МНОЖНИКИ,MATCH($A10,МНОЖ_КАТ,0),$U$3),0))</f>
        <v>1.12</v>
      </c>
      <c r="Y10" s="25" t="n">
        <f aca="false" t="array" ref="Y10:Y10">IF(OR($U$3=0,$A10=""),0,IFERROR(INDEX(МНОЖНИКИ,MATCH($A10,МНОЖ_КАТ,0),$U$3+1),0))</f>
        <v>1.05</v>
      </c>
      <c r="Z10" s="11" t="n">
        <f aca="false" t="array" ref="Z10:Z10">IF($A10="",0,IFERROR(INDEX(ДОВ_МАКС,MATCH($A10,КАТЕГОРІЇ,0)),0))</f>
        <v>3</v>
      </c>
      <c r="AA10" s="11" t="n">
        <f aca="false" t="array" ref="AA10:AA10">IF($A10="",0,IFERROR(INDEX(ДОВ_ВКЛ,MATCH($A10,КАТЕГОРІЇ,0)),0))</f>
        <v>2</v>
      </c>
      <c r="AB10" s="8" t="n">
        <f aca="false" t="array" ref="AB10:AB10">IF(OR($U$3=0,$U$8=0),0,IFERROR(INDEX(ПАКЕТИ_ЦІНИ,MATCH($U$10&amp;"|Будні",ПАКЕТИ_КЛЮЧ,0),$U$3),0))</f>
        <v>0</v>
      </c>
      <c r="AC10" s="8" t="n">
        <f aca="false" t="array" ref="AC10:AC10">IF(OR($U$3=0,$U$8=0),0,IFERROR(INDEX(ПАКЕТИ_ЦІНИ,MATCH($U$10&amp;"|Вихідні",ПАКЕТИ_КЛЮЧ,0),$U$3),0))</f>
        <v>0</v>
      </c>
      <c r="AD10" s="24" t="n">
        <f aca="false" t="array" ref="AD10:AD10">IF(OR($U$3=0,$U$9=0,$A10=""),0,IFERROR(INDEX(SPA_ЦІНИ,MATCH(INDEX(ДОВ_SPA,MATCH($A10,КАТЕГОРІЇ,0)),SPA_РОЛЬ,0),$U$3),0))</f>
        <v>0</v>
      </c>
      <c r="AE10" s="8" t="n">
        <f aca="false">IF(OR($A10="",W10=0,X10=0,AND($U$8=1,AB10=0),AND($U$9=1,AD10=0)),0,1)</f>
        <v>1</v>
      </c>
      <c r="AF10" s="8" t="n">
        <f aca="false">IF(OR(AE10=0,Y10=0,AND($U$8=1,AC10=0)),0,1)</f>
        <v>1</v>
      </c>
    </row>
    <row r="11" customFormat="false" ht="15" hidden="false" customHeight="true" outlineLevel="0" collapsed="false">
      <c r="A11" s="18" t="str">
        <f aca="false">IF('Довідник категорій'!A7="","",'Довідник категорій'!A7)</f>
        <v>Котедж комфорт класу</v>
      </c>
      <c r="B11" s="19" t="str">
        <f aca="false" t="array" ref="B11:B11">IF($A11="","",IFERROR(INDEX(ДОВ_BOOKING,MATCH($A11,КАТЕГОРІЇ,0)),""))</f>
        <v>Стандартна віла 96 м²</v>
      </c>
      <c r="C11" s="20" t="str">
        <f aca="false" t="array" ref="C11:C11">IF($A11="","",IFERROR(INDEX(ДОВ_ГРУПА,MATCH($A11,КАТЕГОРІЇ,0)),""))</f>
        <v>Котеджі 3 спальні</v>
      </c>
      <c r="D11" s="21" t="n">
        <f aca="false">IF(OR($AE11=0,D$8&gt;$Z11),"",ROUND(W11*X11*(1-$U$5)/ОКРУГЛЕННЯ,0)*ОКРУГЛЕННЯ+MAX(0,D$8-$AA11)*КРОК_ГОСТЯ*(1-$U$5)+D$8*$AB11*(1-$U$5*$U$6)+$AD11*(1-$U$5*$U$7))</f>
        <v>8370</v>
      </c>
      <c r="E11" s="21" t="n">
        <f aca="false">IF(OR($AE11=0,E$8&gt;$Z11),"",ROUND(W11*X11*(1-$U$5)/ОКРУГЛЕННЯ,0)*ОКРУГЛЕННЯ+MAX(0,E$8-$AA11)*КРОК_ГОСТЯ*(1-$U$5)+E$8*$AB11*(1-$U$5*$U$6)+$AD11*(1-$U$5*$U$7))</f>
        <v>8370</v>
      </c>
      <c r="F11" s="21" t="n">
        <f aca="false">IF(OR($AE11=0,F$8&gt;$Z11),"",ROUND(W11*X11*(1-$U$5)/ОКРУГЛЕННЯ,0)*ОКРУГЛЕННЯ+MAX(0,F$8-$AA11)*КРОК_ГОСТЯ*(1-$U$5)+F$8*$AB11*(1-$U$5*$U$6)+$AD11*(1-$U$5*$U$7))</f>
        <v>8820</v>
      </c>
      <c r="G11" s="21" t="n">
        <f aca="false">IF(OR($AE11=0,G$8&gt;$Z11),"",ROUND(W11*X11*(1-$U$5)/ОКРУГЛЕННЯ,0)*ОКРУГЛЕННЯ+MAX(0,G$8-$AA11)*КРОК_ГОСТЯ*(1-$U$5)+G$8*$AB11*(1-$U$5*$U$6)+$AD11*(1-$U$5*$U$7))</f>
        <v>9270</v>
      </c>
      <c r="H11" s="21" t="n">
        <f aca="false">IF(OR($AE11=0,H$8&gt;$Z11),"",ROUND(W11*X11*(1-$U$5)/ОКРУГЛЕННЯ,0)*ОКРУГЛЕННЯ+MAX(0,H$8-$AA11)*КРОК_ГОСТЯ*(1-$U$5)+H$8*$AB11*(1-$U$5*$U$6)+$AD11*(1-$U$5*$U$7))</f>
        <v>9720</v>
      </c>
      <c r="I11" s="21" t="n">
        <f aca="false">IF(OR($AE11=0,I$8&gt;$Z11),"",ROUND(W11*X11*(1-$U$5)/ОКРУГЛЕННЯ,0)*ОКРУГЛЕННЯ+MAX(0,I$8-$AA11)*КРОК_ГОСТЯ*(1-$U$5)+I$8*$AB11*(1-$U$5*$U$6)+$AD11*(1-$U$5*$U$7))</f>
        <v>10170</v>
      </c>
      <c r="J11" s="21" t="str">
        <f aca="false">IF(OR($AE11=0,J$8&gt;$Z11),"",ROUND(W11*X11*(1-$U$5)/ОКРУГЛЕННЯ,0)*ОКРУГЛЕННЯ+MAX(0,J$8-$AA11)*КРОК_ГОСТЯ*(1-$U$5)+J$8*$AB11*(1-$U$5*$U$6)+$AD11*(1-$U$5*$U$7))</f>
        <v/>
      </c>
      <c r="K11" s="22" t="str">
        <f aca="false">IF(OR($AE11=0,K$8&gt;$Z11),"",ROUND(W11*X11*(1-$U$5)/ОКРУГЛЕННЯ,0)*ОКРУГЛЕННЯ+MAX(0,K$8-$AA11)*КРОК_ГОСТЯ*(1-$U$5)+K$8*$AB11*(1-$U$5*$U$6)+$AD11*(1-$U$5*$U$7))</f>
        <v/>
      </c>
      <c r="L11" s="4"/>
      <c r="M11" s="23" t="n">
        <f aca="false">IF(OR($AF11=0,M$8&gt;$Z11),"",ROUND(W11*X11*Y11*(1-$U$5)/ОКРУГЛЕННЯ,0)*ОКРУГЛЕННЯ+MAX(0,M$8-$AA11)*КРОК_ГОСТЯ*(1-$U$5)+M$8*$AC11*(1-$U$5*$U$6)+$AD11*(1-$U$5*$U$7))</f>
        <v>9207</v>
      </c>
      <c r="N11" s="21" t="n">
        <f aca="false">IF(OR($AF11=0,N$8&gt;$Z11),"",ROUND(W11*X11*Y11*(1-$U$5)/ОКРУГЛЕННЯ,0)*ОКРУГЛЕННЯ+MAX(0,N$8-$AA11)*КРОК_ГОСТЯ*(1-$U$5)+N$8*$AC11*(1-$U$5*$U$6)+$AD11*(1-$U$5*$U$7))</f>
        <v>9207</v>
      </c>
      <c r="O11" s="21" t="n">
        <f aca="false">IF(OR($AF11=0,O$8&gt;$Z11),"",ROUND(W11*X11*Y11*(1-$U$5)/ОКРУГЛЕННЯ,0)*ОКРУГЛЕННЯ+MAX(0,O$8-$AA11)*КРОК_ГОСТЯ*(1-$U$5)+O$8*$AC11*(1-$U$5*$U$6)+$AD11*(1-$U$5*$U$7))</f>
        <v>9657</v>
      </c>
      <c r="P11" s="21" t="n">
        <f aca="false">IF(OR($AF11=0,P$8&gt;$Z11),"",ROUND(W11*X11*Y11*(1-$U$5)/ОКРУГЛЕННЯ,0)*ОКРУГЛЕННЯ+MAX(0,P$8-$AA11)*КРОК_ГОСТЯ*(1-$U$5)+P$8*$AC11*(1-$U$5*$U$6)+$AD11*(1-$U$5*$U$7))</f>
        <v>10107</v>
      </c>
      <c r="Q11" s="21" t="n">
        <f aca="false">IF(OR($AF11=0,Q$8&gt;$Z11),"",ROUND(W11*X11*Y11*(1-$U$5)/ОКРУГЛЕННЯ,0)*ОКРУГЛЕННЯ+MAX(0,Q$8-$AA11)*КРОК_ГОСТЯ*(1-$U$5)+Q$8*$AC11*(1-$U$5*$U$6)+$AD11*(1-$U$5*$U$7))</f>
        <v>10557</v>
      </c>
      <c r="R11" s="21" t="n">
        <f aca="false">IF(OR($AF11=0,R$8&gt;$Z11),"",ROUND(W11*X11*Y11*(1-$U$5)/ОКРУГЛЕННЯ,0)*ОКРУГЛЕННЯ+MAX(0,R$8-$AA11)*КРОК_ГОСТЯ*(1-$U$5)+R$8*$AC11*(1-$U$5*$U$6)+$AD11*(1-$U$5*$U$7))</f>
        <v>11007</v>
      </c>
      <c r="S11" s="21" t="str">
        <f aca="false">IF(OR($AF11=0,S$8&gt;$Z11),"",ROUND(W11*X11*Y11*(1-$U$5)/ОКРУГЛЕННЯ,0)*ОКРУГЛЕННЯ+MAX(0,S$8-$AA11)*КРОК_ГОСТЯ*(1-$U$5)+S$8*$AC11*(1-$U$5*$U$6)+$AD11*(1-$U$5*$U$7))</f>
        <v/>
      </c>
      <c r="T11" s="21" t="str">
        <f aca="false">IF(OR($AF11=0,T$8&gt;$Z11),"",ROUND(W11*X11*Y11*(1-$U$5)/ОКРУГЛЕННЯ,0)*ОКРУГЛЕННЯ+MAX(0,T$8-$AA11)*КРОК_ГОСТЯ*(1-$U$5)+T$8*$AC11*(1-$U$5*$U$6)+$AD11*(1-$U$5*$U$7))</f>
        <v/>
      </c>
      <c r="U11" s="8" t="str">
        <f aca="false" t="array" ref="U11:U11">IF($U$12=0,"період не заданий",IFERROR(IF(OR(INDEX(ПЛ_ДАТА_З,$U$12)="",INDEX(ПЛ_ДАТА_ПО,$U$12)=""),"період не заданий",TEXT(DAY(INDEX(ПЛ_ДАТА_З,$U$12)),"00")&amp;"."&amp;TEXT(MONTH(INDEX(ПЛ_ДАТА_З,$U$12)),"00")&amp;"."&amp;YEAR(INDEX(ПЛ_ДАТА_З,$U$12))&amp;" – "&amp;TEXT(DAY(INDEX(ПЛ_ДАТА_ПО,$U$12)),"00")&amp;"."&amp;TEXT(MONTH(INDEX(ПЛ_ДАТА_ПО,$U$12)),"00")&amp;"."&amp;YEAR(INDEX(ПЛ_ДАТА_ПО,$U$12))),"період не заданий"))</f>
        <v>період не заданий</v>
      </c>
      <c r="V11" s="9" t="s">
        <v>20</v>
      </c>
      <c r="W11" s="24" t="n">
        <f aca="false" t="array" ref="W11:W11">IF(OR($U$3=0,$A11=""),0,IFERROR(INDEX(БАЗА_RO,MATCH(INDEX(ДОВ_ОПОРА,MATCH($A11,КАТЕГОРІЇ,0)),БАЗА_КАТ,0),$U$3),0))</f>
        <v>9300</v>
      </c>
      <c r="X11" s="25" t="n">
        <f aca="false" t="array" ref="X11:X11">IF(OR($U$3=0,$A11=""),0,IFERROR(INDEX(МНОЖНИКИ,MATCH($A11,МНОЖ_КАТ,0),$U$3),0))</f>
        <v>1</v>
      </c>
      <c r="Y11" s="25" t="n">
        <f aca="false" t="array" ref="Y11:Y11">IF(OR($U$3=0,$A11=""),0,IFERROR(INDEX(МНОЖНИКИ,MATCH($A11,МНОЖ_КАТ,0),$U$3+1),0))</f>
        <v>1.1</v>
      </c>
      <c r="Z11" s="11" t="n">
        <f aca="false" t="array" ref="Z11:Z11">IF($A11="",0,IFERROR(INDEX(ДОВ_МАКС,MATCH($A11,КАТЕГОРІЇ,0)),0))</f>
        <v>6</v>
      </c>
      <c r="AA11" s="11" t="n">
        <f aca="false" t="array" ref="AA11:AA11">IF($A11="",0,IFERROR(INDEX(ДОВ_ВКЛ,MATCH($A11,КАТЕГОРІЇ,0)),0))</f>
        <v>2</v>
      </c>
      <c r="AB11" s="8" t="n">
        <f aca="false" t="array" ref="AB11:AB11">IF(OR($U$3=0,$U$8=0),0,IFERROR(INDEX(ПАКЕТИ_ЦІНИ,MATCH($U$10&amp;"|Будні",ПАКЕТИ_КЛЮЧ,0),$U$3),0))</f>
        <v>0</v>
      </c>
      <c r="AC11" s="8" t="n">
        <f aca="false" t="array" ref="AC11:AC11">IF(OR($U$3=0,$U$8=0),0,IFERROR(INDEX(ПАКЕТИ_ЦІНИ,MATCH($U$10&amp;"|Вихідні",ПАКЕТИ_КЛЮЧ,0),$U$3),0))</f>
        <v>0</v>
      </c>
      <c r="AD11" s="24" t="n">
        <f aca="false" t="array" ref="AD11:AD11">IF(OR($U$3=0,$U$9=0,$A11=""),0,IFERROR(INDEX(SPA_ЦІНИ,MATCH(INDEX(ДОВ_SPA,MATCH($A11,КАТЕГОРІЇ,0)),SPA_РОЛЬ,0),$U$3),0))</f>
        <v>0</v>
      </c>
      <c r="AE11" s="8" t="n">
        <f aca="false">IF(OR($A11="",W11=0,X11=0,AND($U$8=1,AB11=0),AND($U$9=1,AD11=0)),0,1)</f>
        <v>1</v>
      </c>
      <c r="AF11" s="8" t="n">
        <f aca="false">IF(OR(AE11=0,Y11=0,AND($U$8=1,AC11=0)),0,1)</f>
        <v>1</v>
      </c>
    </row>
    <row r="12" customFormat="false" ht="15" hidden="false" customHeight="true" outlineLevel="0" collapsed="false">
      <c r="A12" s="32" t="str">
        <f aca="false">IF('Довідник категорій'!A8="","",'Довідник категорій'!A8)</f>
        <v>Шале преміум</v>
      </c>
      <c r="B12" s="33" t="str">
        <f aca="false" t="array" ref="B12:B12">IF($A12="","",IFERROR(INDEX(ДОВ_BOOKING,MATCH($A12,КАТЕГОРІЇ,0)),""))</f>
        <v>Віла з 3 спальнями 96 м²</v>
      </c>
      <c r="C12" s="34" t="str">
        <f aca="false" t="array" ref="C12:C12">IF($A12="","",IFERROR(INDEX(ДОВ_ГРУПА,MATCH($A12,КАТЕГОРІЇ,0)),""))</f>
        <v>Котеджі 3 спальні</v>
      </c>
      <c r="D12" s="35" t="n">
        <f aca="false">IF(OR($AE12=0,D$8&gt;$Z12),"",ROUND(W12*X12*(1-$U$5)/ОКРУГЛЕННЯ,0)*ОКРУГЛЕННЯ+MAX(0,D$8-$AA12)*КРОК_ГОСТЯ*(1-$U$5)+D$8*$AB12*(1-$U$5*$U$6)+$AD12*(1-$U$5*$U$7))</f>
        <v>9040</v>
      </c>
      <c r="E12" s="35" t="n">
        <f aca="false">IF(OR($AE12=0,E$8&gt;$Z12),"",ROUND(W12*X12*(1-$U$5)/ОКРУГЛЕННЯ,0)*ОКРУГЛЕННЯ+MAX(0,E$8-$AA12)*КРОК_ГОСТЯ*(1-$U$5)+E$8*$AB12*(1-$U$5*$U$6)+$AD12*(1-$U$5*$U$7))</f>
        <v>9040</v>
      </c>
      <c r="F12" s="35" t="n">
        <f aca="false">IF(OR($AE12=0,F$8&gt;$Z12),"",ROUND(W12*X12*(1-$U$5)/ОКРУГЛЕННЯ,0)*ОКРУГЛЕННЯ+MAX(0,F$8-$AA12)*КРОК_ГОСТЯ*(1-$U$5)+F$8*$AB12*(1-$U$5*$U$6)+$AD12*(1-$U$5*$U$7))</f>
        <v>9490</v>
      </c>
      <c r="G12" s="35" t="n">
        <f aca="false">IF(OR($AE12=0,G$8&gt;$Z12),"",ROUND(W12*X12*(1-$U$5)/ОКРУГЛЕННЯ,0)*ОКРУГЛЕННЯ+MAX(0,G$8-$AA12)*КРОК_ГОСТЯ*(1-$U$5)+G$8*$AB12*(1-$U$5*$U$6)+$AD12*(1-$U$5*$U$7))</f>
        <v>9940</v>
      </c>
      <c r="H12" s="35" t="n">
        <f aca="false">IF(OR($AE12=0,H$8&gt;$Z12),"",ROUND(W12*X12*(1-$U$5)/ОКРУГЛЕННЯ,0)*ОКРУГЛЕННЯ+MAX(0,H$8-$AA12)*КРОК_ГОСТЯ*(1-$U$5)+H$8*$AB12*(1-$U$5*$U$6)+$AD12*(1-$U$5*$U$7))</f>
        <v>10390</v>
      </c>
      <c r="I12" s="35" t="n">
        <f aca="false">IF(OR($AE12=0,I$8&gt;$Z12),"",ROUND(W12*X12*(1-$U$5)/ОКРУГЛЕННЯ,0)*ОКРУГЛЕННЯ+MAX(0,I$8-$AA12)*КРОК_ГОСТЯ*(1-$U$5)+I$8*$AB12*(1-$U$5*$U$6)+$AD12*(1-$U$5*$U$7))</f>
        <v>10840</v>
      </c>
      <c r="J12" s="35" t="str">
        <f aca="false">IF(OR($AE12=0,J$8&gt;$Z12),"",ROUND(W12*X12*(1-$U$5)/ОКРУГЛЕННЯ,0)*ОКРУГЛЕННЯ+MAX(0,J$8-$AA12)*КРОК_ГОСТЯ*(1-$U$5)+J$8*$AB12*(1-$U$5*$U$6)+$AD12*(1-$U$5*$U$7))</f>
        <v/>
      </c>
      <c r="K12" s="36" t="str">
        <f aca="false">IF(OR($AE12=0,K$8&gt;$Z12),"",ROUND(W12*X12*(1-$U$5)/ОКРУГЛЕННЯ,0)*ОКРУГЛЕННЯ+MAX(0,K$8-$AA12)*КРОК_ГОСТЯ*(1-$U$5)+K$8*$AB12*(1-$U$5*$U$6)+$AD12*(1-$U$5*$U$7))</f>
        <v/>
      </c>
      <c r="L12" s="4"/>
      <c r="M12" s="37" t="n">
        <f aca="false">IF(OR($AF12=0,M$8&gt;$Z12),"",ROUND(W12*X12*Y12*(1-$U$5)/ОКРУГЛЕННЯ,0)*ОКРУГЛЕННЯ+MAX(0,M$8-$AA12)*КРОК_ГОСТЯ*(1-$U$5)+M$8*$AC12*(1-$U$5*$U$6)+$AD12*(1-$U$5*$U$7))</f>
        <v>9944</v>
      </c>
      <c r="N12" s="35" t="n">
        <f aca="false">IF(OR($AF12=0,N$8&gt;$Z12),"",ROUND(W12*X12*Y12*(1-$U$5)/ОКРУГЛЕННЯ,0)*ОКРУГЛЕННЯ+MAX(0,N$8-$AA12)*КРОК_ГОСТЯ*(1-$U$5)+N$8*$AC12*(1-$U$5*$U$6)+$AD12*(1-$U$5*$U$7))</f>
        <v>9944</v>
      </c>
      <c r="O12" s="35" t="n">
        <f aca="false">IF(OR($AF12=0,O$8&gt;$Z12),"",ROUND(W12*X12*Y12*(1-$U$5)/ОКРУГЛЕННЯ,0)*ОКРУГЛЕННЯ+MAX(0,O$8-$AA12)*КРОК_ГОСТЯ*(1-$U$5)+O$8*$AC12*(1-$U$5*$U$6)+$AD12*(1-$U$5*$U$7))</f>
        <v>10394</v>
      </c>
      <c r="P12" s="35" t="n">
        <f aca="false">IF(OR($AF12=0,P$8&gt;$Z12),"",ROUND(W12*X12*Y12*(1-$U$5)/ОКРУГЛЕННЯ,0)*ОКРУГЛЕННЯ+MAX(0,P$8-$AA12)*КРОК_ГОСТЯ*(1-$U$5)+P$8*$AC12*(1-$U$5*$U$6)+$AD12*(1-$U$5*$U$7))</f>
        <v>10844</v>
      </c>
      <c r="Q12" s="35" t="n">
        <f aca="false">IF(OR($AF12=0,Q$8&gt;$Z12),"",ROUND(W12*X12*Y12*(1-$U$5)/ОКРУГЛЕННЯ,0)*ОКРУГЛЕННЯ+MAX(0,Q$8-$AA12)*КРОК_ГОСТЯ*(1-$U$5)+Q$8*$AC12*(1-$U$5*$U$6)+$AD12*(1-$U$5*$U$7))</f>
        <v>11294</v>
      </c>
      <c r="R12" s="35" t="n">
        <f aca="false">IF(OR($AF12=0,R$8&gt;$Z12),"",ROUND(W12*X12*Y12*(1-$U$5)/ОКРУГЛЕННЯ,0)*ОКРУГЛЕННЯ+MAX(0,R$8-$AA12)*КРОК_ГОСТЯ*(1-$U$5)+R$8*$AC12*(1-$U$5*$U$6)+$AD12*(1-$U$5*$U$7))</f>
        <v>11744</v>
      </c>
      <c r="S12" s="35" t="str">
        <f aca="false">IF(OR($AF12=0,S$8&gt;$Z12),"",ROUND(W12*X12*Y12*(1-$U$5)/ОКРУГЛЕННЯ,0)*ОКРУГЛЕННЯ+MAX(0,S$8-$AA12)*КРОК_ГОСТЯ*(1-$U$5)+S$8*$AC12*(1-$U$5*$U$6)+$AD12*(1-$U$5*$U$7))</f>
        <v/>
      </c>
      <c r="T12" s="35" t="str">
        <f aca="false">IF(OR($AF12=0,T$8&gt;$Z12),"",ROUND(W12*X12*Y12*(1-$U$5)/ОКРУГЛЕННЯ,0)*ОКРУГЛЕННЯ+MAX(0,T$8-$AA12)*КРОК_ГОСТЯ*(1-$U$5)+T$8*$AC12*(1-$U$5*$U$6)+$AD12*(1-$U$5*$U$7))</f>
        <v/>
      </c>
      <c r="U12" s="8" t="n">
        <f aca="false">IFERROR(MATCH($B$3,ПРАЙС_ЛИСТИ,0),0)</f>
        <v>26</v>
      </c>
      <c r="V12" s="9" t="s">
        <v>21</v>
      </c>
      <c r="W12" s="24" t="n">
        <f aca="false" t="array" ref="W12:W12">IF(OR($U$3=0,$A12=""),0,IFERROR(INDEX(БАЗА_RO,MATCH(INDEX(ДОВ_ОПОРА,MATCH($A12,КАТЕГОРІЇ,0)),БАЗА_КАТ,0),$U$3),0))</f>
        <v>9300</v>
      </c>
      <c r="X12" s="25" t="n">
        <f aca="false" t="array" ref="X12:X12">IF(OR($U$3=0,$A12=""),0,IFERROR(INDEX(МНОЖНИКИ,MATCH($A12,МНОЖ_КАТ,0),$U$3),0))</f>
        <v>1.08</v>
      </c>
      <c r="Y12" s="25" t="n">
        <f aca="false" t="array" ref="Y12:Y12">IF(OR($U$3=0,$A12=""),0,IFERROR(INDEX(МНОЖНИКИ,MATCH($A12,МНОЖ_КАТ,0),$U$3+1),0))</f>
        <v>1.1</v>
      </c>
      <c r="Z12" s="11" t="n">
        <f aca="false" t="array" ref="Z12:Z12">IF($A12="",0,IFERROR(INDEX(ДОВ_МАКС,MATCH($A12,КАТЕГОРІЇ,0)),0))</f>
        <v>6</v>
      </c>
      <c r="AA12" s="11" t="n">
        <f aca="false" t="array" ref="AA12:AA12">IF($A12="",0,IFERROR(INDEX(ДОВ_ВКЛ,MATCH($A12,КАТЕГОРІЇ,0)),0))</f>
        <v>2</v>
      </c>
      <c r="AB12" s="8" t="n">
        <f aca="false" t="array" ref="AB12:AB12">IF(OR($U$3=0,$U$8=0),0,IFERROR(INDEX(ПАКЕТИ_ЦІНИ,MATCH($U$10&amp;"|Будні",ПАКЕТИ_КЛЮЧ,0),$U$3),0))</f>
        <v>0</v>
      </c>
      <c r="AC12" s="8" t="n">
        <f aca="false" t="array" ref="AC12:AC12">IF(OR($U$3=0,$U$8=0),0,IFERROR(INDEX(ПАКЕТИ_ЦІНИ,MATCH($U$10&amp;"|Вихідні",ПАКЕТИ_КЛЮЧ,0),$U$3),0))</f>
        <v>0</v>
      </c>
      <c r="AD12" s="24" t="n">
        <f aca="false" t="array" ref="AD12:AD12">IF(OR($U$3=0,$U$9=0,$A12=""),0,IFERROR(INDEX(SPA_ЦІНИ,MATCH(INDEX(ДОВ_SPA,MATCH($A12,КАТЕГОРІЇ,0)),SPA_РОЛЬ,0),$U$3),0))</f>
        <v>0</v>
      </c>
      <c r="AE12" s="8" t="n">
        <f aca="false">IF(OR($A12="",W12=0,X12=0,AND($U$8=1,AB12=0),AND($U$9=1,AD12=0)),0,1)</f>
        <v>1</v>
      </c>
      <c r="AF12" s="8" t="n">
        <f aca="false">IF(OR(AE12=0,Y12=0,AND($U$8=1,AC12=0)),0,1)</f>
        <v>1</v>
      </c>
    </row>
    <row r="13" customFormat="false" ht="15" hidden="false" customHeight="true" outlineLevel="0" collapsed="false">
      <c r="A13" s="18" t="str">
        <f aca="false">IF('Довідник категорій'!A9="","",'Довідник категорій'!A9)</f>
        <v>Шале преміум збільшене</v>
      </c>
      <c r="B13" s="19" t="str">
        <f aca="false" t="array" ref="B13:B13">IF($A13="","",IFERROR(INDEX(ДОВ_BOOKING,MATCH($A13,КАТЕГОРІЇ,0)),""))</f>
        <v>Шале з 3 спальнями 112 м²</v>
      </c>
      <c r="C13" s="20" t="str">
        <f aca="false" t="array" ref="C13:C13">IF($A13="","",IFERROR(INDEX(ДОВ_ГРУПА,MATCH($A13,КАТЕГОРІЇ,0)),""))</f>
        <v>Котеджі 3 спальні</v>
      </c>
      <c r="D13" s="21" t="n">
        <f aca="false">IF(OR($AE13=0,D$8&gt;$Z13),"",ROUND(W13*X13*(1-$U$5)/ОКРУГЛЕННЯ,0)*ОКРУГЛЕННЯ+MAX(0,D$8-$AA13)*КРОК_ГОСТЯ*(1-$U$5)+D$8*$AB13*(1-$U$5*$U$6)+$AD13*(1-$U$5*$U$7))</f>
        <v>11048</v>
      </c>
      <c r="E13" s="21" t="n">
        <f aca="false">IF(OR($AE13=0,E$8&gt;$Z13),"",ROUND(W13*X13*(1-$U$5)/ОКРУГЛЕННЯ,0)*ОКРУГЛЕННЯ+MAX(0,E$8-$AA13)*КРОК_ГОСТЯ*(1-$U$5)+E$8*$AB13*(1-$U$5*$U$6)+$AD13*(1-$U$5*$U$7))</f>
        <v>11048</v>
      </c>
      <c r="F13" s="21" t="n">
        <f aca="false">IF(OR($AE13=0,F$8&gt;$Z13),"",ROUND(W13*X13*(1-$U$5)/ОКРУГЛЕННЯ,0)*ОКРУГЛЕННЯ+MAX(0,F$8-$AA13)*КРОК_ГОСТЯ*(1-$U$5)+F$8*$AB13*(1-$U$5*$U$6)+$AD13*(1-$U$5*$U$7))</f>
        <v>11498</v>
      </c>
      <c r="G13" s="21" t="n">
        <f aca="false">IF(OR($AE13=0,G$8&gt;$Z13),"",ROUND(W13*X13*(1-$U$5)/ОКРУГЛЕННЯ,0)*ОКРУГЛЕННЯ+MAX(0,G$8-$AA13)*КРОК_ГОСТЯ*(1-$U$5)+G$8*$AB13*(1-$U$5*$U$6)+$AD13*(1-$U$5*$U$7))</f>
        <v>11948</v>
      </c>
      <c r="H13" s="21" t="n">
        <f aca="false">IF(OR($AE13=0,H$8&gt;$Z13),"",ROUND(W13*X13*(1-$U$5)/ОКРУГЛЕННЯ,0)*ОКРУГЛЕННЯ+MAX(0,H$8-$AA13)*КРОК_ГОСТЯ*(1-$U$5)+H$8*$AB13*(1-$U$5*$U$6)+$AD13*(1-$U$5*$U$7))</f>
        <v>12398</v>
      </c>
      <c r="I13" s="21" t="n">
        <f aca="false">IF(OR($AE13=0,I$8&gt;$Z13),"",ROUND(W13*X13*(1-$U$5)/ОКРУГЛЕННЯ,0)*ОКРУГЛЕННЯ+MAX(0,I$8-$AA13)*КРОК_ГОСТЯ*(1-$U$5)+I$8*$AB13*(1-$U$5*$U$6)+$AD13*(1-$U$5*$U$7))</f>
        <v>12848</v>
      </c>
      <c r="J13" s="21" t="str">
        <f aca="false">IF(OR($AE13=0,J$8&gt;$Z13),"",ROUND(W13*X13*(1-$U$5)/ОКРУГЛЕННЯ,0)*ОКРУГЛЕННЯ+MAX(0,J$8-$AA13)*КРОК_ГОСТЯ*(1-$U$5)+J$8*$AB13*(1-$U$5*$U$6)+$AD13*(1-$U$5*$U$7))</f>
        <v/>
      </c>
      <c r="K13" s="22" t="str">
        <f aca="false">IF(OR($AE13=0,K$8&gt;$Z13),"",ROUND(W13*X13*(1-$U$5)/ОКРУГЛЕННЯ,0)*ОКРУГЛЕННЯ+MAX(0,K$8-$AA13)*КРОК_ГОСТЯ*(1-$U$5)+K$8*$AB13*(1-$U$5*$U$6)+$AD13*(1-$U$5*$U$7))</f>
        <v/>
      </c>
      <c r="L13" s="4"/>
      <c r="M13" s="23" t="n">
        <f aca="false">IF(OR($AF13=0,M$8&gt;$Z13),"",ROUND(W13*X13*Y13*(1-$U$5)/ОКРУГЛЕННЯ,0)*ОКРУГЛЕННЯ+MAX(0,M$8-$AA13)*КРОК_ГОСТЯ*(1-$U$5)+M$8*$AC13*(1-$U$5*$U$6)+$AD13*(1-$U$5*$U$7))</f>
        <v>11711</v>
      </c>
      <c r="N13" s="21" t="n">
        <f aca="false">IF(OR($AF13=0,N$8&gt;$Z13),"",ROUND(W13*X13*Y13*(1-$U$5)/ОКРУГЛЕННЯ,0)*ОКРУГЛЕННЯ+MAX(0,N$8-$AA13)*КРОК_ГОСТЯ*(1-$U$5)+N$8*$AC13*(1-$U$5*$U$6)+$AD13*(1-$U$5*$U$7))</f>
        <v>11711</v>
      </c>
      <c r="O13" s="21" t="n">
        <f aca="false">IF(OR($AF13=0,O$8&gt;$Z13),"",ROUND(W13*X13*Y13*(1-$U$5)/ОКРУГЛЕННЯ,0)*ОКРУГЛЕННЯ+MAX(0,O$8-$AA13)*КРОК_ГОСТЯ*(1-$U$5)+O$8*$AC13*(1-$U$5*$U$6)+$AD13*(1-$U$5*$U$7))</f>
        <v>12161</v>
      </c>
      <c r="P13" s="21" t="n">
        <f aca="false">IF(OR($AF13=0,P$8&gt;$Z13),"",ROUND(W13*X13*Y13*(1-$U$5)/ОКРУГЛЕННЯ,0)*ОКРУГЛЕННЯ+MAX(0,P$8-$AA13)*КРОК_ГОСТЯ*(1-$U$5)+P$8*$AC13*(1-$U$5*$U$6)+$AD13*(1-$U$5*$U$7))</f>
        <v>12611</v>
      </c>
      <c r="Q13" s="21" t="n">
        <f aca="false">IF(OR($AF13=0,Q$8&gt;$Z13),"",ROUND(W13*X13*Y13*(1-$U$5)/ОКРУГЛЕННЯ,0)*ОКРУГЛЕННЯ+MAX(0,Q$8-$AA13)*КРОК_ГОСТЯ*(1-$U$5)+Q$8*$AC13*(1-$U$5*$U$6)+$AD13*(1-$U$5*$U$7))</f>
        <v>13061</v>
      </c>
      <c r="R13" s="21" t="n">
        <f aca="false">IF(OR($AF13=0,R$8&gt;$Z13),"",ROUND(W13*X13*Y13*(1-$U$5)/ОКРУГЛЕННЯ,0)*ОКРУГЛЕННЯ+MAX(0,R$8-$AA13)*КРОК_ГОСТЯ*(1-$U$5)+R$8*$AC13*(1-$U$5*$U$6)+$AD13*(1-$U$5*$U$7))</f>
        <v>13511</v>
      </c>
      <c r="S13" s="21" t="str">
        <f aca="false">IF(OR($AF13=0,S$8&gt;$Z13),"",ROUND(W13*X13*Y13*(1-$U$5)/ОКРУГЛЕННЯ,0)*ОКРУГЛЕННЯ+MAX(0,S$8-$AA13)*КРОК_ГОСТЯ*(1-$U$5)+S$8*$AC13*(1-$U$5*$U$6)+$AD13*(1-$U$5*$U$7))</f>
        <v/>
      </c>
      <c r="T13" s="21" t="str">
        <f aca="false">IF(OR($AF13=0,T$8&gt;$Z13),"",ROUND(W13*X13*Y13*(1-$U$5)/ОКРУГЛЕННЯ,0)*ОКРУГЛЕННЯ+MAX(0,T$8-$AA13)*КРОК_ГОСТЯ*(1-$U$5)+T$8*$AC13*(1-$U$5*$U$6)+$AD13*(1-$U$5*$U$7))</f>
        <v/>
      </c>
      <c r="U13" s="8" t="n">
        <f aca="false" t="array" ref="U13:U13">IF($U$3=0,0,COUNT(INDEX(БАЗА_RO,1,$U$3),INDEX(БАЗА_RO,2,$U$3),INDEX(БАЗА_RO,3,$U$3),INDEX(БАЗА_RO,4,$U$3)))</f>
        <v>4</v>
      </c>
      <c r="V13" s="9" t="s">
        <v>22</v>
      </c>
      <c r="W13" s="24" t="n">
        <f aca="false" t="array" ref="W13:W13">IF(OR($U$3=0,$A13=""),0,IFERROR(INDEX(БАЗА_RO,MATCH(INDEX(ДОВ_ОПОРА,MATCH($A13,КАТЕГОРІЇ,0)),БАЗА_КАТ,0),$U$3),0))</f>
        <v>9300</v>
      </c>
      <c r="X13" s="25" t="n">
        <f aca="false" t="array" ref="X13:X13">IF(OR($U$3=0,$A13=""),0,IFERROR(INDEX(МНОЖНИКИ,MATCH($A13,МНОЖ_КАТ,0),$U$3),0))</f>
        <v>1.32</v>
      </c>
      <c r="Y13" s="25" t="n">
        <f aca="false" t="array" ref="Y13:Y13">IF(OR($U$3=0,$A13=""),0,IFERROR(INDEX(МНОЖНИКИ,MATCH($A13,МНОЖ_КАТ,0),$U$3+1),0))</f>
        <v>1.06</v>
      </c>
      <c r="Z13" s="11" t="n">
        <f aca="false" t="array" ref="Z13:Z13">IF($A13="",0,IFERROR(INDEX(ДОВ_МАКС,MATCH($A13,КАТЕГОРІЇ,0)),0))</f>
        <v>6</v>
      </c>
      <c r="AA13" s="11" t="n">
        <f aca="false" t="array" ref="AA13:AA13">IF($A13="",0,IFERROR(INDEX(ДОВ_ВКЛ,MATCH($A13,КАТЕГОРІЇ,0)),0))</f>
        <v>2</v>
      </c>
      <c r="AB13" s="8" t="n">
        <f aca="false" t="array" ref="AB13:AB13">IF(OR($U$3=0,$U$8=0),0,IFERROR(INDEX(ПАКЕТИ_ЦІНИ,MATCH($U$10&amp;"|Будні",ПАКЕТИ_КЛЮЧ,0),$U$3),0))</f>
        <v>0</v>
      </c>
      <c r="AC13" s="8" t="n">
        <f aca="false" t="array" ref="AC13:AC13">IF(OR($U$3=0,$U$8=0),0,IFERROR(INDEX(ПАКЕТИ_ЦІНИ,MATCH($U$10&amp;"|Вихідні",ПАКЕТИ_КЛЮЧ,0),$U$3),0))</f>
        <v>0</v>
      </c>
      <c r="AD13" s="24" t="n">
        <f aca="false" t="array" ref="AD13:AD13">IF(OR($U$3=0,$U$9=0,$A13=""),0,IFERROR(INDEX(SPA_ЦІНИ,MATCH(INDEX(ДОВ_SPA,MATCH($A13,КАТЕГОРІЇ,0)),SPA_РОЛЬ,0),$U$3),0))</f>
        <v>0</v>
      </c>
      <c r="AE13" s="8" t="n">
        <f aca="false">IF(OR($A13="",W13=0,X13=0,AND($U$8=1,AB13=0),AND($U$9=1,AD13=0)),0,1)</f>
        <v>1</v>
      </c>
      <c r="AF13" s="8" t="n">
        <f aca="false">IF(OR(AE13=0,Y13=0,AND($U$8=1,AC13=0)),0,1)</f>
        <v>1</v>
      </c>
    </row>
    <row r="14" customFormat="false" ht="15" hidden="false" customHeight="true" outlineLevel="0" collapsed="false">
      <c r="A14" s="32" t="str">
        <f aca="false">IF('Довідник категорій'!A10="","",'Довідник категорій'!A10)</f>
        <v>Шале преміум збільшене East Hill</v>
      </c>
      <c r="B14" s="33" t="str">
        <f aca="false" t="array" ref="B14:B14">IF($A14="","",IFERROR(INDEX(ДОВ_BOOKING,MATCH($A14,КАТЕГОРІЇ,0)),""))</f>
        <v>Шале з 3 спальнями 112 м²</v>
      </c>
      <c r="C14" s="34" t="str">
        <f aca="false" t="array" ref="C14:C14">IF($A14="","",IFERROR(INDEX(ДОВ_ГРУПА,MATCH($A14,КАТЕГОРІЇ,0)),""))</f>
        <v>Котеджі 3 спальні</v>
      </c>
      <c r="D14" s="35" t="n">
        <f aca="false">IF(OR($AE14=0,D$8&gt;$Z14),"",ROUND(W14*X14*(1-$U$5)/ОКРУГЛЕННЯ,0)*ОКРУГЛЕННЯ+MAX(0,D$8-$AA14)*КРОК_ГОСТЯ*(1-$U$5)+D$8*$AB14*(1-$U$5*$U$6)+$AD14*(1-$U$5*$U$7))</f>
        <v>12722</v>
      </c>
      <c r="E14" s="35" t="n">
        <f aca="false">IF(OR($AE14=0,E$8&gt;$Z14),"",ROUND(W14*X14*(1-$U$5)/ОКРУГЛЕННЯ,0)*ОКРУГЛЕННЯ+MAX(0,E$8-$AA14)*КРОК_ГОСТЯ*(1-$U$5)+E$8*$AB14*(1-$U$5*$U$6)+$AD14*(1-$U$5*$U$7))</f>
        <v>12722</v>
      </c>
      <c r="F14" s="35" t="n">
        <f aca="false">IF(OR($AE14=0,F$8&gt;$Z14),"",ROUND(W14*X14*(1-$U$5)/ОКРУГЛЕННЯ,0)*ОКРУГЛЕННЯ+MAX(0,F$8-$AA14)*КРОК_ГОСТЯ*(1-$U$5)+F$8*$AB14*(1-$U$5*$U$6)+$AD14*(1-$U$5*$U$7))</f>
        <v>13172</v>
      </c>
      <c r="G14" s="35" t="n">
        <f aca="false">IF(OR($AE14=0,G$8&gt;$Z14),"",ROUND(W14*X14*(1-$U$5)/ОКРУГЛЕННЯ,0)*ОКРУГЛЕННЯ+MAX(0,G$8-$AA14)*КРОК_ГОСТЯ*(1-$U$5)+G$8*$AB14*(1-$U$5*$U$6)+$AD14*(1-$U$5*$U$7))</f>
        <v>13622</v>
      </c>
      <c r="H14" s="35" t="n">
        <f aca="false">IF(OR($AE14=0,H$8&gt;$Z14),"",ROUND(W14*X14*(1-$U$5)/ОКРУГЛЕННЯ,0)*ОКРУГЛЕННЯ+MAX(0,H$8-$AA14)*КРОК_ГОСТЯ*(1-$U$5)+H$8*$AB14*(1-$U$5*$U$6)+$AD14*(1-$U$5*$U$7))</f>
        <v>14072</v>
      </c>
      <c r="I14" s="35" t="n">
        <f aca="false">IF(OR($AE14=0,I$8&gt;$Z14),"",ROUND(W14*X14*(1-$U$5)/ОКРУГЛЕННЯ,0)*ОКРУГЛЕННЯ+MAX(0,I$8-$AA14)*КРОК_ГОСТЯ*(1-$U$5)+I$8*$AB14*(1-$U$5*$U$6)+$AD14*(1-$U$5*$U$7))</f>
        <v>14522</v>
      </c>
      <c r="J14" s="35" t="str">
        <f aca="false">IF(OR($AE14=0,J$8&gt;$Z14),"",ROUND(W14*X14*(1-$U$5)/ОКРУГЛЕННЯ,0)*ОКРУГЛЕННЯ+MAX(0,J$8-$AA14)*КРОК_ГОСТЯ*(1-$U$5)+J$8*$AB14*(1-$U$5*$U$6)+$AD14*(1-$U$5*$U$7))</f>
        <v/>
      </c>
      <c r="K14" s="36" t="str">
        <f aca="false">IF(OR($AE14=0,K$8&gt;$Z14),"",ROUND(W14*X14*(1-$U$5)/ОКРУГЛЕННЯ,0)*ОКРУГЛЕННЯ+MAX(0,K$8-$AA14)*КРОК_ГОСТЯ*(1-$U$5)+K$8*$AB14*(1-$U$5*$U$6)+$AD14*(1-$U$5*$U$7))</f>
        <v/>
      </c>
      <c r="L14" s="4"/>
      <c r="M14" s="37" t="n">
        <f aca="false">IF(OR($AF14=0,M$8&gt;$Z14),"",ROUND(W14*X14*Y14*(1-$U$5)/ОКРУГЛЕННЯ,0)*ОКРУГЛЕННЯ+MAX(0,M$8-$AA14)*КРОК_ГОСТЯ*(1-$U$5)+M$8*$AC14*(1-$U$5*$U$6)+$AD14*(1-$U$5*$U$7))</f>
        <v>13422</v>
      </c>
      <c r="N14" s="35" t="n">
        <f aca="false">IF(OR($AF14=0,N$8&gt;$Z14),"",ROUND(W14*X14*Y14*(1-$U$5)/ОКРУГЛЕННЯ,0)*ОКРУГЛЕННЯ+MAX(0,N$8-$AA14)*КРОК_ГОСТЯ*(1-$U$5)+N$8*$AC14*(1-$U$5*$U$6)+$AD14*(1-$U$5*$U$7))</f>
        <v>13422</v>
      </c>
      <c r="O14" s="35" t="n">
        <f aca="false">IF(OR($AF14=0,O$8&gt;$Z14),"",ROUND(W14*X14*Y14*(1-$U$5)/ОКРУГЛЕННЯ,0)*ОКРУГЛЕННЯ+MAX(0,O$8-$AA14)*КРОК_ГОСТЯ*(1-$U$5)+O$8*$AC14*(1-$U$5*$U$6)+$AD14*(1-$U$5*$U$7))</f>
        <v>13872</v>
      </c>
      <c r="P14" s="35" t="n">
        <f aca="false">IF(OR($AF14=0,P$8&gt;$Z14),"",ROUND(W14*X14*Y14*(1-$U$5)/ОКРУГЛЕННЯ,0)*ОКРУГЛЕННЯ+MAX(0,P$8-$AA14)*КРОК_ГОСТЯ*(1-$U$5)+P$8*$AC14*(1-$U$5*$U$6)+$AD14*(1-$U$5*$U$7))</f>
        <v>14322</v>
      </c>
      <c r="Q14" s="35" t="n">
        <f aca="false">IF(OR($AF14=0,Q$8&gt;$Z14),"",ROUND(W14*X14*Y14*(1-$U$5)/ОКРУГЛЕННЯ,0)*ОКРУГЛЕННЯ+MAX(0,Q$8-$AA14)*КРОК_ГОСТЯ*(1-$U$5)+Q$8*$AC14*(1-$U$5*$U$6)+$AD14*(1-$U$5*$U$7))</f>
        <v>14772</v>
      </c>
      <c r="R14" s="35" t="n">
        <f aca="false">IF(OR($AF14=0,R$8&gt;$Z14),"",ROUND(W14*X14*Y14*(1-$U$5)/ОКРУГЛЕННЯ,0)*ОКРУГЛЕННЯ+MAX(0,R$8-$AA14)*КРОК_ГОСТЯ*(1-$U$5)+R$8*$AC14*(1-$U$5*$U$6)+$AD14*(1-$U$5*$U$7))</f>
        <v>15222</v>
      </c>
      <c r="S14" s="35" t="str">
        <f aca="false">IF(OR($AF14=0,S$8&gt;$Z14),"",ROUND(W14*X14*Y14*(1-$U$5)/ОКРУГЛЕННЯ,0)*ОКРУГЛЕННЯ+MAX(0,S$8-$AA14)*КРОК_ГОСТЯ*(1-$U$5)+S$8*$AC14*(1-$U$5*$U$6)+$AD14*(1-$U$5*$U$7))</f>
        <v/>
      </c>
      <c r="T14" s="35" t="str">
        <f aca="false">IF(OR($AF14=0,T$8&gt;$Z14),"",ROUND(W14*X14*Y14*(1-$U$5)/ОКРУГЛЕННЯ,0)*ОКРУГЛЕННЯ+MAX(0,T$8-$AA14)*КРОК_ГОСТЯ*(1-$U$5)+T$8*$AC14*(1-$U$5*$U$6)+$AD14*(1-$U$5*$U$7))</f>
        <v/>
      </c>
      <c r="U14" s="4"/>
      <c r="V14" s="4"/>
      <c r="W14" s="24" t="n">
        <f aca="false" t="array" ref="W14:W14">IF(OR($U$3=0,$A14=""),0,IFERROR(INDEX(БАЗА_RO,MATCH(INDEX(ДОВ_ОПОРА,MATCH($A14,КАТЕГОРІЇ,0)),БАЗА_КАТ,0),$U$3),0))</f>
        <v>9300</v>
      </c>
      <c r="X14" s="25" t="n">
        <f aca="false" t="array" ref="X14:X14">IF(OR($U$3=0,$A14=""),0,IFERROR(INDEX(МНОЖНИКИ,MATCH($A14,МНОЖ_КАТ,0),$U$3),0))</f>
        <v>1.52</v>
      </c>
      <c r="Y14" s="25" t="n">
        <f aca="false" t="array" ref="Y14:Y14">IF(OR($U$3=0,$A14=""),0,IFERROR(INDEX(МНОЖНИКИ,MATCH($A14,МНОЖ_КАТ,0),$U$3+1),0))</f>
        <v>1.055</v>
      </c>
      <c r="Z14" s="11" t="n">
        <f aca="false" t="array" ref="Z14:Z14">IF($A14="",0,IFERROR(INDEX(ДОВ_МАКС,MATCH($A14,КАТЕГОРІЇ,0)),0))</f>
        <v>6</v>
      </c>
      <c r="AA14" s="11" t="n">
        <f aca="false" t="array" ref="AA14:AA14">IF($A14="",0,IFERROR(INDEX(ДОВ_ВКЛ,MATCH($A14,КАТЕГОРІЇ,0)),0))</f>
        <v>2</v>
      </c>
      <c r="AB14" s="8" t="n">
        <f aca="false" t="array" ref="AB14:AB14">IF(OR($U$3=0,$U$8=0),0,IFERROR(INDEX(ПАКЕТИ_ЦІНИ,MATCH($U$10&amp;"|Будні",ПАКЕТИ_КЛЮЧ,0),$U$3),0))</f>
        <v>0</v>
      </c>
      <c r="AC14" s="8" t="n">
        <f aca="false" t="array" ref="AC14:AC14">IF(OR($U$3=0,$U$8=0),0,IFERROR(INDEX(ПАКЕТИ_ЦІНИ,MATCH($U$10&amp;"|Вихідні",ПАКЕТИ_КЛЮЧ,0),$U$3),0))</f>
        <v>0</v>
      </c>
      <c r="AD14" s="24" t="n">
        <f aca="false" t="array" ref="AD14:AD14">IF(OR($U$3=0,$U$9=0,$A14=""),0,IFERROR(INDEX(SPA_ЦІНИ,MATCH(INDEX(ДОВ_SPA,MATCH($A14,КАТЕГОРІЇ,0)),SPA_РОЛЬ,0),$U$3),0))</f>
        <v>0</v>
      </c>
      <c r="AE14" s="8" t="n">
        <f aca="false">IF(OR($A14="",W14=0,X14=0,AND($U$8=1,AB14=0),AND($U$9=1,AD14=0)),0,1)</f>
        <v>1</v>
      </c>
      <c r="AF14" s="8" t="n">
        <f aca="false">IF(OR(AE14=0,Y14=0,AND($U$8=1,AC14=0)),0,1)</f>
        <v>1</v>
      </c>
    </row>
    <row r="15" customFormat="false" ht="15" hidden="false" customHeight="true" outlineLevel="0" collapsed="false">
      <c r="A15" s="38" t="str">
        <f aca="false">IF('Довідник категорій'!A11="","",'Довідник категорій'!A11)</f>
        <v>Президентське шале</v>
      </c>
      <c r="B15" s="39" t="str">
        <f aca="false" t="array" ref="B15:B15">IF($A15="","",IFERROR(INDEX(ДОВ_BOOKING,MATCH($A15,КАТЕГОРІЇ,0)),""))</f>
        <v>Шале Люкс</v>
      </c>
      <c r="C15" s="40" t="str">
        <f aca="false" t="array" ref="C15:C15">IF($A15="","",IFERROR(INDEX(ДОВ_ГРУПА,MATCH($A15,КАТЕГОРІЇ,0)),""))</f>
        <v>Котеджі 3 спальні</v>
      </c>
      <c r="D15" s="41" t="n">
        <f aca="false">IF(OR($AE15=0,D$8&gt;$Z15),"",ROUND(W15*X15*(1-$U$5)/ОКРУГЛЕННЯ,0)*ОКРУГЛЕННЯ+MAX(0,D$8-$AA15)*КРОК_ГОСТЯ*(1-$U$5)+D$8*$AB15*(1-$U$5*$U$6)+$AD15*(1-$U$5*$U$7))</f>
        <v>15066</v>
      </c>
      <c r="E15" s="41" t="n">
        <f aca="false">IF(OR($AE15=0,E$8&gt;$Z15),"",ROUND(W15*X15*(1-$U$5)/ОКРУГЛЕННЯ,0)*ОКРУГЛЕННЯ+MAX(0,E$8-$AA15)*КРОК_ГОСТЯ*(1-$U$5)+E$8*$AB15*(1-$U$5*$U$6)+$AD15*(1-$U$5*$U$7))</f>
        <v>15066</v>
      </c>
      <c r="F15" s="41" t="n">
        <f aca="false">IF(OR($AE15=0,F$8&gt;$Z15),"",ROUND(W15*X15*(1-$U$5)/ОКРУГЛЕННЯ,0)*ОКРУГЛЕННЯ+MAX(0,F$8-$AA15)*КРОК_ГОСТЯ*(1-$U$5)+F$8*$AB15*(1-$U$5*$U$6)+$AD15*(1-$U$5*$U$7))</f>
        <v>15516</v>
      </c>
      <c r="G15" s="41" t="n">
        <f aca="false">IF(OR($AE15=0,G$8&gt;$Z15),"",ROUND(W15*X15*(1-$U$5)/ОКРУГЛЕННЯ,0)*ОКРУГЛЕННЯ+MAX(0,G$8-$AA15)*КРОК_ГОСТЯ*(1-$U$5)+G$8*$AB15*(1-$U$5*$U$6)+$AD15*(1-$U$5*$U$7))</f>
        <v>15966</v>
      </c>
      <c r="H15" s="41" t="n">
        <f aca="false">IF(OR($AE15=0,H$8&gt;$Z15),"",ROUND(W15*X15*(1-$U$5)/ОКРУГЛЕННЯ,0)*ОКРУГЛЕННЯ+MAX(0,H$8-$AA15)*КРОК_ГОСТЯ*(1-$U$5)+H$8*$AB15*(1-$U$5*$U$6)+$AD15*(1-$U$5*$U$7))</f>
        <v>16416</v>
      </c>
      <c r="I15" s="41" t="n">
        <f aca="false">IF(OR($AE15=0,I$8&gt;$Z15),"",ROUND(W15*X15*(1-$U$5)/ОКРУГЛЕННЯ,0)*ОКРУГЛЕННЯ+MAX(0,I$8-$AA15)*КРОК_ГОСТЯ*(1-$U$5)+I$8*$AB15*(1-$U$5*$U$6)+$AD15*(1-$U$5*$U$7))</f>
        <v>16866</v>
      </c>
      <c r="J15" s="41" t="n">
        <f aca="false">IF(OR($AE15=0,J$8&gt;$Z15),"",ROUND(W15*X15*(1-$U$5)/ОКРУГЛЕННЯ,0)*ОКРУГЛЕННЯ+MAX(0,J$8-$AA15)*КРОК_ГОСТЯ*(1-$U$5)+J$8*$AB15*(1-$U$5*$U$6)+$AD15*(1-$U$5*$U$7))</f>
        <v>17316</v>
      </c>
      <c r="K15" s="42" t="n">
        <f aca="false">IF(OR($AE15=0,K$8&gt;$Z15),"",ROUND(W15*X15*(1-$U$5)/ОКРУГЛЕННЯ,0)*ОКРУГЛЕННЯ+MAX(0,K$8-$AA15)*КРОК_ГОСТЯ*(1-$U$5)+K$8*$AB15*(1-$U$5*$U$6)+$AD15*(1-$U$5*$U$7))</f>
        <v>17766</v>
      </c>
      <c r="L15" s="4"/>
      <c r="M15" s="43" t="n">
        <f aca="false">IF(OR($AF15=0,M$8&gt;$Z15),"",ROUND(W15*X15*Y15*(1-$U$5)/ОКРУГЛЕННЯ,0)*ОКРУГЛЕННЯ+MAX(0,M$8-$AA15)*КРОК_ГОСТЯ*(1-$U$5)+M$8*$AC15*(1-$U$5*$U$6)+$AD15*(1-$U$5*$U$7))</f>
        <v>15518</v>
      </c>
      <c r="N15" s="41" t="n">
        <f aca="false">IF(OR($AF15=0,N$8&gt;$Z15),"",ROUND(W15*X15*Y15*(1-$U$5)/ОКРУГЛЕННЯ,0)*ОКРУГЛЕННЯ+MAX(0,N$8-$AA15)*КРОК_ГОСТЯ*(1-$U$5)+N$8*$AC15*(1-$U$5*$U$6)+$AD15*(1-$U$5*$U$7))</f>
        <v>15518</v>
      </c>
      <c r="O15" s="41" t="n">
        <f aca="false">IF(OR($AF15=0,O$8&gt;$Z15),"",ROUND(W15*X15*Y15*(1-$U$5)/ОКРУГЛЕННЯ,0)*ОКРУГЛЕННЯ+MAX(0,O$8-$AA15)*КРОК_ГОСТЯ*(1-$U$5)+O$8*$AC15*(1-$U$5*$U$6)+$AD15*(1-$U$5*$U$7))</f>
        <v>15968</v>
      </c>
      <c r="P15" s="41" t="n">
        <f aca="false">IF(OR($AF15=0,P$8&gt;$Z15),"",ROUND(W15*X15*Y15*(1-$U$5)/ОКРУГЛЕННЯ,0)*ОКРУГЛЕННЯ+MAX(0,P$8-$AA15)*КРОК_ГОСТЯ*(1-$U$5)+P$8*$AC15*(1-$U$5*$U$6)+$AD15*(1-$U$5*$U$7))</f>
        <v>16418</v>
      </c>
      <c r="Q15" s="41" t="n">
        <f aca="false">IF(OR($AF15=0,Q$8&gt;$Z15),"",ROUND(W15*X15*Y15*(1-$U$5)/ОКРУГЛЕННЯ,0)*ОКРУГЛЕННЯ+MAX(0,Q$8-$AA15)*КРОК_ГОСТЯ*(1-$U$5)+Q$8*$AC15*(1-$U$5*$U$6)+$AD15*(1-$U$5*$U$7))</f>
        <v>16868</v>
      </c>
      <c r="R15" s="41" t="n">
        <f aca="false">IF(OR($AF15=0,R$8&gt;$Z15),"",ROUND(W15*X15*Y15*(1-$U$5)/ОКРУГЛЕННЯ,0)*ОКРУГЛЕННЯ+MAX(0,R$8-$AA15)*КРОК_ГОСТЯ*(1-$U$5)+R$8*$AC15*(1-$U$5*$U$6)+$AD15*(1-$U$5*$U$7))</f>
        <v>17318</v>
      </c>
      <c r="S15" s="41" t="n">
        <f aca="false">IF(OR($AF15=0,S$8&gt;$Z15),"",ROUND(W15*X15*Y15*(1-$U$5)/ОКРУГЛЕННЯ,0)*ОКРУГЛЕННЯ+MAX(0,S$8-$AA15)*КРОК_ГОСТЯ*(1-$U$5)+S$8*$AC15*(1-$U$5*$U$6)+$AD15*(1-$U$5*$U$7))</f>
        <v>17768</v>
      </c>
      <c r="T15" s="41" t="n">
        <f aca="false">IF(OR($AF15=0,T$8&gt;$Z15),"",ROUND(W15*X15*Y15*(1-$U$5)/ОКРУГЛЕННЯ,0)*ОКРУГЛЕННЯ+MAX(0,T$8-$AA15)*КРОК_ГОСТЯ*(1-$U$5)+T$8*$AC15*(1-$U$5*$U$6)+$AD15*(1-$U$5*$U$7))</f>
        <v>18218</v>
      </c>
      <c r="U15" s="4"/>
      <c r="V15" s="4"/>
      <c r="W15" s="24" t="n">
        <f aca="false" t="array" ref="W15:W15">IF(OR($U$3=0,$A15=""),0,IFERROR(INDEX(БАЗА_RO,MATCH(INDEX(ДОВ_ОПОРА,MATCH($A15,КАТЕГОРІЇ,0)),БАЗА_КАТ,0),$U$3),0))</f>
        <v>9300</v>
      </c>
      <c r="X15" s="25" t="n">
        <f aca="false" t="array" ref="X15:X15">IF(OR($U$3=0,$A15=""),0,IFERROR(INDEX(МНОЖНИКИ,MATCH($A15,МНОЖ_КАТ,0),$U$3),0))</f>
        <v>1.8</v>
      </c>
      <c r="Y15" s="25" t="n">
        <f aca="false" t="array" ref="Y15:Y15">IF(OR($U$3=0,$A15=""),0,IFERROR(INDEX(МНОЖНИКИ,MATCH($A15,МНОЖ_КАТ,0),$U$3+1),0))</f>
        <v>1.03</v>
      </c>
      <c r="Z15" s="11" t="n">
        <f aca="false" t="array" ref="Z15:Z15">IF($A15="",0,IFERROR(INDEX(ДОВ_МАКС,MATCH($A15,КАТЕГОРІЇ,0)),0))</f>
        <v>8</v>
      </c>
      <c r="AA15" s="11" t="n">
        <f aca="false" t="array" ref="AA15:AA15">IF($A15="",0,IFERROR(INDEX(ДОВ_ВКЛ,MATCH($A15,КАТЕГОРІЇ,0)),0))</f>
        <v>2</v>
      </c>
      <c r="AB15" s="8" t="n">
        <f aca="false" t="array" ref="AB15:AB15">IF(OR($U$3=0,$U$8=0),0,IFERROR(INDEX(ПАКЕТИ_ЦІНИ,MATCH($U$10&amp;"|Будні",ПАКЕТИ_КЛЮЧ,0),$U$3),0))</f>
        <v>0</v>
      </c>
      <c r="AC15" s="8" t="n">
        <f aca="false" t="array" ref="AC15:AC15">IF(OR($U$3=0,$U$8=0),0,IFERROR(INDEX(ПАКЕТИ_ЦІНИ,MATCH($U$10&amp;"|Вихідні",ПАКЕТИ_КЛЮЧ,0),$U$3),0))</f>
        <v>0</v>
      </c>
      <c r="AD15" s="24" t="n">
        <f aca="false" t="array" ref="AD15:AD15">IF(OR($U$3=0,$U$9=0,$A15=""),0,IFERROR(INDEX(SPA_ЦІНИ,MATCH(INDEX(ДОВ_SPA,MATCH($A15,КАТЕГОРІЇ,0)),SPA_РОЛЬ,0),$U$3),0))</f>
        <v>0</v>
      </c>
      <c r="AE15" s="8" t="n">
        <f aca="false">IF(OR($A15="",W15=0,X15=0,AND($U$8=1,AB15=0),AND($U$9=1,AD15=0)),0,1)</f>
        <v>1</v>
      </c>
      <c r="AF15" s="8" t="n">
        <f aca="false">IF(OR(AE15=0,Y15=0,AND($U$8=1,AC15=0)),0,1)</f>
        <v>1</v>
      </c>
    </row>
    <row r="16" customFormat="false" ht="15" hidden="false" customHeight="true" outlineLevel="0" collapsed="false">
      <c r="A16" s="32" t="str">
        <f aca="false">IF('Довідник категорій'!A12="","",'Довідник категорій'!A12)</f>
        <v>Апартаменти стандартні 20 м²</v>
      </c>
      <c r="B16" s="33" t="str">
        <f aca="false" t="array" ref="B16:B16">IF($A16="","",IFERROR(INDEX(ДОВ_BOOKING,MATCH($A16,КАТЕГОРІЇ,0)),""))</f>
        <v>Апартаменти стандартні 20 м²</v>
      </c>
      <c r="C16" s="34" t="str">
        <f aca="false" t="array" ref="C16:C16">IF($A16="","",IFERROR(INDEX(ДОВ_ГРУПА,MATCH($A16,КАТЕГОРІЇ,0)),""))</f>
        <v>Apartments A</v>
      </c>
      <c r="D16" s="35" t="n">
        <f aca="false">IF(OR($AE16=0,D$8&gt;$Z16),"",ROUND(W16*X16*(1-$U$5)/ОКРУГЛЕННЯ,0)*ОКРУГЛЕННЯ+MAX(0,D$8-$AA16)*КРОК_ГОСТЯ*(1-$U$5)+D$8*$AB16*(1-$U$5*$U$6)+$AD16*(1-$U$5*$U$7))</f>
        <v>3420</v>
      </c>
      <c r="E16" s="35" t="n">
        <f aca="false">IF(OR($AE16=0,E$8&gt;$Z16),"",ROUND(W16*X16*(1-$U$5)/ОКРУГЛЕННЯ,0)*ОКРУГЛЕННЯ+MAX(0,E$8-$AA16)*КРОК_ГОСТЯ*(1-$U$5)+E$8*$AB16*(1-$U$5*$U$6)+$AD16*(1-$U$5*$U$7))</f>
        <v>3420</v>
      </c>
      <c r="F16" s="35" t="str">
        <f aca="false">IF(OR($AE16=0,F$8&gt;$Z16),"",ROUND(W16*X16*(1-$U$5)/ОКРУГЛЕННЯ,0)*ОКРУГЛЕННЯ+MAX(0,F$8-$AA16)*КРОК_ГОСТЯ*(1-$U$5)+F$8*$AB16*(1-$U$5*$U$6)+$AD16*(1-$U$5*$U$7))</f>
        <v/>
      </c>
      <c r="G16" s="35" t="str">
        <f aca="false">IF(OR($AE16=0,G$8&gt;$Z16),"",ROUND(W16*X16*(1-$U$5)/ОКРУГЛЕННЯ,0)*ОКРУГЛЕННЯ+MAX(0,G$8-$AA16)*КРОК_ГОСТЯ*(1-$U$5)+G$8*$AB16*(1-$U$5*$U$6)+$AD16*(1-$U$5*$U$7))</f>
        <v/>
      </c>
      <c r="H16" s="35" t="str">
        <f aca="false">IF(OR($AE16=0,H$8&gt;$Z16),"",ROUND(W16*X16*(1-$U$5)/ОКРУГЛЕННЯ,0)*ОКРУГЛЕННЯ+MAX(0,H$8-$AA16)*КРОК_ГОСТЯ*(1-$U$5)+H$8*$AB16*(1-$U$5*$U$6)+$AD16*(1-$U$5*$U$7))</f>
        <v/>
      </c>
      <c r="I16" s="35" t="str">
        <f aca="false">IF(OR($AE16=0,I$8&gt;$Z16),"",ROUND(W16*X16*(1-$U$5)/ОКРУГЛЕННЯ,0)*ОКРУГЛЕННЯ+MAX(0,I$8-$AA16)*КРОК_ГОСТЯ*(1-$U$5)+I$8*$AB16*(1-$U$5*$U$6)+$AD16*(1-$U$5*$U$7))</f>
        <v/>
      </c>
      <c r="J16" s="35" t="str">
        <f aca="false">IF(OR($AE16=0,J$8&gt;$Z16),"",ROUND(W16*X16*(1-$U$5)/ОКРУГЛЕННЯ,0)*ОКРУГЛЕННЯ+MAX(0,J$8-$AA16)*КРОК_ГОСТЯ*(1-$U$5)+J$8*$AB16*(1-$U$5*$U$6)+$AD16*(1-$U$5*$U$7))</f>
        <v/>
      </c>
      <c r="K16" s="36" t="str">
        <f aca="false">IF(OR($AE16=0,K$8&gt;$Z16),"",ROUND(W16*X16*(1-$U$5)/ОКРУГЛЕННЯ,0)*ОКРУГЛЕННЯ+MAX(0,K$8-$AA16)*КРОК_ГОСТЯ*(1-$U$5)+K$8*$AB16*(1-$U$5*$U$6)+$AD16*(1-$U$5*$U$7))</f>
        <v/>
      </c>
      <c r="L16" s="4"/>
      <c r="M16" s="37" t="n">
        <f aca="false">IF(OR($AF16=0,M$8&gt;$Z16),"",ROUND(W16*X16*Y16*(1-$U$5)/ОКРУГЛЕННЯ,0)*ОКРУГЛЕННЯ+MAX(0,M$8-$AA16)*КРОК_ГОСТЯ*(1-$U$5)+M$8*$AC16*(1-$U$5*$U$6)+$AD16*(1-$U$5*$U$7))</f>
        <v>3762</v>
      </c>
      <c r="N16" s="35" t="n">
        <f aca="false">IF(OR($AF16=0,N$8&gt;$Z16),"",ROUND(W16*X16*Y16*(1-$U$5)/ОКРУГЛЕННЯ,0)*ОКРУГЛЕННЯ+MAX(0,N$8-$AA16)*КРОК_ГОСТЯ*(1-$U$5)+N$8*$AC16*(1-$U$5*$U$6)+$AD16*(1-$U$5*$U$7))</f>
        <v>3762</v>
      </c>
      <c r="O16" s="35" t="str">
        <f aca="false">IF(OR($AF16=0,O$8&gt;$Z16),"",ROUND(W16*X16*Y16*(1-$U$5)/ОКРУГЛЕННЯ,0)*ОКРУГЛЕННЯ+MAX(0,O$8-$AA16)*КРОК_ГОСТЯ*(1-$U$5)+O$8*$AC16*(1-$U$5*$U$6)+$AD16*(1-$U$5*$U$7))</f>
        <v/>
      </c>
      <c r="P16" s="35" t="str">
        <f aca="false">IF(OR($AF16=0,P$8&gt;$Z16),"",ROUND(W16*X16*Y16*(1-$U$5)/ОКРУГЛЕННЯ,0)*ОКРУГЛЕННЯ+MAX(0,P$8-$AA16)*КРОК_ГОСТЯ*(1-$U$5)+P$8*$AC16*(1-$U$5*$U$6)+$AD16*(1-$U$5*$U$7))</f>
        <v/>
      </c>
      <c r="Q16" s="35" t="str">
        <f aca="false">IF(OR($AF16=0,Q$8&gt;$Z16),"",ROUND(W16*X16*Y16*(1-$U$5)/ОКРУГЛЕННЯ,0)*ОКРУГЛЕННЯ+MAX(0,Q$8-$AA16)*КРОК_ГОСТЯ*(1-$U$5)+Q$8*$AC16*(1-$U$5*$U$6)+$AD16*(1-$U$5*$U$7))</f>
        <v/>
      </c>
      <c r="R16" s="35" t="str">
        <f aca="false">IF(OR($AF16=0,R$8&gt;$Z16),"",ROUND(W16*X16*Y16*(1-$U$5)/ОКРУГЛЕННЯ,0)*ОКРУГЛЕННЯ+MAX(0,R$8-$AA16)*КРОК_ГОСТЯ*(1-$U$5)+R$8*$AC16*(1-$U$5*$U$6)+$AD16*(1-$U$5*$U$7))</f>
        <v/>
      </c>
      <c r="S16" s="35" t="str">
        <f aca="false">IF(OR($AF16=0,S$8&gt;$Z16),"",ROUND(W16*X16*Y16*(1-$U$5)/ОКРУГЛЕННЯ,0)*ОКРУГЛЕННЯ+MAX(0,S$8-$AA16)*КРОК_ГОСТЯ*(1-$U$5)+S$8*$AC16*(1-$U$5*$U$6)+$AD16*(1-$U$5*$U$7))</f>
        <v/>
      </c>
      <c r="T16" s="35" t="str">
        <f aca="false">IF(OR($AF16=0,T$8&gt;$Z16),"",ROUND(W16*X16*Y16*(1-$U$5)/ОКРУГЛЕННЯ,0)*ОКРУГЛЕННЯ+MAX(0,T$8-$AA16)*КРОК_ГОСТЯ*(1-$U$5)+T$8*$AC16*(1-$U$5*$U$6)+$AD16*(1-$U$5*$U$7))</f>
        <v/>
      </c>
      <c r="U16" s="4"/>
      <c r="V16" s="4"/>
      <c r="W16" s="24" t="n">
        <f aca="false" t="array" ref="W16:W16">IF(OR($U$3=0,$A16=""),0,IFERROR(INDEX(БАЗА_RO,MATCH(INDEX(ДОВ_ОПОРА,MATCH($A16,КАТЕГОРІЇ,0)),БАЗА_КАТ,0),$U$3),0))</f>
        <v>3800</v>
      </c>
      <c r="X16" s="25" t="n">
        <f aca="false" t="array" ref="X16:X16">IF(OR($U$3=0,$A16=""),0,IFERROR(INDEX(МНОЖНИКИ,MATCH($A16,МНОЖ_КАТ,0),$U$3),0))</f>
        <v>1</v>
      </c>
      <c r="Y16" s="25" t="n">
        <f aca="false" t="array" ref="Y16:Y16">IF(OR($U$3=0,$A16=""),0,IFERROR(INDEX(МНОЖНИКИ,MATCH($A16,МНОЖ_КАТ,0),$U$3+1),0))</f>
        <v>1.1</v>
      </c>
      <c r="Z16" s="11" t="n">
        <f aca="false" t="array" ref="Z16:Z16">IF($A16="",0,IFERROR(INDEX(ДОВ_МАКС,MATCH($A16,КАТЕГОРІЇ,0)),0))</f>
        <v>2</v>
      </c>
      <c r="AA16" s="11" t="n">
        <f aca="false" t="array" ref="AA16:AA16">IF($A16="",0,IFERROR(INDEX(ДОВ_ВКЛ,MATCH($A16,КАТЕГОРІЇ,0)),0))</f>
        <v>2</v>
      </c>
      <c r="AB16" s="8" t="n">
        <f aca="false" t="array" ref="AB16:AB16">IF(OR($U$3=0,$U$8=0),0,IFERROR(INDEX(ПАКЕТИ_ЦІНИ,MATCH($U$10&amp;"|Будні",ПАКЕТИ_КЛЮЧ,0),$U$3),0))</f>
        <v>0</v>
      </c>
      <c r="AC16" s="8" t="n">
        <f aca="false" t="array" ref="AC16:AC16">IF(OR($U$3=0,$U$8=0),0,IFERROR(INDEX(ПАКЕТИ_ЦІНИ,MATCH($U$10&amp;"|Вихідні",ПАКЕТИ_КЛЮЧ,0),$U$3),0))</f>
        <v>0</v>
      </c>
      <c r="AD16" s="24" t="n">
        <f aca="false" t="array" ref="AD16:AD16">IF(OR($U$3=0,$U$9=0,$A16=""),0,IFERROR(INDEX(SPA_ЦІНИ,MATCH(INDEX(ДОВ_SPA,MATCH($A16,КАТЕГОРІЇ,0)),SPA_РОЛЬ,0),$U$3),0))</f>
        <v>0</v>
      </c>
      <c r="AE16" s="8" t="n">
        <f aca="false">IF(OR($A16="",W16=0,X16=0,AND($U$8=1,AB16=0),AND($U$9=1,AD16=0)),0,1)</f>
        <v>1</v>
      </c>
      <c r="AF16" s="8" t="n">
        <f aca="false">IF(OR(AE16=0,Y16=0,AND($U$8=1,AC16=0)),0,1)</f>
        <v>1</v>
      </c>
    </row>
    <row r="17" customFormat="false" ht="15" hidden="false" customHeight="true" outlineLevel="0" collapsed="false">
      <c r="A17" s="18" t="str">
        <f aca="false">IF('Довідник категорій'!A13="","",'Довідник категорій'!A13)</f>
        <v>Апартаменти покращені 28 м²</v>
      </c>
      <c r="B17" s="19" t="str">
        <f aca="false" t="array" ref="B17:B17">IF($A17="","",IFERROR(INDEX(ДОВ_BOOKING,MATCH($A17,КАТЕГОРІЇ,0)),""))</f>
        <v>Апартаменти покращені 28 м²</v>
      </c>
      <c r="C17" s="20" t="str">
        <f aca="false" t="array" ref="C17:C17">IF($A17="","",IFERROR(INDEX(ДОВ_ГРУПА,MATCH($A17,КАТЕГОРІЇ,0)),""))</f>
        <v>Apartments A</v>
      </c>
      <c r="D17" s="21" t="n">
        <f aca="false">IF(OR($AE17=0,D$8&gt;$Z17),"",ROUND(W17*X17*(1-$U$5)/ОКРУГЛЕННЯ,0)*ОКРУГЛЕННЯ+MAX(0,D$8-$AA17)*КРОК_ГОСТЯ*(1-$U$5)+D$8*$AB17*(1-$U$5*$U$6)+$AD17*(1-$U$5*$U$7))</f>
        <v>3899</v>
      </c>
      <c r="E17" s="21" t="n">
        <f aca="false">IF(OR($AE17=0,E$8&gt;$Z17),"",ROUND(W17*X17*(1-$U$5)/ОКРУГЛЕННЯ,0)*ОКРУГЛЕННЯ+MAX(0,E$8-$AA17)*КРОК_ГОСТЯ*(1-$U$5)+E$8*$AB17*(1-$U$5*$U$6)+$AD17*(1-$U$5*$U$7))</f>
        <v>3899</v>
      </c>
      <c r="F17" s="21" t="str">
        <f aca="false">IF(OR($AE17=0,F$8&gt;$Z17),"",ROUND(W17*X17*(1-$U$5)/ОКРУГЛЕННЯ,0)*ОКРУГЛЕННЯ+MAX(0,F$8-$AA17)*КРОК_ГОСТЯ*(1-$U$5)+F$8*$AB17*(1-$U$5*$U$6)+$AD17*(1-$U$5*$U$7))</f>
        <v/>
      </c>
      <c r="G17" s="21" t="str">
        <f aca="false">IF(OR($AE17=0,G$8&gt;$Z17),"",ROUND(W17*X17*(1-$U$5)/ОКРУГЛЕННЯ,0)*ОКРУГЛЕННЯ+MAX(0,G$8-$AA17)*КРОК_ГОСТЯ*(1-$U$5)+G$8*$AB17*(1-$U$5*$U$6)+$AD17*(1-$U$5*$U$7))</f>
        <v/>
      </c>
      <c r="H17" s="21" t="str">
        <f aca="false">IF(OR($AE17=0,H$8&gt;$Z17),"",ROUND(W17*X17*(1-$U$5)/ОКРУГЛЕННЯ,0)*ОКРУГЛЕННЯ+MAX(0,H$8-$AA17)*КРОК_ГОСТЯ*(1-$U$5)+H$8*$AB17*(1-$U$5*$U$6)+$AD17*(1-$U$5*$U$7))</f>
        <v/>
      </c>
      <c r="I17" s="21" t="str">
        <f aca="false">IF(OR($AE17=0,I$8&gt;$Z17),"",ROUND(W17*X17*(1-$U$5)/ОКРУГЛЕННЯ,0)*ОКРУГЛЕННЯ+MAX(0,I$8-$AA17)*КРОК_ГОСТЯ*(1-$U$5)+I$8*$AB17*(1-$U$5*$U$6)+$AD17*(1-$U$5*$U$7))</f>
        <v/>
      </c>
      <c r="J17" s="21" t="str">
        <f aca="false">IF(OR($AE17=0,J$8&gt;$Z17),"",ROUND(W17*X17*(1-$U$5)/ОКРУГЛЕННЯ,0)*ОКРУГЛЕННЯ+MAX(0,J$8-$AA17)*КРОК_ГОСТЯ*(1-$U$5)+J$8*$AB17*(1-$U$5*$U$6)+$AD17*(1-$U$5*$U$7))</f>
        <v/>
      </c>
      <c r="K17" s="22" t="str">
        <f aca="false">IF(OR($AE17=0,K$8&gt;$Z17),"",ROUND(W17*X17*(1-$U$5)/ОКРУГЛЕННЯ,0)*ОКРУГЛЕННЯ+MAX(0,K$8-$AA17)*КРОК_ГОСТЯ*(1-$U$5)+K$8*$AB17*(1-$U$5*$U$6)+$AD17*(1-$U$5*$U$7))</f>
        <v/>
      </c>
      <c r="L17" s="4"/>
      <c r="M17" s="23" t="n">
        <f aca="false">IF(OR($AF17=0,M$8&gt;$Z17),"",ROUND(W17*X17*Y17*(1-$U$5)/ОКРУГЛЕННЯ,0)*ОКРУГЛЕННЯ+MAX(0,M$8-$AA17)*КРОК_ГОСТЯ*(1-$U$5)+M$8*$AC17*(1-$U$5*$U$6)+$AD17*(1-$U$5*$U$7))</f>
        <v>4289</v>
      </c>
      <c r="N17" s="21" t="n">
        <f aca="false">IF(OR($AF17=0,N$8&gt;$Z17),"",ROUND(W17*X17*Y17*(1-$U$5)/ОКРУГЛЕННЯ,0)*ОКРУГЛЕННЯ+MAX(0,N$8-$AA17)*КРОК_ГОСТЯ*(1-$U$5)+N$8*$AC17*(1-$U$5*$U$6)+$AD17*(1-$U$5*$U$7))</f>
        <v>4289</v>
      </c>
      <c r="O17" s="21" t="str">
        <f aca="false">IF(OR($AF17=0,O$8&gt;$Z17),"",ROUND(W17*X17*Y17*(1-$U$5)/ОКРУГЛЕННЯ,0)*ОКРУГЛЕННЯ+MAX(0,O$8-$AA17)*КРОК_ГОСТЯ*(1-$U$5)+O$8*$AC17*(1-$U$5*$U$6)+$AD17*(1-$U$5*$U$7))</f>
        <v/>
      </c>
      <c r="P17" s="21" t="str">
        <f aca="false">IF(OR($AF17=0,P$8&gt;$Z17),"",ROUND(W17*X17*Y17*(1-$U$5)/ОКРУГЛЕННЯ,0)*ОКРУГЛЕННЯ+MAX(0,P$8-$AA17)*КРОК_ГОСТЯ*(1-$U$5)+P$8*$AC17*(1-$U$5*$U$6)+$AD17*(1-$U$5*$U$7))</f>
        <v/>
      </c>
      <c r="Q17" s="21" t="str">
        <f aca="false">IF(OR($AF17=0,Q$8&gt;$Z17),"",ROUND(W17*X17*Y17*(1-$U$5)/ОКРУГЛЕННЯ,0)*ОКРУГЛЕННЯ+MAX(0,Q$8-$AA17)*КРОК_ГОСТЯ*(1-$U$5)+Q$8*$AC17*(1-$U$5*$U$6)+$AD17*(1-$U$5*$U$7))</f>
        <v/>
      </c>
      <c r="R17" s="21" t="str">
        <f aca="false">IF(OR($AF17=0,R$8&gt;$Z17),"",ROUND(W17*X17*Y17*(1-$U$5)/ОКРУГЛЕННЯ,0)*ОКРУГЛЕННЯ+MAX(0,R$8-$AA17)*КРОК_ГОСТЯ*(1-$U$5)+R$8*$AC17*(1-$U$5*$U$6)+$AD17*(1-$U$5*$U$7))</f>
        <v/>
      </c>
      <c r="S17" s="21" t="str">
        <f aca="false">IF(OR($AF17=0,S$8&gt;$Z17),"",ROUND(W17*X17*Y17*(1-$U$5)/ОКРУГЛЕННЯ,0)*ОКРУГЛЕННЯ+MAX(0,S$8-$AA17)*КРОК_ГОСТЯ*(1-$U$5)+S$8*$AC17*(1-$U$5*$U$6)+$AD17*(1-$U$5*$U$7))</f>
        <v/>
      </c>
      <c r="T17" s="21" t="str">
        <f aca="false">IF(OR($AF17=0,T$8&gt;$Z17),"",ROUND(W17*X17*Y17*(1-$U$5)/ОКРУГЛЕННЯ,0)*ОКРУГЛЕННЯ+MAX(0,T$8-$AA17)*КРОК_ГОСТЯ*(1-$U$5)+T$8*$AC17*(1-$U$5*$U$6)+$AD17*(1-$U$5*$U$7))</f>
        <v/>
      </c>
      <c r="U17" s="4"/>
      <c r="V17" s="4"/>
      <c r="W17" s="24" t="n">
        <f aca="false" t="array" ref="W17:W17">IF(OR($U$3=0,$A17=""),0,IFERROR(INDEX(БАЗА_RO,MATCH(INDEX(ДОВ_ОПОРА,MATCH($A17,КАТЕГОРІЇ,0)),БАЗА_КАТ,0),$U$3),0))</f>
        <v>3800</v>
      </c>
      <c r="X17" s="25" t="n">
        <f aca="false" t="array" ref="X17:X17">IF(OR($U$3=0,$A17=""),0,IFERROR(INDEX(МНОЖНИКИ,MATCH($A17,МНОЖ_КАТ,0),$U$3),0))</f>
        <v>1.14</v>
      </c>
      <c r="Y17" s="25" t="n">
        <f aca="false" t="array" ref="Y17:Y17">IF(OR($U$3=0,$A17=""),0,IFERROR(INDEX(МНОЖНИКИ,MATCH($A17,МНОЖ_КАТ,0),$U$3+1),0))</f>
        <v>1.1</v>
      </c>
      <c r="Z17" s="11" t="n">
        <f aca="false" t="array" ref="Z17:Z17">IF($A17="",0,IFERROR(INDEX(ДОВ_МАКС,MATCH($A17,КАТЕГОРІЇ,0)),0))</f>
        <v>2</v>
      </c>
      <c r="AA17" s="11" t="n">
        <f aca="false" t="array" ref="AA17:AA17">IF($A17="",0,IFERROR(INDEX(ДОВ_ВКЛ,MATCH($A17,КАТЕГОРІЇ,0)),0))</f>
        <v>2</v>
      </c>
      <c r="AB17" s="8" t="n">
        <f aca="false" t="array" ref="AB17:AB17">IF(OR($U$3=0,$U$8=0),0,IFERROR(INDEX(ПАКЕТИ_ЦІНИ,MATCH($U$10&amp;"|Будні",ПАКЕТИ_КЛЮЧ,0),$U$3),0))</f>
        <v>0</v>
      </c>
      <c r="AC17" s="8" t="n">
        <f aca="false" t="array" ref="AC17:AC17">IF(OR($U$3=0,$U$8=0),0,IFERROR(INDEX(ПАКЕТИ_ЦІНИ,MATCH($U$10&amp;"|Вихідні",ПАКЕТИ_КЛЮЧ,0),$U$3),0))</f>
        <v>0</v>
      </c>
      <c r="AD17" s="24" t="n">
        <f aca="false" t="array" ref="AD17:AD17">IF(OR($U$3=0,$U$9=0,$A17=""),0,IFERROR(INDEX(SPA_ЦІНИ,MATCH(INDEX(ДОВ_SPA,MATCH($A17,КАТЕГОРІЇ,0)),SPA_РОЛЬ,0),$U$3),0))</f>
        <v>0</v>
      </c>
      <c r="AE17" s="8" t="n">
        <f aca="false">IF(OR($A17="",W17=0,X17=0,AND($U$8=1,AB17=0),AND($U$9=1,AD17=0)),0,1)</f>
        <v>1</v>
      </c>
      <c r="AF17" s="8" t="n">
        <f aca="false">IF(OR(AE17=0,Y17=0,AND($U$8=1,AC17=0)),0,1)</f>
        <v>1</v>
      </c>
    </row>
    <row r="18" customFormat="false" ht="15" hidden="false" customHeight="true" outlineLevel="0" collapsed="false">
      <c r="A18" s="32" t="str">
        <f aca="false">IF('Довідник категорій'!A14="","",'Довідник категорій'!A14)</f>
        <v>Апартаменти Люкс 25 м²</v>
      </c>
      <c r="B18" s="33" t="str">
        <f aca="false" t="array" ref="B18:B18">IF($A18="","",IFERROR(INDEX(ДОВ_BOOKING,MATCH($A18,КАТЕГОРІЇ,0)),""))</f>
        <v>Апартаменти Люкс 25 м²</v>
      </c>
      <c r="C18" s="34" t="str">
        <f aca="false" t="array" ref="C18:C18">IF($A18="","",IFERROR(INDEX(ДОВ_ГРУПА,MATCH($A18,КАТЕГОРІЇ,0)),""))</f>
        <v>Apartments A</v>
      </c>
      <c r="D18" s="35" t="n">
        <f aca="false">IF(OR($AE18=0,D$8&gt;$Z18),"",ROUND(W18*X18*(1-$U$5)/ОКРУГЛЕННЯ,0)*ОКРУГЛЕННЯ+MAX(0,D$8-$AA18)*КРОК_ГОСТЯ*(1-$U$5)+D$8*$AB18*(1-$U$5*$U$6)+$AD18*(1-$U$5*$U$7))</f>
        <v>4788</v>
      </c>
      <c r="E18" s="35" t="n">
        <f aca="false">IF(OR($AE18=0,E$8&gt;$Z18),"",ROUND(W18*X18*(1-$U$5)/ОКРУГЛЕННЯ,0)*ОКРУГЛЕННЯ+MAX(0,E$8-$AA18)*КРОК_ГОСТЯ*(1-$U$5)+E$8*$AB18*(1-$U$5*$U$6)+$AD18*(1-$U$5*$U$7))</f>
        <v>4788</v>
      </c>
      <c r="F18" s="35" t="str">
        <f aca="false">IF(OR($AE18=0,F$8&gt;$Z18),"",ROUND(W18*X18*(1-$U$5)/ОКРУГЛЕННЯ,0)*ОКРУГЛЕННЯ+MAX(0,F$8-$AA18)*КРОК_ГОСТЯ*(1-$U$5)+F$8*$AB18*(1-$U$5*$U$6)+$AD18*(1-$U$5*$U$7))</f>
        <v/>
      </c>
      <c r="G18" s="35" t="str">
        <f aca="false">IF(OR($AE18=0,G$8&gt;$Z18),"",ROUND(W18*X18*(1-$U$5)/ОКРУГЛЕННЯ,0)*ОКРУГЛЕННЯ+MAX(0,G$8-$AA18)*КРОК_ГОСТЯ*(1-$U$5)+G$8*$AB18*(1-$U$5*$U$6)+$AD18*(1-$U$5*$U$7))</f>
        <v/>
      </c>
      <c r="H18" s="35" t="str">
        <f aca="false">IF(OR($AE18=0,H$8&gt;$Z18),"",ROUND(W18*X18*(1-$U$5)/ОКРУГЛЕННЯ,0)*ОКРУГЛЕННЯ+MAX(0,H$8-$AA18)*КРОК_ГОСТЯ*(1-$U$5)+H$8*$AB18*(1-$U$5*$U$6)+$AD18*(1-$U$5*$U$7))</f>
        <v/>
      </c>
      <c r="I18" s="35" t="str">
        <f aca="false">IF(OR($AE18=0,I$8&gt;$Z18),"",ROUND(W18*X18*(1-$U$5)/ОКРУГЛЕННЯ,0)*ОКРУГЛЕННЯ+MAX(0,I$8-$AA18)*КРОК_ГОСТЯ*(1-$U$5)+I$8*$AB18*(1-$U$5*$U$6)+$AD18*(1-$U$5*$U$7))</f>
        <v/>
      </c>
      <c r="J18" s="35" t="str">
        <f aca="false">IF(OR($AE18=0,J$8&gt;$Z18),"",ROUND(W18*X18*(1-$U$5)/ОКРУГЛЕННЯ,0)*ОКРУГЛЕННЯ+MAX(0,J$8-$AA18)*КРОК_ГОСТЯ*(1-$U$5)+J$8*$AB18*(1-$U$5*$U$6)+$AD18*(1-$U$5*$U$7))</f>
        <v/>
      </c>
      <c r="K18" s="36" t="str">
        <f aca="false">IF(OR($AE18=0,K$8&gt;$Z18),"",ROUND(W18*X18*(1-$U$5)/ОКРУГЛЕННЯ,0)*ОКРУГЛЕННЯ+MAX(0,K$8-$AA18)*КРОК_ГОСТЯ*(1-$U$5)+K$8*$AB18*(1-$U$5*$U$6)+$AD18*(1-$U$5*$U$7))</f>
        <v/>
      </c>
      <c r="L18" s="4"/>
      <c r="M18" s="37" t="n">
        <f aca="false">IF(OR($AF18=0,M$8&gt;$Z18),"",ROUND(W18*X18*Y18*(1-$U$5)/ОКРУГЛЕННЯ,0)*ОКРУГЛЕННЯ+MAX(0,M$8-$AA18)*КРОК_ГОСТЯ*(1-$U$5)+M$8*$AC18*(1-$U$5*$U$6)+$AD18*(1-$U$5*$U$7))</f>
        <v>5027</v>
      </c>
      <c r="N18" s="35" t="n">
        <f aca="false">IF(OR($AF18=0,N$8&gt;$Z18),"",ROUND(W18*X18*Y18*(1-$U$5)/ОКРУГЛЕННЯ,0)*ОКРУГЛЕННЯ+MAX(0,N$8-$AA18)*КРОК_ГОСТЯ*(1-$U$5)+N$8*$AC18*(1-$U$5*$U$6)+$AD18*(1-$U$5*$U$7))</f>
        <v>5027</v>
      </c>
      <c r="O18" s="35" t="str">
        <f aca="false">IF(OR($AF18=0,O$8&gt;$Z18),"",ROUND(W18*X18*Y18*(1-$U$5)/ОКРУГЛЕННЯ,0)*ОКРУГЛЕННЯ+MAX(0,O$8-$AA18)*КРОК_ГОСТЯ*(1-$U$5)+O$8*$AC18*(1-$U$5*$U$6)+$AD18*(1-$U$5*$U$7))</f>
        <v/>
      </c>
      <c r="P18" s="35" t="str">
        <f aca="false">IF(OR($AF18=0,P$8&gt;$Z18),"",ROUND(W18*X18*Y18*(1-$U$5)/ОКРУГЛЕННЯ,0)*ОКРУГЛЕННЯ+MAX(0,P$8-$AA18)*КРОК_ГОСТЯ*(1-$U$5)+P$8*$AC18*(1-$U$5*$U$6)+$AD18*(1-$U$5*$U$7))</f>
        <v/>
      </c>
      <c r="Q18" s="35" t="str">
        <f aca="false">IF(OR($AF18=0,Q$8&gt;$Z18),"",ROUND(W18*X18*Y18*(1-$U$5)/ОКРУГЛЕННЯ,0)*ОКРУГЛЕННЯ+MAX(0,Q$8-$AA18)*КРОК_ГОСТЯ*(1-$U$5)+Q$8*$AC18*(1-$U$5*$U$6)+$AD18*(1-$U$5*$U$7))</f>
        <v/>
      </c>
      <c r="R18" s="35" t="str">
        <f aca="false">IF(OR($AF18=0,R$8&gt;$Z18),"",ROUND(W18*X18*Y18*(1-$U$5)/ОКРУГЛЕННЯ,0)*ОКРУГЛЕННЯ+MAX(0,R$8-$AA18)*КРОК_ГОСТЯ*(1-$U$5)+R$8*$AC18*(1-$U$5*$U$6)+$AD18*(1-$U$5*$U$7))</f>
        <v/>
      </c>
      <c r="S18" s="35" t="str">
        <f aca="false">IF(OR($AF18=0,S$8&gt;$Z18),"",ROUND(W18*X18*Y18*(1-$U$5)/ОКРУГЛЕННЯ,0)*ОКРУГЛЕННЯ+MAX(0,S$8-$AA18)*КРОК_ГОСТЯ*(1-$U$5)+S$8*$AC18*(1-$U$5*$U$6)+$AD18*(1-$U$5*$U$7))</f>
        <v/>
      </c>
      <c r="T18" s="35" t="str">
        <f aca="false">IF(OR($AF18=0,T$8&gt;$Z18),"",ROUND(W18*X18*Y18*(1-$U$5)/ОКРУГЛЕННЯ,0)*ОКРУГЛЕННЯ+MAX(0,T$8-$AA18)*КРОК_ГОСТЯ*(1-$U$5)+T$8*$AC18*(1-$U$5*$U$6)+$AD18*(1-$U$5*$U$7))</f>
        <v/>
      </c>
      <c r="U18" s="4"/>
      <c r="V18" s="4"/>
      <c r="W18" s="24" t="n">
        <f aca="false" t="array" ref="W18:W18">IF(OR($U$3=0,$A18=""),0,IFERROR(INDEX(БАЗА_RO,MATCH(INDEX(ДОВ_ОПОРА,MATCH($A18,КАТЕГОРІЇ,0)),БАЗА_КАТ,0),$U$3),0))</f>
        <v>3800</v>
      </c>
      <c r="X18" s="25" t="n">
        <f aca="false" t="array" ref="X18:X18">IF(OR($U$3=0,$A18=""),0,IFERROR(INDEX(МНОЖНИКИ,MATCH($A18,МНОЖ_КАТ,0),$U$3),0))</f>
        <v>1.4</v>
      </c>
      <c r="Y18" s="25" t="n">
        <f aca="false" t="array" ref="Y18:Y18">IF(OR($U$3=0,$A18=""),0,IFERROR(INDEX(МНОЖНИКИ,MATCH($A18,МНОЖ_КАТ,0),$U$3+1),0))</f>
        <v>1.05</v>
      </c>
      <c r="Z18" s="11" t="n">
        <f aca="false" t="array" ref="Z18:Z18">IF($A18="",0,IFERROR(INDEX(ДОВ_МАКС,MATCH($A18,КАТЕГОРІЇ,0)),0))</f>
        <v>2</v>
      </c>
      <c r="AA18" s="11" t="n">
        <f aca="false" t="array" ref="AA18:AA18">IF($A18="",0,IFERROR(INDEX(ДОВ_ВКЛ,MATCH($A18,КАТЕГОРІЇ,0)),0))</f>
        <v>2</v>
      </c>
      <c r="AB18" s="8" t="n">
        <f aca="false" t="array" ref="AB18:AB18">IF(OR($U$3=0,$U$8=0),0,IFERROR(INDEX(ПАКЕТИ_ЦІНИ,MATCH($U$10&amp;"|Будні",ПАКЕТИ_КЛЮЧ,0),$U$3),0))</f>
        <v>0</v>
      </c>
      <c r="AC18" s="8" t="n">
        <f aca="false" t="array" ref="AC18:AC18">IF(OR($U$3=0,$U$8=0),0,IFERROR(INDEX(ПАКЕТИ_ЦІНИ,MATCH($U$10&amp;"|Вихідні",ПАКЕТИ_КЛЮЧ,0),$U$3),0))</f>
        <v>0</v>
      </c>
      <c r="AD18" s="24" t="n">
        <f aca="false" t="array" ref="AD18:AD18">IF(OR($U$3=0,$U$9=0,$A18=""),0,IFERROR(INDEX(SPA_ЦІНИ,MATCH(INDEX(ДОВ_SPA,MATCH($A18,КАТЕГОРІЇ,0)),SPA_РОЛЬ,0),$U$3),0))</f>
        <v>0</v>
      </c>
      <c r="AE18" s="8" t="n">
        <f aca="false">IF(OR($A18="",W18=0,X18=0,AND($U$8=1,AB18=0),AND($U$9=1,AD18=0)),0,1)</f>
        <v>1</v>
      </c>
      <c r="AF18" s="8" t="n">
        <f aca="false">IF(OR(AE18=0,Y18=0,AND($U$8=1,AC18=0)),0,1)</f>
        <v>1</v>
      </c>
    </row>
    <row r="19" customFormat="false" ht="15" hidden="false" customHeight="true" outlineLevel="0" collapsed="false">
      <c r="A19" s="18" t="str">
        <f aca="false">IF('Довідник категорій'!A15="","",'Довідник категорій'!A15)</f>
        <v>Люкс зі спальнею та вітальнею</v>
      </c>
      <c r="B19" s="19" t="str">
        <f aca="false" t="array" ref="B19:B19">IF($A19="","",IFERROR(INDEX(ДОВ_BOOKING,MATCH($A19,КАТЕГОРІЇ,0)),""))</f>
        <v>Стандартний двомісний люкс 52 м²</v>
      </c>
      <c r="C19" s="20" t="str">
        <f aca="false" t="array" ref="C19:C19">IF($A19="","",IFERROR(INDEX(ДОВ_ГРУПА,MATCH($A19,КАТЕГОРІЇ,0)),""))</f>
        <v>Apartments A</v>
      </c>
      <c r="D19" s="21" t="n">
        <f aca="false">IF(OR($AE19=0,D$8&gt;$Z19),"",ROUND(W19*X19*(1-$U$5)/ОКРУГЛЕННЯ,0)*ОКРУГЛЕННЯ+MAX(0,D$8-$AA19)*КРОК_ГОСТЯ*(1-$U$5)+D$8*$AB19*(1-$U$5*$U$6)+$AD19*(1-$U$5*$U$7))</f>
        <v>5301</v>
      </c>
      <c r="E19" s="21" t="n">
        <f aca="false">IF(OR($AE19=0,E$8&gt;$Z19),"",ROUND(W19*X19*(1-$U$5)/ОКРУГЛЕННЯ,0)*ОКРУГЛЕННЯ+MAX(0,E$8-$AA19)*КРОК_ГОСТЯ*(1-$U$5)+E$8*$AB19*(1-$U$5*$U$6)+$AD19*(1-$U$5*$U$7))</f>
        <v>5301</v>
      </c>
      <c r="F19" s="21" t="n">
        <f aca="false">IF(OR($AE19=0,F$8&gt;$Z19),"",ROUND(W19*X19*(1-$U$5)/ОКРУГЛЕННЯ,0)*ОКРУГЛЕННЯ+MAX(0,F$8-$AA19)*КРОК_ГОСТЯ*(1-$U$5)+F$8*$AB19*(1-$U$5*$U$6)+$AD19*(1-$U$5*$U$7))</f>
        <v>5751</v>
      </c>
      <c r="G19" s="21" t="str">
        <f aca="false">IF(OR($AE19=0,G$8&gt;$Z19),"",ROUND(W19*X19*(1-$U$5)/ОКРУГЛЕННЯ,0)*ОКРУГЛЕННЯ+MAX(0,G$8-$AA19)*КРОК_ГОСТЯ*(1-$U$5)+G$8*$AB19*(1-$U$5*$U$6)+$AD19*(1-$U$5*$U$7))</f>
        <v/>
      </c>
      <c r="H19" s="21" t="str">
        <f aca="false">IF(OR($AE19=0,H$8&gt;$Z19),"",ROUND(W19*X19*(1-$U$5)/ОКРУГЛЕННЯ,0)*ОКРУГЛЕННЯ+MAX(0,H$8-$AA19)*КРОК_ГОСТЯ*(1-$U$5)+H$8*$AB19*(1-$U$5*$U$6)+$AD19*(1-$U$5*$U$7))</f>
        <v/>
      </c>
      <c r="I19" s="21" t="str">
        <f aca="false">IF(OR($AE19=0,I$8&gt;$Z19),"",ROUND(W19*X19*(1-$U$5)/ОКРУГЛЕННЯ,0)*ОКРУГЛЕННЯ+MAX(0,I$8-$AA19)*КРОК_ГОСТЯ*(1-$U$5)+I$8*$AB19*(1-$U$5*$U$6)+$AD19*(1-$U$5*$U$7))</f>
        <v/>
      </c>
      <c r="J19" s="21" t="str">
        <f aca="false">IF(OR($AE19=0,J$8&gt;$Z19),"",ROUND(W19*X19*(1-$U$5)/ОКРУГЛЕННЯ,0)*ОКРУГЛЕННЯ+MAX(0,J$8-$AA19)*КРОК_ГОСТЯ*(1-$U$5)+J$8*$AB19*(1-$U$5*$U$6)+$AD19*(1-$U$5*$U$7))</f>
        <v/>
      </c>
      <c r="K19" s="22" t="str">
        <f aca="false">IF(OR($AE19=0,K$8&gt;$Z19),"",ROUND(W19*X19*(1-$U$5)/ОКРУГЛЕННЯ,0)*ОКРУГЛЕННЯ+MAX(0,K$8-$AA19)*КРОК_ГОСТЯ*(1-$U$5)+K$8*$AB19*(1-$U$5*$U$6)+$AD19*(1-$U$5*$U$7))</f>
        <v/>
      </c>
      <c r="L19" s="4"/>
      <c r="M19" s="23" t="n">
        <f aca="false">IF(OR($AF19=0,M$8&gt;$Z19),"",ROUND(W19*X19*Y19*(1-$U$5)/ОКРУГЛЕННЯ,0)*ОКРУГЛЕННЯ+MAX(0,M$8-$AA19)*КРОК_ГОСТЯ*(1-$U$5)+M$8*$AC19*(1-$U$5*$U$6)+$AD19*(1-$U$5*$U$7))</f>
        <v>5513</v>
      </c>
      <c r="N19" s="21" t="n">
        <f aca="false">IF(OR($AF19=0,N$8&gt;$Z19),"",ROUND(W19*X19*Y19*(1-$U$5)/ОКРУГЛЕННЯ,0)*ОКРУГЛЕННЯ+MAX(0,N$8-$AA19)*КРОК_ГОСТЯ*(1-$U$5)+N$8*$AC19*(1-$U$5*$U$6)+$AD19*(1-$U$5*$U$7))</f>
        <v>5513</v>
      </c>
      <c r="O19" s="21" t="n">
        <f aca="false">IF(OR($AF19=0,O$8&gt;$Z19),"",ROUND(W19*X19*Y19*(1-$U$5)/ОКРУГЛЕННЯ,0)*ОКРУГЛЕННЯ+MAX(0,O$8-$AA19)*КРОК_ГОСТЯ*(1-$U$5)+O$8*$AC19*(1-$U$5*$U$6)+$AD19*(1-$U$5*$U$7))</f>
        <v>5963</v>
      </c>
      <c r="P19" s="21" t="str">
        <f aca="false">IF(OR($AF19=0,P$8&gt;$Z19),"",ROUND(W19*X19*Y19*(1-$U$5)/ОКРУГЛЕННЯ,0)*ОКРУГЛЕННЯ+MAX(0,P$8-$AA19)*КРОК_ГОСТЯ*(1-$U$5)+P$8*$AC19*(1-$U$5*$U$6)+$AD19*(1-$U$5*$U$7))</f>
        <v/>
      </c>
      <c r="Q19" s="21" t="str">
        <f aca="false">IF(OR($AF19=0,Q$8&gt;$Z19),"",ROUND(W19*X19*Y19*(1-$U$5)/ОКРУГЛЕННЯ,0)*ОКРУГЛЕННЯ+MAX(0,Q$8-$AA19)*КРОК_ГОСТЯ*(1-$U$5)+Q$8*$AC19*(1-$U$5*$U$6)+$AD19*(1-$U$5*$U$7))</f>
        <v/>
      </c>
      <c r="R19" s="21" t="str">
        <f aca="false">IF(OR($AF19=0,R$8&gt;$Z19),"",ROUND(W19*X19*Y19*(1-$U$5)/ОКРУГЛЕННЯ,0)*ОКРУГЛЕННЯ+MAX(0,R$8-$AA19)*КРОК_ГОСТЯ*(1-$U$5)+R$8*$AC19*(1-$U$5*$U$6)+$AD19*(1-$U$5*$U$7))</f>
        <v/>
      </c>
      <c r="S19" s="21" t="str">
        <f aca="false">IF(OR($AF19=0,S$8&gt;$Z19),"",ROUND(W19*X19*Y19*(1-$U$5)/ОКРУГЛЕННЯ,0)*ОКРУГЛЕННЯ+MAX(0,S$8-$AA19)*КРОК_ГОСТЯ*(1-$U$5)+S$8*$AC19*(1-$U$5*$U$6)+$AD19*(1-$U$5*$U$7))</f>
        <v/>
      </c>
      <c r="T19" s="21" t="str">
        <f aca="false">IF(OR($AF19=0,T$8&gt;$Z19),"",ROUND(W19*X19*Y19*(1-$U$5)/ОКРУГЛЕННЯ,0)*ОКРУГЛЕННЯ+MAX(0,T$8-$AA19)*КРОК_ГОСТЯ*(1-$U$5)+T$8*$AC19*(1-$U$5*$U$6)+$AD19*(1-$U$5*$U$7))</f>
        <v/>
      </c>
      <c r="U19" s="4"/>
      <c r="V19" s="4"/>
      <c r="W19" s="24" t="n">
        <f aca="false" t="array" ref="W19:W19">IF(OR($U$3=0,$A19=""),0,IFERROR(INDEX(БАЗА_RO,MATCH(INDEX(ДОВ_ОПОРА,MATCH($A19,КАТЕГОРІЇ,0)),БАЗА_КАТ,0),$U$3),0))</f>
        <v>3800</v>
      </c>
      <c r="X19" s="25" t="n">
        <f aca="false" t="array" ref="X19:X19">IF(OR($U$3=0,$A19=""),0,IFERROR(INDEX(МНОЖНИКИ,MATCH($A19,МНОЖ_КАТ,0),$U$3),0))</f>
        <v>1.55</v>
      </c>
      <c r="Y19" s="25" t="n">
        <f aca="false" t="array" ref="Y19:Y19">IF(OR($U$3=0,$A19=""),0,IFERROR(INDEX(МНОЖНИКИ,MATCH($A19,МНОЖ_КАТ,0),$U$3+1),0))</f>
        <v>1.04</v>
      </c>
      <c r="Z19" s="11" t="n">
        <f aca="false" t="array" ref="Z19:Z19">IF($A19="",0,IFERROR(INDEX(ДОВ_МАКС,MATCH($A19,КАТЕГОРІЇ,0)),0))</f>
        <v>3</v>
      </c>
      <c r="AA19" s="11" t="n">
        <f aca="false" t="array" ref="AA19:AA19">IF($A19="",0,IFERROR(INDEX(ДОВ_ВКЛ,MATCH($A19,КАТЕГОРІЇ,0)),0))</f>
        <v>2</v>
      </c>
      <c r="AB19" s="8" t="n">
        <f aca="false" t="array" ref="AB19:AB19">IF(OR($U$3=0,$U$8=0),0,IFERROR(INDEX(ПАКЕТИ_ЦІНИ,MATCH($U$10&amp;"|Будні",ПАКЕТИ_КЛЮЧ,0),$U$3),0))</f>
        <v>0</v>
      </c>
      <c r="AC19" s="8" t="n">
        <f aca="false" t="array" ref="AC19:AC19">IF(OR($U$3=0,$U$8=0),0,IFERROR(INDEX(ПАКЕТИ_ЦІНИ,MATCH($U$10&amp;"|Вихідні",ПАКЕТИ_КЛЮЧ,0),$U$3),0))</f>
        <v>0</v>
      </c>
      <c r="AD19" s="24" t="n">
        <f aca="false" t="array" ref="AD19:AD19">IF(OR($U$3=0,$U$9=0,$A19=""),0,IFERROR(INDEX(SPA_ЦІНИ,MATCH(INDEX(ДОВ_SPA,MATCH($A19,КАТЕГОРІЇ,0)),SPA_РОЛЬ,0),$U$3),0))</f>
        <v>0</v>
      </c>
      <c r="AE19" s="8" t="n">
        <f aca="false">IF(OR($A19="",W19=0,X19=0,AND($U$8=1,AB19=0),AND($U$9=1,AD19=0)),0,1)</f>
        <v>1</v>
      </c>
      <c r="AF19" s="8" t="n">
        <f aca="false">IF(OR(AE19=0,Y19=0,AND($U$8=1,AC19=0)),0,1)</f>
        <v>1</v>
      </c>
    </row>
    <row r="20" customFormat="false" ht="15" hidden="false" customHeight="true" outlineLevel="0" collapsed="false">
      <c r="A20" s="26" t="str">
        <f aca="false">IF('Довідник категорій'!A16="","",'Довідник категорій'!A16)</f>
        <v>Люкс з видом на гори (з 2-ма спальнями) 61 м²</v>
      </c>
      <c r="B20" s="27" t="str">
        <f aca="false" t="array" ref="B20:B20">IF($A20="","",IFERROR(INDEX(ДОВ_BOOKING,MATCH($A20,КАТЕГОРІЇ,0)),""))</f>
        <v>Люкс з видом на гори (з 2-ма спальнями) 61 м²</v>
      </c>
      <c r="C20" s="28" t="str">
        <f aca="false" t="array" ref="C20:C20">IF($A20="","",IFERROR(INDEX(ДОВ_ГРУПА,MATCH($A20,КАТЕГОРІЇ,0)),""))</f>
        <v>Apartments A</v>
      </c>
      <c r="D20" s="29" t="n">
        <f aca="false">IF(OR($AE20=0,D$8&gt;$Z20),"",ROUND(W20*X20*(1-$U$5)/ОКРУГЛЕННЯ,0)*ОКРУГЛЕННЯ+MAX(0,D$8-$AA20)*КРОК_ГОСТЯ*(1-$U$5)+D$8*$AB20*(1-$U$5*$U$6)+$AD20*(1-$U$5*$U$7))</f>
        <v>6498</v>
      </c>
      <c r="E20" s="29" t="n">
        <f aca="false">IF(OR($AE20=0,E$8&gt;$Z20),"",ROUND(W20*X20*(1-$U$5)/ОКРУГЛЕННЯ,0)*ОКРУГЛЕННЯ+MAX(0,E$8-$AA20)*КРОК_ГОСТЯ*(1-$U$5)+E$8*$AB20*(1-$U$5*$U$6)+$AD20*(1-$U$5*$U$7))</f>
        <v>6498</v>
      </c>
      <c r="F20" s="29" t="n">
        <f aca="false">IF(OR($AE20=0,F$8&gt;$Z20),"",ROUND(W20*X20*(1-$U$5)/ОКРУГЛЕННЯ,0)*ОКРУГЛЕННЯ+MAX(0,F$8-$AA20)*КРОК_ГОСТЯ*(1-$U$5)+F$8*$AB20*(1-$U$5*$U$6)+$AD20*(1-$U$5*$U$7))</f>
        <v>6948</v>
      </c>
      <c r="G20" s="29" t="n">
        <f aca="false">IF(OR($AE20=0,G$8&gt;$Z20),"",ROUND(W20*X20*(1-$U$5)/ОКРУГЛЕННЯ,0)*ОКРУГЛЕННЯ+MAX(0,G$8-$AA20)*КРОК_ГОСТЯ*(1-$U$5)+G$8*$AB20*(1-$U$5*$U$6)+$AD20*(1-$U$5*$U$7))</f>
        <v>7398</v>
      </c>
      <c r="H20" s="29" t="n">
        <f aca="false">IF(OR($AE20=0,H$8&gt;$Z20),"",ROUND(W20*X20*(1-$U$5)/ОКРУГЛЕННЯ,0)*ОКРУГЛЕННЯ+MAX(0,H$8-$AA20)*КРОК_ГОСТЯ*(1-$U$5)+H$8*$AB20*(1-$U$5*$U$6)+$AD20*(1-$U$5*$U$7))</f>
        <v>7848</v>
      </c>
      <c r="I20" s="29" t="str">
        <f aca="false">IF(OR($AE20=0,I$8&gt;$Z20),"",ROUND(W20*X20*(1-$U$5)/ОКРУГЛЕННЯ,0)*ОКРУГЛЕННЯ+MAX(0,I$8-$AA20)*КРОК_ГОСТЯ*(1-$U$5)+I$8*$AB20*(1-$U$5*$U$6)+$AD20*(1-$U$5*$U$7))</f>
        <v/>
      </c>
      <c r="J20" s="29" t="str">
        <f aca="false">IF(OR($AE20=0,J$8&gt;$Z20),"",ROUND(W20*X20*(1-$U$5)/ОКРУГЛЕННЯ,0)*ОКРУГЛЕННЯ+MAX(0,J$8-$AA20)*КРОК_ГОСТЯ*(1-$U$5)+J$8*$AB20*(1-$U$5*$U$6)+$AD20*(1-$U$5*$U$7))</f>
        <v/>
      </c>
      <c r="K20" s="30" t="str">
        <f aca="false">IF(OR($AE20=0,K$8&gt;$Z20),"",ROUND(W20*X20*(1-$U$5)/ОКРУГЛЕННЯ,0)*ОКРУГЛЕННЯ+MAX(0,K$8-$AA20)*КРОК_ГОСТЯ*(1-$U$5)+K$8*$AB20*(1-$U$5*$U$6)+$AD20*(1-$U$5*$U$7))</f>
        <v/>
      </c>
      <c r="L20" s="4"/>
      <c r="M20" s="31" t="n">
        <f aca="false">IF(OR($AF20=0,M$8&gt;$Z20),"",ROUND(W20*X20*Y20*(1-$U$5)/ОКРУГЛЕННЯ,0)*ОКРУГЛЕННЯ+MAX(0,M$8-$AA20)*КРОК_ГОСТЯ*(1-$U$5)+M$8*$AC20*(1-$U$5*$U$6)+$AD20*(1-$U$5*$U$7))</f>
        <v>6823</v>
      </c>
      <c r="N20" s="29" t="n">
        <f aca="false">IF(OR($AF20=0,N$8&gt;$Z20),"",ROUND(W20*X20*Y20*(1-$U$5)/ОКРУГЛЕННЯ,0)*ОКРУГЛЕННЯ+MAX(0,N$8-$AA20)*КРОК_ГОСТЯ*(1-$U$5)+N$8*$AC20*(1-$U$5*$U$6)+$AD20*(1-$U$5*$U$7))</f>
        <v>6823</v>
      </c>
      <c r="O20" s="29" t="n">
        <f aca="false">IF(OR($AF20=0,O$8&gt;$Z20),"",ROUND(W20*X20*Y20*(1-$U$5)/ОКРУГЛЕННЯ,0)*ОКРУГЛЕННЯ+MAX(0,O$8-$AA20)*КРОК_ГОСТЯ*(1-$U$5)+O$8*$AC20*(1-$U$5*$U$6)+$AD20*(1-$U$5*$U$7))</f>
        <v>7273</v>
      </c>
      <c r="P20" s="29" t="n">
        <f aca="false">IF(OR($AF20=0,P$8&gt;$Z20),"",ROUND(W20*X20*Y20*(1-$U$5)/ОКРУГЛЕННЯ,0)*ОКРУГЛЕННЯ+MAX(0,P$8-$AA20)*КРОК_ГОСТЯ*(1-$U$5)+P$8*$AC20*(1-$U$5*$U$6)+$AD20*(1-$U$5*$U$7))</f>
        <v>7723</v>
      </c>
      <c r="Q20" s="29" t="n">
        <f aca="false">IF(OR($AF20=0,Q$8&gt;$Z20),"",ROUND(W20*X20*Y20*(1-$U$5)/ОКРУГЛЕННЯ,0)*ОКРУГЛЕННЯ+MAX(0,Q$8-$AA20)*КРОК_ГОСТЯ*(1-$U$5)+Q$8*$AC20*(1-$U$5*$U$6)+$AD20*(1-$U$5*$U$7))</f>
        <v>8173</v>
      </c>
      <c r="R20" s="29" t="str">
        <f aca="false">IF(OR($AF20=0,R$8&gt;$Z20),"",ROUND(W20*X20*Y20*(1-$U$5)/ОКРУГЛЕННЯ,0)*ОКРУГЛЕННЯ+MAX(0,R$8-$AA20)*КРОК_ГОСТЯ*(1-$U$5)+R$8*$AC20*(1-$U$5*$U$6)+$AD20*(1-$U$5*$U$7))</f>
        <v/>
      </c>
      <c r="S20" s="29" t="str">
        <f aca="false">IF(OR($AF20=0,S$8&gt;$Z20),"",ROUND(W20*X20*Y20*(1-$U$5)/ОКРУГЛЕННЯ,0)*ОКРУГЛЕННЯ+MAX(0,S$8-$AA20)*КРОК_ГОСТЯ*(1-$U$5)+S$8*$AC20*(1-$U$5*$U$6)+$AD20*(1-$U$5*$U$7))</f>
        <v/>
      </c>
      <c r="T20" s="29" t="str">
        <f aca="false">IF(OR($AF20=0,T$8&gt;$Z20),"",ROUND(W20*X20*Y20*(1-$U$5)/ОКРУГЛЕННЯ,0)*ОКРУГЛЕННЯ+MAX(0,T$8-$AA20)*КРОК_ГОСТЯ*(1-$U$5)+T$8*$AC20*(1-$U$5*$U$6)+$AD20*(1-$U$5*$U$7))</f>
        <v/>
      </c>
      <c r="U20" s="4"/>
      <c r="V20" s="4"/>
      <c r="W20" s="24" t="n">
        <f aca="false" t="array" ref="W20:W20">IF(OR($U$3=0,$A20=""),0,IFERROR(INDEX(БАЗА_RO,MATCH(INDEX(ДОВ_ОПОРА,MATCH($A20,КАТЕГОРІЇ,0)),БАЗА_КАТ,0),$U$3),0))</f>
        <v>3800</v>
      </c>
      <c r="X20" s="25" t="n">
        <f aca="false" t="array" ref="X20:X20">IF(OR($U$3=0,$A20=""),0,IFERROR(INDEX(МНОЖНИКИ,MATCH($A20,МНОЖ_КАТ,0),$U$3),0))</f>
        <v>1.9</v>
      </c>
      <c r="Y20" s="25" t="n">
        <f aca="false" t="array" ref="Y20:Y20">IF(OR($U$3=0,$A20=""),0,IFERROR(INDEX(МНОЖНИКИ,MATCH($A20,МНОЖ_КАТ,0),$U$3+1),0))</f>
        <v>1.05</v>
      </c>
      <c r="Z20" s="11" t="n">
        <f aca="false" t="array" ref="Z20:Z20">IF($A20="",0,IFERROR(INDEX(ДОВ_МАКС,MATCH($A20,КАТЕГОРІЇ,0)),0))</f>
        <v>5</v>
      </c>
      <c r="AA20" s="11" t="n">
        <f aca="false" t="array" ref="AA20:AA20">IF($A20="",0,IFERROR(INDEX(ДОВ_ВКЛ,MATCH($A20,КАТЕГОРІЇ,0)),0))</f>
        <v>2</v>
      </c>
      <c r="AB20" s="8" t="n">
        <f aca="false" t="array" ref="AB20:AB20">IF(OR($U$3=0,$U$8=0),0,IFERROR(INDEX(ПАКЕТИ_ЦІНИ,MATCH($U$10&amp;"|Будні",ПАКЕТИ_КЛЮЧ,0),$U$3),0))</f>
        <v>0</v>
      </c>
      <c r="AC20" s="8" t="n">
        <f aca="false" t="array" ref="AC20:AC20">IF(OR($U$3=0,$U$8=0),0,IFERROR(INDEX(ПАКЕТИ_ЦІНИ,MATCH($U$10&amp;"|Вихідні",ПАКЕТИ_КЛЮЧ,0),$U$3),0))</f>
        <v>0</v>
      </c>
      <c r="AD20" s="24" t="n">
        <f aca="false" t="array" ref="AD20:AD20">IF(OR($U$3=0,$U$9=0,$A20=""),0,IFERROR(INDEX(SPA_ЦІНИ,MATCH(INDEX(ДОВ_SPA,MATCH($A20,КАТЕГОРІЇ,0)),SPA_РОЛЬ,0),$U$3),0))</f>
        <v>0</v>
      </c>
      <c r="AE20" s="8" t="n">
        <f aca="false">IF(OR($A20="",W20=0,X20=0,AND($U$8=1,AB20=0),AND($U$9=1,AD20=0)),0,1)</f>
        <v>1</v>
      </c>
      <c r="AF20" s="8" t="n">
        <f aca="false">IF(OR(AE20=0,Y20=0,AND($U$8=1,AC20=0)),0,1)</f>
        <v>1</v>
      </c>
    </row>
    <row r="21" customFormat="false" ht="15.75" hidden="false" customHeight="true" outlineLevel="0" collapsed="false">
      <c r="A21" s="18" t="str">
        <f aca="false">IF('Довідник категорій'!A17="","",'Довідник категорій'!A17)</f>
        <v>Апартаменти 1-й поверх 45 м²</v>
      </c>
      <c r="B21" s="19" t="str">
        <f aca="false" t="array" ref="B21:B21">IF($A21="","",IFERROR(INDEX(ДОВ_BOOKING,MATCH($A21,КАТЕГОРІЇ,0)),""))</f>
        <v>Апартаменти 1-й поверх 45 м²</v>
      </c>
      <c r="C21" s="20" t="str">
        <f aca="false" t="array" ref="C21:C21">IF($A21="","",IFERROR(INDEX(ДОВ_ГРУПА,MATCH($A21,КАТЕГОРІЇ,0)),""))</f>
        <v>Apartments B</v>
      </c>
      <c r="D21" s="21" t="n">
        <f aca="false">IF(OR($AE21=0,D$8&gt;$Z21),"",ROUND(W21*X21*(1-$U$5)/ОКРУГЛЕННЯ,0)*ОКРУГЛЕННЯ+MAX(0,D$8-$AA21)*КРОК_ГОСТЯ*(1-$U$5)+D$8*$AB21*(1-$U$5*$U$6)+$AD21*(1-$U$5*$U$7))</f>
        <v>4770</v>
      </c>
      <c r="E21" s="21" t="n">
        <f aca="false">IF(OR($AE21=0,E$8&gt;$Z21),"",ROUND(W21*X21*(1-$U$5)/ОКРУГЛЕННЯ,0)*ОКРУГЛЕННЯ+MAX(0,E$8-$AA21)*КРОК_ГОСТЯ*(1-$U$5)+E$8*$AB21*(1-$U$5*$U$6)+$AD21*(1-$U$5*$U$7))</f>
        <v>4770</v>
      </c>
      <c r="F21" s="21" t="n">
        <f aca="false">IF(OR($AE21=0,F$8&gt;$Z21),"",ROUND(W21*X21*(1-$U$5)/ОКРУГЛЕННЯ,0)*ОКРУГЛЕННЯ+MAX(0,F$8-$AA21)*КРОК_ГОСТЯ*(1-$U$5)+F$8*$AB21*(1-$U$5*$U$6)+$AD21*(1-$U$5*$U$7))</f>
        <v>5220</v>
      </c>
      <c r="G21" s="21" t="str">
        <f aca="false">IF(OR($AE21=0,G$8&gt;$Z21),"",ROUND(W21*X21*(1-$U$5)/ОКРУГЛЕННЯ,0)*ОКРУГЛЕННЯ+MAX(0,G$8-$AA21)*КРОК_ГОСТЯ*(1-$U$5)+G$8*$AB21*(1-$U$5*$U$6)+$AD21*(1-$U$5*$U$7))</f>
        <v/>
      </c>
      <c r="H21" s="21" t="str">
        <f aca="false">IF(OR($AE21=0,H$8&gt;$Z21),"",ROUND(W21*X21*(1-$U$5)/ОКРУГЛЕННЯ,0)*ОКРУГЛЕННЯ+MAX(0,H$8-$AA21)*КРОК_ГОСТЯ*(1-$U$5)+H$8*$AB21*(1-$U$5*$U$6)+$AD21*(1-$U$5*$U$7))</f>
        <v/>
      </c>
      <c r="I21" s="21" t="str">
        <f aca="false">IF(OR($AE21=0,I$8&gt;$Z21),"",ROUND(W21*X21*(1-$U$5)/ОКРУГЛЕННЯ,0)*ОКРУГЛЕННЯ+MAX(0,I$8-$AA21)*КРОК_ГОСТЯ*(1-$U$5)+I$8*$AB21*(1-$U$5*$U$6)+$AD21*(1-$U$5*$U$7))</f>
        <v/>
      </c>
      <c r="J21" s="21" t="str">
        <f aca="false">IF(OR($AE21=0,J$8&gt;$Z21),"",ROUND(W21*X21*(1-$U$5)/ОКРУГЛЕННЯ,0)*ОКРУГЛЕННЯ+MAX(0,J$8-$AA21)*КРОК_ГОСТЯ*(1-$U$5)+J$8*$AB21*(1-$U$5*$U$6)+$AD21*(1-$U$5*$U$7))</f>
        <v/>
      </c>
      <c r="K21" s="22" t="str">
        <f aca="false">IF(OR($AE21=0,K$8&gt;$Z21),"",ROUND(W21*X21*(1-$U$5)/ОКРУГЛЕННЯ,0)*ОКРУГЛЕННЯ+MAX(0,K$8-$AA21)*КРОК_ГОСТЯ*(1-$U$5)+K$8*$AB21*(1-$U$5*$U$6)+$AD21*(1-$U$5*$U$7))</f>
        <v/>
      </c>
      <c r="L21" s="4"/>
      <c r="M21" s="23" t="n">
        <f aca="false">IF(OR($AF21=0,M$8&gt;$Z21),"",ROUND(W21*X21*Y21*(1-$U$5)/ОКРУГЛЕННЯ,0)*ОКРУГЛЕННЯ+MAX(0,M$8-$AA21)*КРОК_ГОСТЯ*(1-$U$5)+M$8*$AC21*(1-$U$5*$U$6)+$AD21*(1-$U$5*$U$7))</f>
        <v>5009</v>
      </c>
      <c r="N21" s="21" t="n">
        <f aca="false">IF(OR($AF21=0,N$8&gt;$Z21),"",ROUND(W21*X21*Y21*(1-$U$5)/ОКРУГЛЕННЯ,0)*ОКРУГЛЕННЯ+MAX(0,N$8-$AA21)*КРОК_ГОСТЯ*(1-$U$5)+N$8*$AC21*(1-$U$5*$U$6)+$AD21*(1-$U$5*$U$7))</f>
        <v>5009</v>
      </c>
      <c r="O21" s="21" t="n">
        <f aca="false">IF(OR($AF21=0,O$8&gt;$Z21),"",ROUND(W21*X21*Y21*(1-$U$5)/ОКРУГЛЕННЯ,0)*ОКРУГЛЕННЯ+MAX(0,O$8-$AA21)*КРОК_ГОСТЯ*(1-$U$5)+O$8*$AC21*(1-$U$5*$U$6)+$AD21*(1-$U$5*$U$7))</f>
        <v>5459</v>
      </c>
      <c r="P21" s="21" t="str">
        <f aca="false">IF(OR($AF21=0,P$8&gt;$Z21),"",ROUND(W21*X21*Y21*(1-$U$5)/ОКРУГЛЕННЯ,0)*ОКРУГЛЕННЯ+MAX(0,P$8-$AA21)*КРОК_ГОСТЯ*(1-$U$5)+P$8*$AC21*(1-$U$5*$U$6)+$AD21*(1-$U$5*$U$7))</f>
        <v/>
      </c>
      <c r="Q21" s="21" t="str">
        <f aca="false">IF(OR($AF21=0,Q$8&gt;$Z21),"",ROUND(W21*X21*Y21*(1-$U$5)/ОКРУГЛЕННЯ,0)*ОКРУГЛЕННЯ+MAX(0,Q$8-$AA21)*КРОК_ГОСТЯ*(1-$U$5)+Q$8*$AC21*(1-$U$5*$U$6)+$AD21*(1-$U$5*$U$7))</f>
        <v/>
      </c>
      <c r="R21" s="21" t="str">
        <f aca="false">IF(OR($AF21=0,R$8&gt;$Z21),"",ROUND(W21*X21*Y21*(1-$U$5)/ОКРУГЛЕННЯ,0)*ОКРУГЛЕННЯ+MAX(0,R$8-$AA21)*КРОК_ГОСТЯ*(1-$U$5)+R$8*$AC21*(1-$U$5*$U$6)+$AD21*(1-$U$5*$U$7))</f>
        <v/>
      </c>
      <c r="S21" s="21" t="str">
        <f aca="false">IF(OR($AF21=0,S$8&gt;$Z21),"",ROUND(W21*X21*Y21*(1-$U$5)/ОКРУГЛЕННЯ,0)*ОКРУГЛЕННЯ+MAX(0,S$8-$AA21)*КРОК_ГОСТЯ*(1-$U$5)+S$8*$AC21*(1-$U$5*$U$6)+$AD21*(1-$U$5*$U$7))</f>
        <v/>
      </c>
      <c r="T21" s="21" t="str">
        <f aca="false">IF(OR($AF21=0,T$8&gt;$Z21),"",ROUND(W21*X21*Y21*(1-$U$5)/ОКРУГЛЕННЯ,0)*ОКРУГЛЕННЯ+MAX(0,T$8-$AA21)*КРОК_ГОСТЯ*(1-$U$5)+T$8*$AC21*(1-$U$5*$U$6)+$AD21*(1-$U$5*$U$7))</f>
        <v/>
      </c>
      <c r="U21" s="4"/>
      <c r="V21" s="4"/>
      <c r="W21" s="24" t="n">
        <f aca="false" t="array" ref="W21:W21">IF(OR($U$3=0,$A21=""),0,IFERROR(INDEX(БАЗА_RO,MATCH(INDEX(ДОВ_ОПОРА,MATCH($A21,КАТЕГОРІЇ,0)),БАЗА_КАТ,0),$U$3),0))</f>
        <v>5300</v>
      </c>
      <c r="X21" s="25" t="n">
        <f aca="false" t="array" ref="X21:X21">IF(OR($U$3=0,$A21=""),0,IFERROR(INDEX(МНОЖНИКИ,MATCH($A21,МНОЖ_КАТ,0),$U$3),0))</f>
        <v>1</v>
      </c>
      <c r="Y21" s="25" t="n">
        <f aca="false" t="array" ref="Y21:Y21">IF(OR($U$3=0,$A21=""),0,IFERROR(INDEX(МНОЖНИКИ,MATCH($A21,МНОЖ_КАТ,0),$U$3+1),0))</f>
        <v>1.05</v>
      </c>
      <c r="Z21" s="11" t="n">
        <f aca="false" t="array" ref="Z21:Z21">IF($A21="",0,IFERROR(INDEX(ДОВ_МАКС,MATCH($A21,КАТЕГОРІЇ,0)),0))</f>
        <v>3</v>
      </c>
      <c r="AA21" s="11" t="n">
        <f aca="false" t="array" ref="AA21:AA21">IF($A21="",0,IFERROR(INDEX(ДОВ_ВКЛ,MATCH($A21,КАТЕГОРІЇ,0)),0))</f>
        <v>2</v>
      </c>
      <c r="AB21" s="8" t="n">
        <f aca="false" t="array" ref="AB21:AB21">IF(OR($U$3=0,$U$8=0),0,IFERROR(INDEX(ПАКЕТИ_ЦІНИ,MATCH($U$10&amp;"|Будні",ПАКЕТИ_КЛЮЧ,0),$U$3),0))</f>
        <v>0</v>
      </c>
      <c r="AC21" s="8" t="n">
        <f aca="false" t="array" ref="AC21:AC21">IF(OR($U$3=0,$U$8=0),0,IFERROR(INDEX(ПАКЕТИ_ЦІНИ,MATCH($U$10&amp;"|Вихідні",ПАКЕТИ_КЛЮЧ,0),$U$3),0))</f>
        <v>0</v>
      </c>
      <c r="AD21" s="24" t="n">
        <f aca="false" t="array" ref="AD21:AD21">IF(OR($U$3=0,$U$9=0,$A21=""),0,IFERROR(INDEX(SPA_ЦІНИ,MATCH(INDEX(ДОВ_SPA,MATCH($A21,КАТЕГОРІЇ,0)),SPA_РОЛЬ,0),$U$3),0))</f>
        <v>0</v>
      </c>
      <c r="AE21" s="8" t="n">
        <f aca="false">IF(OR($A21="",W21=0,X21=0,AND($U$8=1,AB21=0),AND($U$9=1,AD21=0)),0,1)</f>
        <v>1</v>
      </c>
      <c r="AF21" s="8" t="n">
        <f aca="false">IF(OR(AE21=0,Y21=0,AND($U$8=1,AC21=0)),0,1)</f>
        <v>1</v>
      </c>
    </row>
    <row r="22" customFormat="false" ht="15.75" hidden="false" customHeight="true" outlineLevel="0" collapsed="false">
      <c r="A22" s="32" t="str">
        <f aca="false">IF('Довідник категорій'!A18="","",'Довідник категорій'!A18)</f>
        <v>Апартаменти 2-кімнатні 1-й поверх</v>
      </c>
      <c r="B22" s="33" t="str">
        <f aca="false" t="array" ref="B22:B22">IF($A22="","",IFERROR(INDEX(ДОВ_BOOKING,MATCH($A22,КАТЕГОРІЇ,0)),""))</f>
        <v>Апартаменти Делюкс 40 м²</v>
      </c>
      <c r="C22" s="34" t="str">
        <f aca="false" t="array" ref="C22:C22">IF($A22="","",IFERROR(INDEX(ДОВ_ГРУПА,MATCH($A22,КАТЕГОРІЇ,0)),""))</f>
        <v>Apartments B</v>
      </c>
      <c r="D22" s="35" t="n">
        <f aca="false">IF(OR($AE22=0,D$8&gt;$Z22),"",ROUND(W22*X22*(1-$U$5)/ОКРУГЛЕННЯ,0)*ОКРУГЛЕННЯ+MAX(0,D$8-$AA22)*КРОК_ГОСТЯ*(1-$U$5)+D$8*$AB22*(1-$U$5*$U$6)+$AD22*(1-$U$5*$U$7))</f>
        <v>5247</v>
      </c>
      <c r="E22" s="35" t="n">
        <f aca="false">IF(OR($AE22=0,E$8&gt;$Z22),"",ROUND(W22*X22*(1-$U$5)/ОКРУГЛЕННЯ,0)*ОКРУГЛЕННЯ+MAX(0,E$8-$AA22)*КРОК_ГОСТЯ*(1-$U$5)+E$8*$AB22*(1-$U$5*$U$6)+$AD22*(1-$U$5*$U$7))</f>
        <v>5247</v>
      </c>
      <c r="F22" s="35" t="n">
        <f aca="false">IF(OR($AE22=0,F$8&gt;$Z22),"",ROUND(W22*X22*(1-$U$5)/ОКРУГЛЕННЯ,0)*ОКРУГЛЕННЯ+MAX(0,F$8-$AA22)*КРОК_ГОСТЯ*(1-$U$5)+F$8*$AB22*(1-$U$5*$U$6)+$AD22*(1-$U$5*$U$7))</f>
        <v>5697</v>
      </c>
      <c r="G22" s="35" t="str">
        <f aca="false">IF(OR($AE22=0,G$8&gt;$Z22),"",ROUND(W22*X22*(1-$U$5)/ОКРУГЛЕННЯ,0)*ОКРУГЛЕННЯ+MAX(0,G$8-$AA22)*КРОК_ГОСТЯ*(1-$U$5)+G$8*$AB22*(1-$U$5*$U$6)+$AD22*(1-$U$5*$U$7))</f>
        <v/>
      </c>
      <c r="H22" s="35" t="str">
        <f aca="false">IF(OR($AE22=0,H$8&gt;$Z22),"",ROUND(W22*X22*(1-$U$5)/ОКРУГЛЕННЯ,0)*ОКРУГЛЕННЯ+MAX(0,H$8-$AA22)*КРОК_ГОСТЯ*(1-$U$5)+H$8*$AB22*(1-$U$5*$U$6)+$AD22*(1-$U$5*$U$7))</f>
        <v/>
      </c>
      <c r="I22" s="35" t="str">
        <f aca="false">IF(OR($AE22=0,I$8&gt;$Z22),"",ROUND(W22*X22*(1-$U$5)/ОКРУГЛЕННЯ,0)*ОКРУГЛЕННЯ+MAX(0,I$8-$AA22)*КРОК_ГОСТЯ*(1-$U$5)+I$8*$AB22*(1-$U$5*$U$6)+$AD22*(1-$U$5*$U$7))</f>
        <v/>
      </c>
      <c r="J22" s="35" t="str">
        <f aca="false">IF(OR($AE22=0,J$8&gt;$Z22),"",ROUND(W22*X22*(1-$U$5)/ОКРУГЛЕННЯ,0)*ОКРУГЛЕННЯ+MAX(0,J$8-$AA22)*КРОК_ГОСТЯ*(1-$U$5)+J$8*$AB22*(1-$U$5*$U$6)+$AD22*(1-$U$5*$U$7))</f>
        <v/>
      </c>
      <c r="K22" s="36" t="str">
        <f aca="false">IF(OR($AE22=0,K$8&gt;$Z22),"",ROUND(W22*X22*(1-$U$5)/ОКРУГЛЕННЯ,0)*ОКРУГЛЕННЯ+MAX(0,K$8-$AA22)*КРОК_ГОСТЯ*(1-$U$5)+K$8*$AB22*(1-$U$5*$U$6)+$AD22*(1-$U$5*$U$7))</f>
        <v/>
      </c>
      <c r="L22" s="4"/>
      <c r="M22" s="37" t="n">
        <f aca="false">IF(OR($AF22=0,M$8&gt;$Z22),"",ROUND(W22*X22*Y22*(1-$U$5)/ОКРУГЛЕННЯ,0)*ОКРУГЛЕННЯ+MAX(0,M$8-$AA22)*КРОК_ГОСТЯ*(1-$U$5)+M$8*$AC22*(1-$U$5*$U$6)+$AD22*(1-$U$5*$U$7))</f>
        <v>5772</v>
      </c>
      <c r="N22" s="35" t="n">
        <f aca="false">IF(OR($AF22=0,N$8&gt;$Z22),"",ROUND(W22*X22*Y22*(1-$U$5)/ОКРУГЛЕННЯ,0)*ОКРУГЛЕННЯ+MAX(0,N$8-$AA22)*КРОК_ГОСТЯ*(1-$U$5)+N$8*$AC22*(1-$U$5*$U$6)+$AD22*(1-$U$5*$U$7))</f>
        <v>5772</v>
      </c>
      <c r="O22" s="35" t="n">
        <f aca="false">IF(OR($AF22=0,O$8&gt;$Z22),"",ROUND(W22*X22*Y22*(1-$U$5)/ОКРУГЛЕННЯ,0)*ОКРУГЛЕННЯ+MAX(0,O$8-$AA22)*КРОК_ГОСТЯ*(1-$U$5)+O$8*$AC22*(1-$U$5*$U$6)+$AD22*(1-$U$5*$U$7))</f>
        <v>6222</v>
      </c>
      <c r="P22" s="35" t="str">
        <f aca="false">IF(OR($AF22=0,P$8&gt;$Z22),"",ROUND(W22*X22*Y22*(1-$U$5)/ОКРУГЛЕННЯ,0)*ОКРУГЛЕННЯ+MAX(0,P$8-$AA22)*КРОК_ГОСТЯ*(1-$U$5)+P$8*$AC22*(1-$U$5*$U$6)+$AD22*(1-$U$5*$U$7))</f>
        <v/>
      </c>
      <c r="Q22" s="35" t="str">
        <f aca="false">IF(OR($AF22=0,Q$8&gt;$Z22),"",ROUND(W22*X22*Y22*(1-$U$5)/ОКРУГЛЕННЯ,0)*ОКРУГЛЕННЯ+MAX(0,Q$8-$AA22)*КРОК_ГОСТЯ*(1-$U$5)+Q$8*$AC22*(1-$U$5*$U$6)+$AD22*(1-$U$5*$U$7))</f>
        <v/>
      </c>
      <c r="R22" s="35" t="str">
        <f aca="false">IF(OR($AF22=0,R$8&gt;$Z22),"",ROUND(W22*X22*Y22*(1-$U$5)/ОКРУГЛЕННЯ,0)*ОКРУГЛЕННЯ+MAX(0,R$8-$AA22)*КРОК_ГОСТЯ*(1-$U$5)+R$8*$AC22*(1-$U$5*$U$6)+$AD22*(1-$U$5*$U$7))</f>
        <v/>
      </c>
      <c r="S22" s="35" t="str">
        <f aca="false">IF(OR($AF22=0,S$8&gt;$Z22),"",ROUND(W22*X22*Y22*(1-$U$5)/ОКРУГЛЕННЯ,0)*ОКРУГЛЕННЯ+MAX(0,S$8-$AA22)*КРОК_ГОСТЯ*(1-$U$5)+S$8*$AC22*(1-$U$5*$U$6)+$AD22*(1-$U$5*$U$7))</f>
        <v/>
      </c>
      <c r="T22" s="35" t="str">
        <f aca="false">IF(OR($AF22=0,T$8&gt;$Z22),"",ROUND(W22*X22*Y22*(1-$U$5)/ОКРУГЛЕННЯ,0)*ОКРУГЛЕННЯ+MAX(0,T$8-$AA22)*КРОК_ГОСТЯ*(1-$U$5)+T$8*$AC22*(1-$U$5*$U$6)+$AD22*(1-$U$5*$U$7))</f>
        <v/>
      </c>
      <c r="U22" s="4"/>
      <c r="V22" s="4"/>
      <c r="W22" s="24" t="n">
        <f aca="false" t="array" ref="W22:W22">IF(OR($U$3=0,$A22=""),0,IFERROR(INDEX(БАЗА_RO,MATCH(INDEX(ДОВ_ОПОРА,MATCH($A22,КАТЕГОРІЇ,0)),БАЗА_КАТ,0),$U$3),0))</f>
        <v>5300</v>
      </c>
      <c r="X22" s="25" t="n">
        <f aca="false" t="array" ref="X22:X22">IF(OR($U$3=0,$A22=""),0,IFERROR(INDEX(МНОЖНИКИ,MATCH($A22,МНОЖ_КАТ,0),$U$3),0))</f>
        <v>1.1</v>
      </c>
      <c r="Y22" s="25" t="n">
        <f aca="false" t="array" ref="Y22:Y22">IF(OR($U$3=0,$A22=""),0,IFERROR(INDEX(МНОЖНИКИ,MATCH($A22,МНОЖ_КАТ,0),$U$3+1),0))</f>
        <v>1.1</v>
      </c>
      <c r="Z22" s="11" t="n">
        <f aca="false" t="array" ref="Z22:Z22">IF($A22="",0,IFERROR(INDEX(ДОВ_МАКС,MATCH($A22,КАТЕГОРІЇ,0)),0))</f>
        <v>3</v>
      </c>
      <c r="AA22" s="11" t="n">
        <f aca="false" t="array" ref="AA22:AA22">IF($A22="",0,IFERROR(INDEX(ДОВ_ВКЛ,MATCH($A22,КАТЕГОРІЇ,0)),0))</f>
        <v>2</v>
      </c>
      <c r="AB22" s="8" t="n">
        <f aca="false" t="array" ref="AB22:AB22">IF(OR($U$3=0,$U$8=0),0,IFERROR(INDEX(ПАКЕТИ_ЦІНИ,MATCH($U$10&amp;"|Будні",ПАКЕТИ_КЛЮЧ,0),$U$3),0))</f>
        <v>0</v>
      </c>
      <c r="AC22" s="8" t="n">
        <f aca="false" t="array" ref="AC22:AC22">IF(OR($U$3=0,$U$8=0),0,IFERROR(INDEX(ПАКЕТИ_ЦІНИ,MATCH($U$10&amp;"|Вихідні",ПАКЕТИ_КЛЮЧ,0),$U$3),0))</f>
        <v>0</v>
      </c>
      <c r="AD22" s="24" t="n">
        <f aca="false" t="array" ref="AD22:AD22">IF(OR($U$3=0,$U$9=0,$A22=""),0,IFERROR(INDEX(SPA_ЦІНИ,MATCH(INDEX(ДОВ_SPA,MATCH($A22,КАТЕГОРІЇ,0)),SPA_РОЛЬ,0),$U$3),0))</f>
        <v>0</v>
      </c>
      <c r="AE22" s="8" t="n">
        <f aca="false">IF(OR($A22="",W22=0,X22=0,AND($U$8=1,AB22=0),AND($U$9=1,AD22=0)),0,1)</f>
        <v>1</v>
      </c>
      <c r="AF22" s="8" t="n">
        <f aca="false">IF(OR(AE22=0,Y22=0,AND($U$8=1,AC22=0)),0,1)</f>
        <v>1</v>
      </c>
    </row>
    <row r="23" customFormat="false" ht="15.75" hidden="false" customHeight="true" outlineLevel="0" collapsed="false">
      <c r="A23" s="18" t="str">
        <f aca="false">IF('Довідник категорій'!A19="","",'Довідник категорій'!A19)</f>
        <v>Апартаменти з ванною 2-й поверх</v>
      </c>
      <c r="B23" s="19" t="str">
        <f aca="false" t="array" ref="B23:B23">IF($A23="","",IFERROR(INDEX(ДОВ_BOOKING,MATCH($A23,КАТЕГОРІЇ,0)),""))</f>
        <v>Апартаменти з балконом 45 м²</v>
      </c>
      <c r="C23" s="20" t="str">
        <f aca="false" t="array" ref="C23:C23">IF($A23="","",IFERROR(INDEX(ДОВ_ГРУПА,MATCH($A23,КАТЕГОРІЇ,0)),""))</f>
        <v>Apartments B</v>
      </c>
      <c r="D23" s="21" t="n">
        <f aca="false">IF(OR($AE23=0,D$8&gt;$Z23),"",ROUND(W23*X23*(1-$U$5)/ОКРУГЛЕННЯ,0)*ОКРУГЛЕННЯ+MAX(0,D$8-$AA23)*КРОК_ГОСТЯ*(1-$U$5)+D$8*$AB23*(1-$U$5*$U$6)+$AD23*(1-$U$5*$U$7))</f>
        <v>5247</v>
      </c>
      <c r="E23" s="21" t="n">
        <f aca="false">IF(OR($AE23=0,E$8&gt;$Z23),"",ROUND(W23*X23*(1-$U$5)/ОКРУГЛЕННЯ,0)*ОКРУГЛЕННЯ+MAX(0,E$8-$AA23)*КРОК_ГОСТЯ*(1-$U$5)+E$8*$AB23*(1-$U$5*$U$6)+$AD23*(1-$U$5*$U$7))</f>
        <v>5247</v>
      </c>
      <c r="F23" s="21" t="n">
        <f aca="false">IF(OR($AE23=0,F$8&gt;$Z23),"",ROUND(W23*X23*(1-$U$5)/ОКРУГЛЕННЯ,0)*ОКРУГЛЕННЯ+MAX(0,F$8-$AA23)*КРОК_ГОСТЯ*(1-$U$5)+F$8*$AB23*(1-$U$5*$U$6)+$AD23*(1-$U$5*$U$7))</f>
        <v>5697</v>
      </c>
      <c r="G23" s="21" t="str">
        <f aca="false">IF(OR($AE23=0,G$8&gt;$Z23),"",ROUND(W23*X23*(1-$U$5)/ОКРУГЛЕННЯ,0)*ОКРУГЛЕННЯ+MAX(0,G$8-$AA23)*КРОК_ГОСТЯ*(1-$U$5)+G$8*$AB23*(1-$U$5*$U$6)+$AD23*(1-$U$5*$U$7))</f>
        <v/>
      </c>
      <c r="H23" s="21" t="str">
        <f aca="false">IF(OR($AE23=0,H$8&gt;$Z23),"",ROUND(W23*X23*(1-$U$5)/ОКРУГЛЕННЯ,0)*ОКРУГЛЕННЯ+MAX(0,H$8-$AA23)*КРОК_ГОСТЯ*(1-$U$5)+H$8*$AB23*(1-$U$5*$U$6)+$AD23*(1-$U$5*$U$7))</f>
        <v/>
      </c>
      <c r="I23" s="21" t="str">
        <f aca="false">IF(OR($AE23=0,I$8&gt;$Z23),"",ROUND(W23*X23*(1-$U$5)/ОКРУГЛЕННЯ,0)*ОКРУГЛЕННЯ+MAX(0,I$8-$AA23)*КРОК_ГОСТЯ*(1-$U$5)+I$8*$AB23*(1-$U$5*$U$6)+$AD23*(1-$U$5*$U$7))</f>
        <v/>
      </c>
      <c r="J23" s="21" t="str">
        <f aca="false">IF(OR($AE23=0,J$8&gt;$Z23),"",ROUND(W23*X23*(1-$U$5)/ОКРУГЛЕННЯ,0)*ОКРУГЛЕННЯ+MAX(0,J$8-$AA23)*КРОК_ГОСТЯ*(1-$U$5)+J$8*$AB23*(1-$U$5*$U$6)+$AD23*(1-$U$5*$U$7))</f>
        <v/>
      </c>
      <c r="K23" s="22" t="str">
        <f aca="false">IF(OR($AE23=0,K$8&gt;$Z23),"",ROUND(W23*X23*(1-$U$5)/ОКРУГЛЕННЯ,0)*ОКРУГЛЕННЯ+MAX(0,K$8-$AA23)*КРОК_ГОСТЯ*(1-$U$5)+K$8*$AB23*(1-$U$5*$U$6)+$AD23*(1-$U$5*$U$7))</f>
        <v/>
      </c>
      <c r="L23" s="4"/>
      <c r="M23" s="23" t="n">
        <f aca="false">IF(OR($AF23=0,M$8&gt;$Z23),"",ROUND(W23*X23*Y23*(1-$U$5)/ОКРУГЛЕННЯ,0)*ОКРУГЛЕННЯ+MAX(0,M$8-$AA23)*КРОК_ГОСТЯ*(1-$U$5)+M$8*$AC23*(1-$U$5*$U$6)+$AD23*(1-$U$5*$U$7))</f>
        <v>5772</v>
      </c>
      <c r="N23" s="21" t="n">
        <f aca="false">IF(OR($AF23=0,N$8&gt;$Z23),"",ROUND(W23*X23*Y23*(1-$U$5)/ОКРУГЛЕННЯ,0)*ОКРУГЛЕННЯ+MAX(0,N$8-$AA23)*КРОК_ГОСТЯ*(1-$U$5)+N$8*$AC23*(1-$U$5*$U$6)+$AD23*(1-$U$5*$U$7))</f>
        <v>5772</v>
      </c>
      <c r="O23" s="21" t="n">
        <f aca="false">IF(OR($AF23=0,O$8&gt;$Z23),"",ROUND(W23*X23*Y23*(1-$U$5)/ОКРУГЛЕННЯ,0)*ОКРУГЛЕННЯ+MAX(0,O$8-$AA23)*КРОК_ГОСТЯ*(1-$U$5)+O$8*$AC23*(1-$U$5*$U$6)+$AD23*(1-$U$5*$U$7))</f>
        <v>6222</v>
      </c>
      <c r="P23" s="21" t="str">
        <f aca="false">IF(OR($AF23=0,P$8&gt;$Z23),"",ROUND(W23*X23*Y23*(1-$U$5)/ОКРУГЛЕННЯ,0)*ОКРУГЛЕННЯ+MAX(0,P$8-$AA23)*КРОК_ГОСТЯ*(1-$U$5)+P$8*$AC23*(1-$U$5*$U$6)+$AD23*(1-$U$5*$U$7))</f>
        <v/>
      </c>
      <c r="Q23" s="21" t="str">
        <f aca="false">IF(OR($AF23=0,Q$8&gt;$Z23),"",ROUND(W23*X23*Y23*(1-$U$5)/ОКРУГЛЕННЯ,0)*ОКРУГЛЕННЯ+MAX(0,Q$8-$AA23)*КРОК_ГОСТЯ*(1-$U$5)+Q$8*$AC23*(1-$U$5*$U$6)+$AD23*(1-$U$5*$U$7))</f>
        <v/>
      </c>
      <c r="R23" s="21" t="str">
        <f aca="false">IF(OR($AF23=0,R$8&gt;$Z23),"",ROUND(W23*X23*Y23*(1-$U$5)/ОКРУГЛЕННЯ,0)*ОКРУГЛЕННЯ+MAX(0,R$8-$AA23)*КРОК_ГОСТЯ*(1-$U$5)+R$8*$AC23*(1-$U$5*$U$6)+$AD23*(1-$U$5*$U$7))</f>
        <v/>
      </c>
      <c r="S23" s="21" t="str">
        <f aca="false">IF(OR($AF23=0,S$8&gt;$Z23),"",ROUND(W23*X23*Y23*(1-$U$5)/ОКРУГЛЕННЯ,0)*ОКРУГЛЕННЯ+MAX(0,S$8-$AA23)*КРОК_ГОСТЯ*(1-$U$5)+S$8*$AC23*(1-$U$5*$U$6)+$AD23*(1-$U$5*$U$7))</f>
        <v/>
      </c>
      <c r="T23" s="21" t="str">
        <f aca="false">IF(OR($AF23=0,T$8&gt;$Z23),"",ROUND(W23*X23*Y23*(1-$U$5)/ОКРУГЛЕННЯ,0)*ОКРУГЛЕННЯ+MAX(0,T$8-$AA23)*КРОК_ГОСТЯ*(1-$U$5)+T$8*$AC23*(1-$U$5*$U$6)+$AD23*(1-$U$5*$U$7))</f>
        <v/>
      </c>
      <c r="U23" s="4"/>
      <c r="V23" s="4"/>
      <c r="W23" s="24" t="n">
        <f aca="false" t="array" ref="W23:W23">IF(OR($U$3=0,$A23=""),0,IFERROR(INDEX(БАЗА_RO,MATCH(INDEX(ДОВ_ОПОРА,MATCH($A23,КАТЕГОРІЇ,0)),БАЗА_КАТ,0),$U$3),0))</f>
        <v>5300</v>
      </c>
      <c r="X23" s="25" t="n">
        <f aca="false" t="array" ref="X23:X23">IF(OR($U$3=0,$A23=""),0,IFERROR(INDEX(МНОЖНИКИ,MATCH($A23,МНОЖ_КАТ,0),$U$3),0))</f>
        <v>1.1</v>
      </c>
      <c r="Y23" s="25" t="n">
        <f aca="false" t="array" ref="Y23:Y23">IF(OR($U$3=0,$A23=""),0,IFERROR(INDEX(МНОЖНИКИ,MATCH($A23,МНОЖ_КАТ,0),$U$3+1),0))</f>
        <v>1.1</v>
      </c>
      <c r="Z23" s="11" t="n">
        <f aca="false" t="array" ref="Z23:Z23">IF($A23="",0,IFERROR(INDEX(ДОВ_МАКС,MATCH($A23,КАТЕГОРІЇ,0)),0))</f>
        <v>3</v>
      </c>
      <c r="AA23" s="11" t="n">
        <f aca="false" t="array" ref="AA23:AA23">IF($A23="",0,IFERROR(INDEX(ДОВ_ВКЛ,MATCH($A23,КАТЕГОРІЇ,0)),0))</f>
        <v>2</v>
      </c>
      <c r="AB23" s="8" t="n">
        <f aca="false" t="array" ref="AB23:AB23">IF(OR($U$3=0,$U$8=0),0,IFERROR(INDEX(ПАКЕТИ_ЦІНИ,MATCH($U$10&amp;"|Будні",ПАКЕТИ_КЛЮЧ,0),$U$3),0))</f>
        <v>0</v>
      </c>
      <c r="AC23" s="8" t="n">
        <f aca="false" t="array" ref="AC23:AC23">IF(OR($U$3=0,$U$8=0),0,IFERROR(INDEX(ПАКЕТИ_ЦІНИ,MATCH($U$10&amp;"|Вихідні",ПАКЕТИ_КЛЮЧ,0),$U$3),0))</f>
        <v>0</v>
      </c>
      <c r="AD23" s="24" t="n">
        <f aca="false" t="array" ref="AD23:AD23">IF(OR($U$3=0,$U$9=0,$A23=""),0,IFERROR(INDEX(SPA_ЦІНИ,MATCH(INDEX(ДОВ_SPA,MATCH($A23,КАТЕГОРІЇ,0)),SPA_РОЛЬ,0),$U$3),0))</f>
        <v>0</v>
      </c>
      <c r="AE23" s="8" t="n">
        <f aca="false">IF(OR($A23="",W23=0,X23=0,AND($U$8=1,AB23=0),AND($U$9=1,AD23=0)),0,1)</f>
        <v>1</v>
      </c>
      <c r="AF23" s="8" t="n">
        <f aca="false">IF(OR(AE23=0,Y23=0,AND($U$8=1,AC23=0)),0,1)</f>
        <v>1</v>
      </c>
    </row>
    <row r="24" customFormat="false" ht="15.75" hidden="false" customHeight="true" outlineLevel="0" collapsed="false">
      <c r="A24" s="32" t="str">
        <f aca="false">IF('Довідник категорій'!A20="","",'Довідник категорій'!A20)</f>
        <v>Апартаменти 2-х місні стандартні</v>
      </c>
      <c r="B24" s="33" t="str">
        <f aca="false" t="array" ref="B24:B24">IF($A24="","",IFERROR(INDEX(ДОВ_BOOKING,MATCH($A24,КАТЕГОРІЇ,0)),""))</f>
        <v>Апартаменти з балконом 40 м²</v>
      </c>
      <c r="C24" s="34" t="str">
        <f aca="false" t="array" ref="C24:C24">IF($A24="","",IFERROR(INDEX(ДОВ_ГРУПА,MATCH($A24,КАТЕГОРІЇ,0)),""))</f>
        <v>Apartments B</v>
      </c>
      <c r="D24" s="35" t="n">
        <f aca="false">IF(OR($AE24=0,D$8&gt;$Z24),"",ROUND(W24*X24*(1-$U$5)/ОКРУГЛЕННЯ,0)*ОКРУГЛЕННЯ+MAX(0,D$8-$AA24)*КРОК_ГОСТЯ*(1-$U$5)+D$8*$AB24*(1-$U$5*$U$6)+$AD24*(1-$U$5*$U$7))</f>
        <v>5247</v>
      </c>
      <c r="E24" s="35" t="n">
        <f aca="false">IF(OR($AE24=0,E$8&gt;$Z24),"",ROUND(W24*X24*(1-$U$5)/ОКРУГЛЕННЯ,0)*ОКРУГЛЕННЯ+MAX(0,E$8-$AA24)*КРОК_ГОСТЯ*(1-$U$5)+E$8*$AB24*(1-$U$5*$U$6)+$AD24*(1-$U$5*$U$7))</f>
        <v>5247</v>
      </c>
      <c r="F24" s="35" t="n">
        <f aca="false">IF(OR($AE24=0,F$8&gt;$Z24),"",ROUND(W24*X24*(1-$U$5)/ОКРУГЛЕННЯ,0)*ОКРУГЛЕННЯ+MAX(0,F$8-$AA24)*КРОК_ГОСТЯ*(1-$U$5)+F$8*$AB24*(1-$U$5*$U$6)+$AD24*(1-$U$5*$U$7))</f>
        <v>5697</v>
      </c>
      <c r="G24" s="35" t="str">
        <f aca="false">IF(OR($AE24=0,G$8&gt;$Z24),"",ROUND(W24*X24*(1-$U$5)/ОКРУГЛЕННЯ,0)*ОКРУГЛЕННЯ+MAX(0,G$8-$AA24)*КРОК_ГОСТЯ*(1-$U$5)+G$8*$AB24*(1-$U$5*$U$6)+$AD24*(1-$U$5*$U$7))</f>
        <v/>
      </c>
      <c r="H24" s="35" t="str">
        <f aca="false">IF(OR($AE24=0,H$8&gt;$Z24),"",ROUND(W24*X24*(1-$U$5)/ОКРУГЛЕННЯ,0)*ОКРУГЛЕННЯ+MAX(0,H$8-$AA24)*КРОК_ГОСТЯ*(1-$U$5)+H$8*$AB24*(1-$U$5*$U$6)+$AD24*(1-$U$5*$U$7))</f>
        <v/>
      </c>
      <c r="I24" s="35" t="str">
        <f aca="false">IF(OR($AE24=0,I$8&gt;$Z24),"",ROUND(W24*X24*(1-$U$5)/ОКРУГЛЕННЯ,0)*ОКРУГЛЕННЯ+MAX(0,I$8-$AA24)*КРОК_ГОСТЯ*(1-$U$5)+I$8*$AB24*(1-$U$5*$U$6)+$AD24*(1-$U$5*$U$7))</f>
        <v/>
      </c>
      <c r="J24" s="35" t="str">
        <f aca="false">IF(OR($AE24=0,J$8&gt;$Z24),"",ROUND(W24*X24*(1-$U$5)/ОКРУГЛЕННЯ,0)*ОКРУГЛЕННЯ+MAX(0,J$8-$AA24)*КРОК_ГОСТЯ*(1-$U$5)+J$8*$AB24*(1-$U$5*$U$6)+$AD24*(1-$U$5*$U$7))</f>
        <v/>
      </c>
      <c r="K24" s="36" t="str">
        <f aca="false">IF(OR($AE24=0,K$8&gt;$Z24),"",ROUND(W24*X24*(1-$U$5)/ОКРУГЛЕННЯ,0)*ОКРУГЛЕННЯ+MAX(0,K$8-$AA24)*КРОК_ГОСТЯ*(1-$U$5)+K$8*$AB24*(1-$U$5*$U$6)+$AD24*(1-$U$5*$U$7))</f>
        <v/>
      </c>
      <c r="L24" s="4"/>
      <c r="M24" s="37" t="n">
        <f aca="false">IF(OR($AF24=0,M$8&gt;$Z24),"",ROUND(W24*X24*Y24*(1-$U$5)/ОКРУГЛЕННЯ,0)*ОКРУГЛЕННЯ+MAX(0,M$8-$AA24)*КРОК_ГОСТЯ*(1-$U$5)+M$8*$AC24*(1-$U$5*$U$6)+$AD24*(1-$U$5*$U$7))</f>
        <v>5772</v>
      </c>
      <c r="N24" s="35" t="n">
        <f aca="false">IF(OR($AF24=0,N$8&gt;$Z24),"",ROUND(W24*X24*Y24*(1-$U$5)/ОКРУГЛЕННЯ,0)*ОКРУГЛЕННЯ+MAX(0,N$8-$AA24)*КРОК_ГОСТЯ*(1-$U$5)+N$8*$AC24*(1-$U$5*$U$6)+$AD24*(1-$U$5*$U$7))</f>
        <v>5772</v>
      </c>
      <c r="O24" s="35" t="n">
        <f aca="false">IF(OR($AF24=0,O$8&gt;$Z24),"",ROUND(W24*X24*Y24*(1-$U$5)/ОКРУГЛЕННЯ,0)*ОКРУГЛЕННЯ+MAX(0,O$8-$AA24)*КРОК_ГОСТЯ*(1-$U$5)+O$8*$AC24*(1-$U$5*$U$6)+$AD24*(1-$U$5*$U$7))</f>
        <v>6222</v>
      </c>
      <c r="P24" s="35" t="str">
        <f aca="false">IF(OR($AF24=0,P$8&gt;$Z24),"",ROUND(W24*X24*Y24*(1-$U$5)/ОКРУГЛЕННЯ,0)*ОКРУГЛЕННЯ+MAX(0,P$8-$AA24)*КРОК_ГОСТЯ*(1-$U$5)+P$8*$AC24*(1-$U$5*$U$6)+$AD24*(1-$U$5*$U$7))</f>
        <v/>
      </c>
      <c r="Q24" s="35" t="str">
        <f aca="false">IF(OR($AF24=0,Q$8&gt;$Z24),"",ROUND(W24*X24*Y24*(1-$U$5)/ОКРУГЛЕННЯ,0)*ОКРУГЛЕННЯ+MAX(0,Q$8-$AA24)*КРОК_ГОСТЯ*(1-$U$5)+Q$8*$AC24*(1-$U$5*$U$6)+$AD24*(1-$U$5*$U$7))</f>
        <v/>
      </c>
      <c r="R24" s="35" t="str">
        <f aca="false">IF(OR($AF24=0,R$8&gt;$Z24),"",ROUND(W24*X24*Y24*(1-$U$5)/ОКРУГЛЕННЯ,0)*ОКРУГЛЕННЯ+MAX(0,R$8-$AA24)*КРОК_ГОСТЯ*(1-$U$5)+R$8*$AC24*(1-$U$5*$U$6)+$AD24*(1-$U$5*$U$7))</f>
        <v/>
      </c>
      <c r="S24" s="35" t="str">
        <f aca="false">IF(OR($AF24=0,S$8&gt;$Z24),"",ROUND(W24*X24*Y24*(1-$U$5)/ОКРУГЛЕННЯ,0)*ОКРУГЛЕННЯ+MAX(0,S$8-$AA24)*КРОК_ГОСТЯ*(1-$U$5)+S$8*$AC24*(1-$U$5*$U$6)+$AD24*(1-$U$5*$U$7))</f>
        <v/>
      </c>
      <c r="T24" s="35" t="str">
        <f aca="false">IF(OR($AF24=0,T$8&gt;$Z24),"",ROUND(W24*X24*Y24*(1-$U$5)/ОКРУГЛЕННЯ,0)*ОКРУГЛЕННЯ+MAX(0,T$8-$AA24)*КРОК_ГОСТЯ*(1-$U$5)+T$8*$AC24*(1-$U$5*$U$6)+$AD24*(1-$U$5*$U$7))</f>
        <v/>
      </c>
      <c r="U24" s="4"/>
      <c r="V24" s="4"/>
      <c r="W24" s="24" t="n">
        <f aca="false" t="array" ref="W24:W24">IF(OR($U$3=0,$A24=""),0,IFERROR(INDEX(БАЗА_RO,MATCH(INDEX(ДОВ_ОПОРА,MATCH($A24,КАТЕГОРІЇ,0)),БАЗА_КАТ,0),$U$3),0))</f>
        <v>5300</v>
      </c>
      <c r="X24" s="25" t="n">
        <f aca="false" t="array" ref="X24:X24">IF(OR($U$3=0,$A24=""),0,IFERROR(INDEX(МНОЖНИКИ,MATCH($A24,МНОЖ_КАТ,0),$U$3),0))</f>
        <v>1.1</v>
      </c>
      <c r="Y24" s="25" t="n">
        <f aca="false" t="array" ref="Y24:Y24">IF(OR($U$3=0,$A24=""),0,IFERROR(INDEX(МНОЖНИКИ,MATCH($A24,МНОЖ_КАТ,0),$U$3+1),0))</f>
        <v>1.1</v>
      </c>
      <c r="Z24" s="11" t="n">
        <f aca="false" t="array" ref="Z24:Z24">IF($A24="",0,IFERROR(INDEX(ДОВ_МАКС,MATCH($A24,КАТЕГОРІЇ,0)),0))</f>
        <v>3</v>
      </c>
      <c r="AA24" s="11" t="n">
        <f aca="false" t="array" ref="AA24:AA24">IF($A24="",0,IFERROR(INDEX(ДОВ_ВКЛ,MATCH($A24,КАТЕГОРІЇ,0)),0))</f>
        <v>2</v>
      </c>
      <c r="AB24" s="8" t="n">
        <f aca="false" t="array" ref="AB24:AB24">IF(OR($U$3=0,$U$8=0),0,IFERROR(INDEX(ПАКЕТИ_ЦІНИ,MATCH($U$10&amp;"|Будні",ПАКЕТИ_КЛЮЧ,0),$U$3),0))</f>
        <v>0</v>
      </c>
      <c r="AC24" s="8" t="n">
        <f aca="false" t="array" ref="AC24:AC24">IF(OR($U$3=0,$U$8=0),0,IFERROR(INDEX(ПАКЕТИ_ЦІНИ,MATCH($U$10&amp;"|Вихідні",ПАКЕТИ_КЛЮЧ,0),$U$3),0))</f>
        <v>0</v>
      </c>
      <c r="AD24" s="24" t="n">
        <f aca="false" t="array" ref="AD24:AD24">IF(OR($U$3=0,$U$9=0,$A24=""),0,IFERROR(INDEX(SPA_ЦІНИ,MATCH(INDEX(ДОВ_SPA,MATCH($A24,КАТЕГОРІЇ,0)),SPA_РОЛЬ,0),$U$3),0))</f>
        <v>0</v>
      </c>
      <c r="AE24" s="8" t="n">
        <f aca="false">IF(OR($A24="",W24=0,X24=0,AND($U$8=1,AB24=0),AND($U$9=1,AD24=0)),0,1)</f>
        <v>1</v>
      </c>
      <c r="AF24" s="8" t="n">
        <f aca="false">IF(OR(AE24=0,Y24=0,AND($U$8=1,AC24=0)),0,1)</f>
        <v>1</v>
      </c>
    </row>
    <row r="25" customFormat="false" ht="15.75" hidden="false" customHeight="true" outlineLevel="0" collapsed="false">
      <c r="A25" s="18" t="str">
        <f aca="false">IF('Довідник категорій'!A21="","",'Довідник категорій'!A21)</f>
        <v>Апартаменти 3-й поверх</v>
      </c>
      <c r="B25" s="19" t="str">
        <f aca="false" t="array" ref="B25:B25">IF($A25="","",IFERROR(INDEX(ДОВ_BOOKING,MATCH($A25,КАТЕГОРІЇ,0)),""))</f>
        <v>Апартаменти з видом на гори 50 м²</v>
      </c>
      <c r="C25" s="20" t="str">
        <f aca="false" t="array" ref="C25:C25">IF($A25="","",IFERROR(INDEX(ДОВ_ГРУПА,MATCH($A25,КАТЕГОРІЇ,0)),""))</f>
        <v>Apartments B</v>
      </c>
      <c r="D25" s="21" t="n">
        <f aca="false">IF(OR($AE25=0,D$8&gt;$Z25),"",ROUND(W25*X25*(1-$U$5)/ОКРУГЛЕННЯ,0)*ОКРУГЛЕННЯ+MAX(0,D$8-$AA25)*КРОК_ГОСТЯ*(1-$U$5)+D$8*$AB25*(1-$U$5*$U$6)+$AD25*(1-$U$5*$U$7))</f>
        <v>5247</v>
      </c>
      <c r="E25" s="21" t="n">
        <f aca="false">IF(OR($AE25=0,E$8&gt;$Z25),"",ROUND(W25*X25*(1-$U$5)/ОКРУГЛЕННЯ,0)*ОКРУГЛЕННЯ+MAX(0,E$8-$AA25)*КРОК_ГОСТЯ*(1-$U$5)+E$8*$AB25*(1-$U$5*$U$6)+$AD25*(1-$U$5*$U$7))</f>
        <v>5247</v>
      </c>
      <c r="F25" s="21" t="n">
        <f aca="false">IF(OR($AE25=0,F$8&gt;$Z25),"",ROUND(W25*X25*(1-$U$5)/ОКРУГЛЕННЯ,0)*ОКРУГЛЕННЯ+MAX(0,F$8-$AA25)*КРОК_ГОСТЯ*(1-$U$5)+F$8*$AB25*(1-$U$5*$U$6)+$AD25*(1-$U$5*$U$7))</f>
        <v>5697</v>
      </c>
      <c r="G25" s="21" t="str">
        <f aca="false">IF(OR($AE25=0,G$8&gt;$Z25),"",ROUND(W25*X25*(1-$U$5)/ОКРУГЛЕННЯ,0)*ОКРУГЛЕННЯ+MAX(0,G$8-$AA25)*КРОК_ГОСТЯ*(1-$U$5)+G$8*$AB25*(1-$U$5*$U$6)+$AD25*(1-$U$5*$U$7))</f>
        <v/>
      </c>
      <c r="H25" s="21" t="str">
        <f aca="false">IF(OR($AE25=0,H$8&gt;$Z25),"",ROUND(W25*X25*(1-$U$5)/ОКРУГЛЕННЯ,0)*ОКРУГЛЕННЯ+MAX(0,H$8-$AA25)*КРОК_ГОСТЯ*(1-$U$5)+H$8*$AB25*(1-$U$5*$U$6)+$AD25*(1-$U$5*$U$7))</f>
        <v/>
      </c>
      <c r="I25" s="21" t="str">
        <f aca="false">IF(OR($AE25=0,I$8&gt;$Z25),"",ROUND(W25*X25*(1-$U$5)/ОКРУГЛЕННЯ,0)*ОКРУГЛЕННЯ+MAX(0,I$8-$AA25)*КРОК_ГОСТЯ*(1-$U$5)+I$8*$AB25*(1-$U$5*$U$6)+$AD25*(1-$U$5*$U$7))</f>
        <v/>
      </c>
      <c r="J25" s="21" t="str">
        <f aca="false">IF(OR($AE25=0,J$8&gt;$Z25),"",ROUND(W25*X25*(1-$U$5)/ОКРУГЛЕННЯ,0)*ОКРУГЛЕННЯ+MAX(0,J$8-$AA25)*КРОК_ГОСТЯ*(1-$U$5)+J$8*$AB25*(1-$U$5*$U$6)+$AD25*(1-$U$5*$U$7))</f>
        <v/>
      </c>
      <c r="K25" s="22" t="str">
        <f aca="false">IF(OR($AE25=0,K$8&gt;$Z25),"",ROUND(W25*X25*(1-$U$5)/ОКРУГЛЕННЯ,0)*ОКРУГЛЕННЯ+MAX(0,K$8-$AA25)*КРОК_ГОСТЯ*(1-$U$5)+K$8*$AB25*(1-$U$5*$U$6)+$AD25*(1-$U$5*$U$7))</f>
        <v/>
      </c>
      <c r="L25" s="4"/>
      <c r="M25" s="23" t="n">
        <f aca="false">IF(OR($AF25=0,M$8&gt;$Z25),"",ROUND(W25*X25*Y25*(1-$U$5)/ОКРУГЛЕННЯ,0)*ОКРУГЛЕННЯ+MAX(0,M$8-$AA25)*КРОК_ГОСТЯ*(1-$U$5)+M$8*$AC25*(1-$U$5*$U$6)+$AD25*(1-$U$5*$U$7))</f>
        <v>5772</v>
      </c>
      <c r="N25" s="21" t="n">
        <f aca="false">IF(OR($AF25=0,N$8&gt;$Z25),"",ROUND(W25*X25*Y25*(1-$U$5)/ОКРУГЛЕННЯ,0)*ОКРУГЛЕННЯ+MAX(0,N$8-$AA25)*КРОК_ГОСТЯ*(1-$U$5)+N$8*$AC25*(1-$U$5*$U$6)+$AD25*(1-$U$5*$U$7))</f>
        <v>5772</v>
      </c>
      <c r="O25" s="21" t="n">
        <f aca="false">IF(OR($AF25=0,O$8&gt;$Z25),"",ROUND(W25*X25*Y25*(1-$U$5)/ОКРУГЛЕННЯ,0)*ОКРУГЛЕННЯ+MAX(0,O$8-$AA25)*КРОК_ГОСТЯ*(1-$U$5)+O$8*$AC25*(1-$U$5*$U$6)+$AD25*(1-$U$5*$U$7))</f>
        <v>6222</v>
      </c>
      <c r="P25" s="21" t="str">
        <f aca="false">IF(OR($AF25=0,P$8&gt;$Z25),"",ROUND(W25*X25*Y25*(1-$U$5)/ОКРУГЛЕННЯ,0)*ОКРУГЛЕННЯ+MAX(0,P$8-$AA25)*КРОК_ГОСТЯ*(1-$U$5)+P$8*$AC25*(1-$U$5*$U$6)+$AD25*(1-$U$5*$U$7))</f>
        <v/>
      </c>
      <c r="Q25" s="21" t="str">
        <f aca="false">IF(OR($AF25=0,Q$8&gt;$Z25),"",ROUND(W25*X25*Y25*(1-$U$5)/ОКРУГЛЕННЯ,0)*ОКРУГЛЕННЯ+MAX(0,Q$8-$AA25)*КРОК_ГОСТЯ*(1-$U$5)+Q$8*$AC25*(1-$U$5*$U$6)+$AD25*(1-$U$5*$U$7))</f>
        <v/>
      </c>
      <c r="R25" s="21" t="str">
        <f aca="false">IF(OR($AF25=0,R$8&gt;$Z25),"",ROUND(W25*X25*Y25*(1-$U$5)/ОКРУГЛЕННЯ,0)*ОКРУГЛЕННЯ+MAX(0,R$8-$AA25)*КРОК_ГОСТЯ*(1-$U$5)+R$8*$AC25*(1-$U$5*$U$6)+$AD25*(1-$U$5*$U$7))</f>
        <v/>
      </c>
      <c r="S25" s="21" t="str">
        <f aca="false">IF(OR($AF25=0,S$8&gt;$Z25),"",ROUND(W25*X25*Y25*(1-$U$5)/ОКРУГЛЕННЯ,0)*ОКРУГЛЕННЯ+MAX(0,S$8-$AA25)*КРОК_ГОСТЯ*(1-$U$5)+S$8*$AC25*(1-$U$5*$U$6)+$AD25*(1-$U$5*$U$7))</f>
        <v/>
      </c>
      <c r="T25" s="21" t="str">
        <f aca="false">IF(OR($AF25=0,T$8&gt;$Z25),"",ROUND(W25*X25*Y25*(1-$U$5)/ОКРУГЛЕННЯ,0)*ОКРУГЛЕННЯ+MAX(0,T$8-$AA25)*КРОК_ГОСТЯ*(1-$U$5)+T$8*$AC25*(1-$U$5*$U$6)+$AD25*(1-$U$5*$U$7))</f>
        <v/>
      </c>
      <c r="U25" s="4"/>
      <c r="V25" s="4"/>
      <c r="W25" s="24" t="n">
        <f aca="false" t="array" ref="W25:W25">IF(OR($U$3=0,$A25=""),0,IFERROR(INDEX(БАЗА_RO,MATCH(INDEX(ДОВ_ОПОРА,MATCH($A25,КАТЕГОРІЇ,0)),БАЗА_КАТ,0),$U$3),0))</f>
        <v>5300</v>
      </c>
      <c r="X25" s="25" t="n">
        <f aca="false" t="array" ref="X25:X25">IF(OR($U$3=0,$A25=""),0,IFERROR(INDEX(МНОЖНИКИ,MATCH($A25,МНОЖ_КАТ,0),$U$3),0))</f>
        <v>1.1</v>
      </c>
      <c r="Y25" s="25" t="n">
        <f aca="false" t="array" ref="Y25:Y25">IF(OR($U$3=0,$A25=""),0,IFERROR(INDEX(МНОЖНИКИ,MATCH($A25,МНОЖ_КАТ,0),$U$3+1),0))</f>
        <v>1.1</v>
      </c>
      <c r="Z25" s="11" t="n">
        <f aca="false" t="array" ref="Z25:Z25">IF($A25="",0,IFERROR(INDEX(ДОВ_МАКС,MATCH($A25,КАТЕГОРІЇ,0)),0))</f>
        <v>3</v>
      </c>
      <c r="AA25" s="11" t="n">
        <f aca="false" t="array" ref="AA25:AA25">IF($A25="",0,IFERROR(INDEX(ДОВ_ВКЛ,MATCH($A25,КАТЕГОРІЇ,0)),0))</f>
        <v>2</v>
      </c>
      <c r="AB25" s="8" t="n">
        <f aca="false" t="array" ref="AB25:AB25">IF(OR($U$3=0,$U$8=0),0,IFERROR(INDEX(ПАКЕТИ_ЦІНИ,MATCH($U$10&amp;"|Будні",ПАКЕТИ_КЛЮЧ,0),$U$3),0))</f>
        <v>0</v>
      </c>
      <c r="AC25" s="8" t="n">
        <f aca="false" t="array" ref="AC25:AC25">IF(OR($U$3=0,$U$8=0),0,IFERROR(INDEX(ПАКЕТИ_ЦІНИ,MATCH($U$10&amp;"|Вихідні",ПАКЕТИ_КЛЮЧ,0),$U$3),0))</f>
        <v>0</v>
      </c>
      <c r="AD25" s="24" t="n">
        <f aca="false" t="array" ref="AD25:AD25">IF(OR($U$3=0,$U$9=0,$A25=""),0,IFERROR(INDEX(SPA_ЦІНИ,MATCH(INDEX(ДОВ_SPA,MATCH($A25,КАТЕГОРІЇ,0)),SPA_РОЛЬ,0),$U$3),0))</f>
        <v>0</v>
      </c>
      <c r="AE25" s="8" t="n">
        <f aca="false">IF(OR($A25="",W25=0,X25=0,AND($U$8=1,AB25=0),AND($U$9=1,AD25=0)),0,1)</f>
        <v>1</v>
      </c>
      <c r="AF25" s="8" t="n">
        <f aca="false">IF(OR(AE25=0,Y25=0,AND($U$8=1,AC25=0)),0,1)</f>
        <v>1</v>
      </c>
    </row>
    <row r="26" customFormat="false" ht="15.75" hidden="false" customHeight="true" outlineLevel="0" collapsed="false">
      <c r="A26" s="32" t="str">
        <f aca="false">IF('Довідник категорій'!A22="","",'Довідник категорій'!A22)</f>
        <v>Апартаменти президентські</v>
      </c>
      <c r="B26" s="33" t="str">
        <f aca="false" t="array" ref="B26:B26">IF($A26="","",IFERROR(INDEX(ДОВ_BOOKING,MATCH($A26,КАТЕГОРІЇ,0)),""))</f>
        <v>Дворівневі апартаменти 60 м²</v>
      </c>
      <c r="C26" s="34" t="str">
        <f aca="false" t="array" ref="C26:C26">IF($A26="","",IFERROR(INDEX(ДОВ_ГРУПА,MATCH($A26,КАТЕГОРІЇ,0)),""))</f>
        <v>Apartments B</v>
      </c>
      <c r="D26" s="35" t="n">
        <f aca="false">IF(OR($AE26=0,D$8&gt;$Z26),"",ROUND(W26*X26*(1-$U$5)/ОКРУГЛЕННЯ,0)*ОКРУГЛЕННЯ+MAX(0,D$8-$AA26)*КРОК_ГОСТЯ*(1-$U$5)+D$8*$AB26*(1-$U$5*$U$6)+$AD26*(1-$U$5*$U$7))</f>
        <v>7632</v>
      </c>
      <c r="E26" s="35" t="n">
        <f aca="false">IF(OR($AE26=0,E$8&gt;$Z26),"",ROUND(W26*X26*(1-$U$5)/ОКРУГЛЕННЯ,0)*ОКРУГЛЕННЯ+MAX(0,E$8-$AA26)*КРОК_ГОСТЯ*(1-$U$5)+E$8*$AB26*(1-$U$5*$U$6)+$AD26*(1-$U$5*$U$7))</f>
        <v>7632</v>
      </c>
      <c r="F26" s="35" t="n">
        <f aca="false">IF(OR($AE26=0,F$8&gt;$Z26),"",ROUND(W26*X26*(1-$U$5)/ОКРУГЛЕННЯ,0)*ОКРУГЛЕННЯ+MAX(0,F$8-$AA26)*КРОК_ГОСТЯ*(1-$U$5)+F$8*$AB26*(1-$U$5*$U$6)+$AD26*(1-$U$5*$U$7))</f>
        <v>8082</v>
      </c>
      <c r="G26" s="35" t="str">
        <f aca="false">IF(OR($AE26=0,G$8&gt;$Z26),"",ROUND(W26*X26*(1-$U$5)/ОКРУГЛЕННЯ,0)*ОКРУГЛЕННЯ+MAX(0,G$8-$AA26)*КРОК_ГОСТЯ*(1-$U$5)+G$8*$AB26*(1-$U$5*$U$6)+$AD26*(1-$U$5*$U$7))</f>
        <v/>
      </c>
      <c r="H26" s="35" t="str">
        <f aca="false">IF(OR($AE26=0,H$8&gt;$Z26),"",ROUND(W26*X26*(1-$U$5)/ОКРУГЛЕННЯ,0)*ОКРУГЛЕННЯ+MAX(0,H$8-$AA26)*КРОК_ГОСТЯ*(1-$U$5)+H$8*$AB26*(1-$U$5*$U$6)+$AD26*(1-$U$5*$U$7))</f>
        <v/>
      </c>
      <c r="I26" s="35" t="str">
        <f aca="false">IF(OR($AE26=0,I$8&gt;$Z26),"",ROUND(W26*X26*(1-$U$5)/ОКРУГЛЕННЯ,0)*ОКРУГЛЕННЯ+MAX(0,I$8-$AA26)*КРОК_ГОСТЯ*(1-$U$5)+I$8*$AB26*(1-$U$5*$U$6)+$AD26*(1-$U$5*$U$7))</f>
        <v/>
      </c>
      <c r="J26" s="35" t="str">
        <f aca="false">IF(OR($AE26=0,J$8&gt;$Z26),"",ROUND(W26*X26*(1-$U$5)/ОКРУГЛЕННЯ,0)*ОКРУГЛЕННЯ+MAX(0,J$8-$AA26)*КРОК_ГОСТЯ*(1-$U$5)+J$8*$AB26*(1-$U$5*$U$6)+$AD26*(1-$U$5*$U$7))</f>
        <v/>
      </c>
      <c r="K26" s="36" t="str">
        <f aca="false">IF(OR($AE26=0,K$8&gt;$Z26),"",ROUND(W26*X26*(1-$U$5)/ОКРУГЛЕННЯ,0)*ОКРУГЛЕННЯ+MAX(0,K$8-$AA26)*КРОК_ГОСТЯ*(1-$U$5)+K$8*$AB26*(1-$U$5*$U$6)+$AD26*(1-$U$5*$U$7))</f>
        <v/>
      </c>
      <c r="L26" s="4"/>
      <c r="M26" s="37" t="n">
        <f aca="false">IF(OR($AF26=0,M$8&gt;$Z26),"",ROUND(W26*X26*Y26*(1-$U$5)/ОКРУГЛЕННЯ,0)*ОКРУГЛЕННЯ+MAX(0,M$8-$AA26)*КРОК_ГОСТЯ*(1-$U$5)+M$8*$AC26*(1-$U$5*$U$6)+$AD26*(1-$U$5*$U$7))</f>
        <v>8090</v>
      </c>
      <c r="N26" s="35" t="n">
        <f aca="false">IF(OR($AF26=0,N$8&gt;$Z26),"",ROUND(W26*X26*Y26*(1-$U$5)/ОКРУГЛЕННЯ,0)*ОКРУГЛЕННЯ+MAX(0,N$8-$AA26)*КРОК_ГОСТЯ*(1-$U$5)+N$8*$AC26*(1-$U$5*$U$6)+$AD26*(1-$U$5*$U$7))</f>
        <v>8090</v>
      </c>
      <c r="O26" s="35" t="n">
        <f aca="false">IF(OR($AF26=0,O$8&gt;$Z26),"",ROUND(W26*X26*Y26*(1-$U$5)/ОКРУГЛЕННЯ,0)*ОКРУГЛЕННЯ+MAX(0,O$8-$AA26)*КРОК_ГОСТЯ*(1-$U$5)+O$8*$AC26*(1-$U$5*$U$6)+$AD26*(1-$U$5*$U$7))</f>
        <v>8540</v>
      </c>
      <c r="P26" s="35" t="str">
        <f aca="false">IF(OR($AF26=0,P$8&gt;$Z26),"",ROUND(W26*X26*Y26*(1-$U$5)/ОКРУГЛЕННЯ,0)*ОКРУГЛЕННЯ+MAX(0,P$8-$AA26)*КРОК_ГОСТЯ*(1-$U$5)+P$8*$AC26*(1-$U$5*$U$6)+$AD26*(1-$U$5*$U$7))</f>
        <v/>
      </c>
      <c r="Q26" s="35" t="str">
        <f aca="false">IF(OR($AF26=0,Q$8&gt;$Z26),"",ROUND(W26*X26*Y26*(1-$U$5)/ОКРУГЛЕННЯ,0)*ОКРУГЛЕННЯ+MAX(0,Q$8-$AA26)*КРОК_ГОСТЯ*(1-$U$5)+Q$8*$AC26*(1-$U$5*$U$6)+$AD26*(1-$U$5*$U$7))</f>
        <v/>
      </c>
      <c r="R26" s="35" t="str">
        <f aca="false">IF(OR($AF26=0,R$8&gt;$Z26),"",ROUND(W26*X26*Y26*(1-$U$5)/ОКРУГЛЕННЯ,0)*ОКРУГЛЕННЯ+MAX(0,R$8-$AA26)*КРОК_ГОСТЯ*(1-$U$5)+R$8*$AC26*(1-$U$5*$U$6)+$AD26*(1-$U$5*$U$7))</f>
        <v/>
      </c>
      <c r="S26" s="35" t="str">
        <f aca="false">IF(OR($AF26=0,S$8&gt;$Z26),"",ROUND(W26*X26*Y26*(1-$U$5)/ОКРУГЛЕННЯ,0)*ОКРУГЛЕННЯ+MAX(0,S$8-$AA26)*КРОК_ГОСТЯ*(1-$U$5)+S$8*$AC26*(1-$U$5*$U$6)+$AD26*(1-$U$5*$U$7))</f>
        <v/>
      </c>
      <c r="T26" s="35" t="str">
        <f aca="false">IF(OR($AF26=0,T$8&gt;$Z26),"",ROUND(W26*X26*Y26*(1-$U$5)/ОКРУГЛЕННЯ,0)*ОКРУГЛЕННЯ+MAX(0,T$8-$AA26)*КРОК_ГОСТЯ*(1-$U$5)+T$8*$AC26*(1-$U$5*$U$6)+$AD26*(1-$U$5*$U$7))</f>
        <v/>
      </c>
      <c r="U26" s="4"/>
      <c r="V26" s="4"/>
      <c r="W26" s="24" t="n">
        <f aca="false" t="array" ref="W26:W26">IF(OR($U$3=0,$A26=""),0,IFERROR(INDEX(БАЗА_RO,MATCH(INDEX(ДОВ_ОПОРА,MATCH($A26,КАТЕГОРІЇ,0)),БАЗА_КАТ,0),$U$3),0))</f>
        <v>5300</v>
      </c>
      <c r="X26" s="25" t="n">
        <f aca="false" t="array" ref="X26:X26">IF(OR($U$3=0,$A26=""),0,IFERROR(INDEX(МНОЖНИКИ,MATCH($A26,МНОЖ_КАТ,0),$U$3),0))</f>
        <v>1.6</v>
      </c>
      <c r="Y26" s="25" t="n">
        <f aca="false" t="array" ref="Y26:Y26">IF(OR($U$3=0,$A26=""),0,IFERROR(INDEX(МНОЖНИКИ,MATCH($A26,МНОЖ_КАТ,0),$U$3+1),0))</f>
        <v>1.06</v>
      </c>
      <c r="Z26" s="11" t="n">
        <f aca="false" t="array" ref="Z26:Z26">IF($A26="",0,IFERROR(INDEX(ДОВ_МАКС,MATCH($A26,КАТЕГОРІЇ,0)),0))</f>
        <v>3</v>
      </c>
      <c r="AA26" s="11" t="n">
        <f aca="false" t="array" ref="AA26:AA26">IF($A26="",0,IFERROR(INDEX(ДОВ_ВКЛ,MATCH($A26,КАТЕГОРІЇ,0)),0))</f>
        <v>2</v>
      </c>
      <c r="AB26" s="8" t="n">
        <f aca="false" t="array" ref="AB26:AB26">IF(OR($U$3=0,$U$8=0),0,IFERROR(INDEX(ПАКЕТИ_ЦІНИ,MATCH($U$10&amp;"|Будні",ПАКЕТИ_КЛЮЧ,0),$U$3),0))</f>
        <v>0</v>
      </c>
      <c r="AC26" s="8" t="n">
        <f aca="false" t="array" ref="AC26:AC26">IF(OR($U$3=0,$U$8=0),0,IFERROR(INDEX(ПАКЕТИ_ЦІНИ,MATCH($U$10&amp;"|Вихідні",ПАКЕТИ_КЛЮЧ,0),$U$3),0))</f>
        <v>0</v>
      </c>
      <c r="AD26" s="24" t="n">
        <f aca="false" t="array" ref="AD26:AD26">IF(OR($U$3=0,$U$9=0,$A26=""),0,IFERROR(INDEX(SPA_ЦІНИ,MATCH(INDEX(ДОВ_SPA,MATCH($A26,КАТЕГОРІЇ,0)),SPA_РОЛЬ,0),$U$3),0))</f>
        <v>0</v>
      </c>
      <c r="AE26" s="8" t="n">
        <f aca="false">IF(OR($A26="",W26=0,X26=0,AND($U$8=1,AB26=0),AND($U$9=1,AD26=0)),0,1)</f>
        <v>1</v>
      </c>
      <c r="AF26" s="8" t="n">
        <f aca="false">IF(OR(AE26=0,Y26=0,AND($U$8=1,AC26=0)),0,1)</f>
        <v>1</v>
      </c>
    </row>
    <row r="27" customFormat="false" ht="15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customFormat="false" ht="15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customFormat="false" ht="15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customFormat="false" ht="15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customFormat="false" ht="15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customFormat="false" ht="15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customFormat="false" ht="15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mergeCells count="7">
    <mergeCell ref="A1:T1"/>
    <mergeCell ref="D3:T3"/>
    <mergeCell ref="D4:T4"/>
    <mergeCell ref="D5:T5"/>
    <mergeCell ref="A6:T6"/>
    <mergeCell ref="D7:K7"/>
    <mergeCell ref="M7:T7"/>
  </mergeCells>
  <conditionalFormatting sqref="A6:T6">
    <cfRule type="expression" priority="2" aboveAverage="0" equalAverage="0" bottom="0" percent="0" rank="0" text="" dxfId="0">
      <formula>OR($U$3=0,$U$13=0)</formula>
    </cfRule>
  </conditionalFormatting>
  <conditionalFormatting sqref="A9:C26">
    <cfRule type="expression" priority="3" aboveAverage="0" equalAverage="0" bottom="0" percent="0" rank="0" text="" dxfId="1">
      <formula>IFERROR(INDEX(ДОВ_РОЛЬ,MATCH($A9,КАТЕГОРІЇ,0))="Базова",0)</formula>
    </cfRule>
  </conditionalFormatting>
  <dataValidations count="3">
    <dataValidation allowBlank="true" errorStyle="stop" operator="between" prompt="Оберіть зі списку - Значення має бути з випадаючого списку — інакше прайс не порахується." showDropDown="false" showErrorMessage="true" showInputMessage="true" sqref="B5" type="list">
      <formula1>СПИСОК_ПАКЕТІВ</formula1>
      <formula2>0</formula2>
    </dataValidation>
    <dataValidation allowBlank="true" errorStyle="stop" operator="between" prompt="Оберіть зі списку - Значення має бути з випадаючого списку — інакше прайс не порахується." showDropDown="false" showErrorMessage="true" showInputMessage="true" sqref="B3" type="list">
      <formula1>ПРАЙС_ЛИСТИ</formula1>
      <formula2>0</formula2>
    </dataValidation>
    <dataValidation allowBlank="true" errorStyle="stop" operator="between" prompt="Оберіть зі списку - Значення має бути з випадаючого списку — інакше прайс не порахується." showDropDown="false" showErrorMessage="true" showInputMessage="true" sqref="B4" type="list">
      <formula1>ТАРИФИ_НАЗВИ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&amp;LPhoenix Relax Park Bukovel&amp;C&amp;A&amp;RСторінка &amp;P з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X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I5" activeCellId="0" sqref="I5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9.29"/>
    <col collapsed="false" customWidth="true" hidden="false" outlineLevel="0" max="3" min="2" style="1" width="10.71"/>
    <col collapsed="false" customWidth="true" hidden="false" outlineLevel="0" max="4" min="4" style="1" width="12.57"/>
    <col collapsed="false" customWidth="true" hidden="false" outlineLevel="0" max="5" min="5" style="1" width="20.57"/>
    <col collapsed="false" customWidth="true" hidden="false" outlineLevel="0" max="6" min="6" style="1" width="45.14"/>
    <col collapsed="false" customWidth="true" hidden="false" outlineLevel="0" max="7" min="7" style="1" width="18.86"/>
    <col collapsed="false" customWidth="true" hidden="false" outlineLevel="0" max="8" min="8" style="1" width="63.43"/>
    <col collapsed="false" customWidth="true" hidden="false" outlineLevel="0" max="9" min="9" style="1" width="14.57"/>
    <col collapsed="false" customWidth="true" hidden="false" outlineLevel="0" max="10" min="10" style="1" width="12"/>
    <col collapsed="false" customWidth="true" hidden="false" outlineLevel="0" max="11" min="11" style="1" width="14.57"/>
    <col collapsed="false" customWidth="true" hidden="false" outlineLevel="0" max="12" min="12" style="1" width="12"/>
    <col collapsed="false" customWidth="true" hidden="false" outlineLevel="0" max="13" min="13" style="1" width="14.71"/>
    <col collapsed="false" customWidth="true" hidden="false" outlineLevel="0" max="14" min="14" style="1" width="18.86"/>
    <col collapsed="false" customWidth="true" hidden="false" outlineLevel="0" max="16" min="15" style="1" width="20.43"/>
    <col collapsed="false" customWidth="true" hidden="false" outlineLevel="0" max="17" min="17" style="1" width="14.71"/>
    <col collapsed="false" customWidth="true" hidden="false" outlineLevel="0" max="18" min="18" style="1" width="18.86"/>
    <col collapsed="false" customWidth="true" hidden="false" outlineLevel="0" max="20" min="19" style="1" width="22.57"/>
    <col collapsed="false" customWidth="true" hidden="false" outlineLevel="0" max="21" min="21" style="1" width="14.71"/>
    <col collapsed="false" customWidth="true" hidden="false" outlineLevel="0" max="22" min="22" style="1" width="18.86"/>
    <col collapsed="false" customWidth="true" hidden="false" outlineLevel="0" max="24" min="23" style="1" width="21.43"/>
    <col collapsed="false" customWidth="true" hidden="false" outlineLevel="0" max="25" min="25" style="1" width="14.71"/>
    <col collapsed="false" customWidth="true" hidden="false" outlineLevel="0" max="26" min="26" style="1" width="18.86"/>
    <col collapsed="false" customWidth="true" hidden="false" outlineLevel="0" max="28" min="27" style="1" width="21.43"/>
    <col collapsed="false" customWidth="true" hidden="false" outlineLevel="0" max="29" min="29" style="1" width="14.71"/>
    <col collapsed="false" customWidth="true" hidden="false" outlineLevel="0" max="30" min="30" style="1" width="18.86"/>
    <col collapsed="false" customWidth="true" hidden="false" outlineLevel="0" max="32" min="31" style="1" width="21.43"/>
    <col collapsed="false" customWidth="true" hidden="false" outlineLevel="0" max="33" min="33" style="1" width="14.71"/>
    <col collapsed="false" customWidth="true" hidden="false" outlineLevel="0" max="34" min="34" style="1" width="18.86"/>
    <col collapsed="false" customWidth="true" hidden="false" outlineLevel="0" max="36" min="35" style="1" width="21.43"/>
    <col collapsed="false" customWidth="true" hidden="false" outlineLevel="0" max="37" min="37" style="1" width="14.57"/>
    <col collapsed="false" customWidth="true" hidden="false" outlineLevel="0" max="38" min="38" style="1" width="12"/>
    <col collapsed="false" customWidth="true" hidden="false" outlineLevel="0" max="39" min="39" style="1" width="14.57"/>
    <col collapsed="false" customWidth="true" hidden="false" outlineLevel="0" max="40" min="40" style="1" width="12"/>
    <col collapsed="false" customWidth="true" hidden="false" outlineLevel="0" max="41" min="41" style="1" width="14.57"/>
    <col collapsed="false" customWidth="true" hidden="false" outlineLevel="0" max="42" min="42" style="1" width="12"/>
    <col collapsed="false" customWidth="true" hidden="false" outlineLevel="0" max="43" min="43" style="1" width="14.57"/>
    <col collapsed="false" customWidth="true" hidden="false" outlineLevel="0" max="44" min="44" style="1" width="12"/>
    <col collapsed="false" customWidth="true" hidden="false" outlineLevel="0" max="45" min="45" style="1" width="14.57"/>
    <col collapsed="false" customWidth="true" hidden="false" outlineLevel="0" max="46" min="46" style="1" width="12"/>
    <col collapsed="false" customWidth="true" hidden="false" outlineLevel="0" max="47" min="47" style="1" width="14.57"/>
    <col collapsed="false" customWidth="true" hidden="false" outlineLevel="0" max="48" min="48" style="1" width="12"/>
    <col collapsed="false" customWidth="true" hidden="false" outlineLevel="0" max="49" min="49" style="1" width="14.57"/>
    <col collapsed="false" customWidth="true" hidden="false" outlineLevel="0" max="50" min="50" style="1" width="12"/>
    <col collapsed="false" customWidth="true" hidden="false" outlineLevel="0" max="51" min="51" style="1" width="14.57"/>
    <col collapsed="false" customWidth="true" hidden="false" outlineLevel="0" max="52" min="52" style="1" width="12"/>
    <col collapsed="false" customWidth="true" hidden="false" outlineLevel="0" max="53" min="53" style="1" width="14.57"/>
    <col collapsed="false" customWidth="true" hidden="false" outlineLevel="0" max="54" min="54" style="1" width="12"/>
    <col collapsed="false" customWidth="true" hidden="false" outlineLevel="0" max="55" min="55" style="1" width="14.57"/>
    <col collapsed="false" customWidth="true" hidden="false" outlineLevel="0" max="56" min="56" style="1" width="12"/>
    <col collapsed="false" customWidth="true" hidden="false" outlineLevel="0" max="57" min="57" style="1" width="14.57"/>
    <col collapsed="false" customWidth="true" hidden="false" outlineLevel="0" max="58" min="58" style="1" width="12"/>
    <col collapsed="false" customWidth="true" hidden="false" outlineLevel="0" max="59" min="59" style="1" width="14.57"/>
    <col collapsed="false" customWidth="true" hidden="false" outlineLevel="0" max="60" min="60" style="1" width="12"/>
    <col collapsed="false" customWidth="true" hidden="false" outlineLevel="0" max="61" min="61" style="1" width="14.57"/>
    <col collapsed="false" customWidth="true" hidden="false" outlineLevel="0" max="62" min="62" style="1" width="12"/>
    <col collapsed="false" customWidth="true" hidden="false" outlineLevel="0" max="63" min="63" style="1" width="14.57"/>
    <col collapsed="false" customWidth="true" hidden="false" outlineLevel="0" max="64" min="64" style="1" width="12"/>
    <col collapsed="false" customWidth="true" hidden="false" outlineLevel="0" max="65" min="65" style="1" width="14.57"/>
    <col collapsed="false" customWidth="true" hidden="false" outlineLevel="0" max="66" min="66" style="1" width="12"/>
    <col collapsed="false" customWidth="true" hidden="false" outlineLevel="0" max="67" min="67" style="1" width="14.57"/>
    <col collapsed="false" customWidth="true" hidden="false" outlineLevel="0" max="68" min="68" style="1" width="12"/>
    <col collapsed="false" customWidth="true" hidden="false" outlineLevel="0" max="69" min="69" style="1" width="14.57"/>
    <col collapsed="false" customWidth="true" hidden="false" outlineLevel="0" max="70" min="70" style="1" width="12"/>
    <col collapsed="false" customWidth="true" hidden="false" outlineLevel="0" max="71" min="71" style="1" width="14.57"/>
    <col collapsed="false" customWidth="true" hidden="false" outlineLevel="0" max="72" min="72" style="1" width="12"/>
    <col collapsed="false" customWidth="true" hidden="false" outlineLevel="0" max="73" min="73" style="1" width="14.57"/>
    <col collapsed="false" customWidth="true" hidden="false" outlineLevel="0" max="74" min="74" style="1" width="12"/>
    <col collapsed="false" customWidth="true" hidden="false" outlineLevel="0" max="75" min="75" style="1" width="14.57"/>
    <col collapsed="false" customWidth="true" hidden="false" outlineLevel="0" max="76" min="76" style="1" width="12"/>
    <col collapsed="false" customWidth="true" hidden="false" outlineLevel="0" max="77" min="77" style="1" width="14.57"/>
    <col collapsed="false" customWidth="true" hidden="false" outlineLevel="0" max="78" min="78" style="1" width="12"/>
    <col collapsed="false" customWidth="true" hidden="false" outlineLevel="0" max="79" min="79" style="1" width="14.57"/>
    <col collapsed="false" customWidth="true" hidden="false" outlineLevel="0" max="80" min="80" style="1" width="12"/>
    <col collapsed="false" customWidth="true" hidden="false" outlineLevel="0" max="81" min="81" style="1" width="14.57"/>
    <col collapsed="false" customWidth="true" hidden="false" outlineLevel="0" max="82" min="82" style="1" width="12"/>
    <col collapsed="false" customWidth="true" hidden="false" outlineLevel="0" max="83" min="83" style="1" width="14.57"/>
    <col collapsed="false" customWidth="true" hidden="false" outlineLevel="0" max="84" min="84" style="1" width="12"/>
    <col collapsed="false" customWidth="true" hidden="false" outlineLevel="0" max="85" min="85" style="1" width="14.57"/>
    <col collapsed="false" customWidth="true" hidden="false" outlineLevel="0" max="86" min="86" style="1" width="12"/>
    <col collapsed="false" customWidth="true" hidden="false" outlineLevel="0" max="87" min="87" style="1" width="14.57"/>
    <col collapsed="false" customWidth="true" hidden="false" outlineLevel="0" max="88" min="88" style="1" width="12"/>
    <col collapsed="false" customWidth="true" hidden="false" outlineLevel="0" max="89" min="89" style="1" width="14.57"/>
    <col collapsed="false" customWidth="true" hidden="false" outlineLevel="0" max="90" min="90" style="1" width="12"/>
    <col collapsed="false" customWidth="true" hidden="false" outlineLevel="0" max="91" min="91" style="1" width="14.57"/>
    <col collapsed="false" customWidth="true" hidden="false" outlineLevel="0" max="92" min="92" style="1" width="12"/>
    <col collapsed="false" customWidth="true" hidden="false" outlineLevel="0" max="93" min="93" style="1" width="14.57"/>
    <col collapsed="false" customWidth="true" hidden="false" outlineLevel="0" max="94" min="94" style="1" width="12"/>
    <col collapsed="false" customWidth="true" hidden="false" outlineLevel="0" max="95" min="95" style="1" width="14.57"/>
    <col collapsed="false" customWidth="true" hidden="false" outlineLevel="0" max="96" min="96" style="1" width="12"/>
    <col collapsed="false" customWidth="true" hidden="false" outlineLevel="0" max="97" min="97" style="1" width="14.57"/>
    <col collapsed="false" customWidth="true" hidden="false" outlineLevel="0" max="98" min="98" style="1" width="12"/>
    <col collapsed="false" customWidth="true" hidden="false" outlineLevel="0" max="99" min="99" style="1" width="14.57"/>
    <col collapsed="false" customWidth="true" hidden="false" outlineLevel="0" max="100" min="100" style="1" width="12"/>
    <col collapsed="false" customWidth="true" hidden="false" outlineLevel="0" max="101" min="101" style="1" width="14.57"/>
    <col collapsed="false" customWidth="true" hidden="false" outlineLevel="0" max="102" min="102" style="1" width="12"/>
    <col collapsed="false" customWidth="true" hidden="false" outlineLevel="0" max="103" min="103" style="1" width="14.57"/>
    <col collapsed="false" customWidth="true" hidden="false" outlineLevel="0" max="104" min="104" style="1" width="12"/>
    <col collapsed="false" customWidth="true" hidden="false" outlineLevel="0" max="105" min="105" style="1" width="14.57"/>
    <col collapsed="false" customWidth="true" hidden="false" outlineLevel="0" max="106" min="106" style="1" width="12"/>
    <col collapsed="false" customWidth="true" hidden="false" outlineLevel="0" max="107" min="107" style="1" width="14.57"/>
    <col collapsed="false" customWidth="true" hidden="false" outlineLevel="0" max="108" min="108" style="1" width="12"/>
    <col collapsed="false" customWidth="true" hidden="false" outlineLevel="0" max="109" min="109" style="1" width="14.57"/>
    <col collapsed="false" customWidth="true" hidden="false" outlineLevel="0" max="110" min="110" style="1" width="12"/>
    <col collapsed="false" customWidth="true" hidden="false" outlineLevel="0" max="111" min="111" style="1" width="14.57"/>
    <col collapsed="false" customWidth="true" hidden="false" outlineLevel="0" max="112" min="112" style="1" width="12"/>
    <col collapsed="false" customWidth="true" hidden="false" outlineLevel="0" max="113" min="113" style="1" width="14.57"/>
    <col collapsed="false" customWidth="true" hidden="false" outlineLevel="0" max="114" min="114" style="1" width="12"/>
    <col collapsed="false" customWidth="true" hidden="false" outlineLevel="0" max="115" min="115" style="1" width="14.57"/>
    <col collapsed="false" customWidth="true" hidden="false" outlineLevel="0" max="116" min="116" style="1" width="12"/>
    <col collapsed="false" customWidth="true" hidden="false" outlineLevel="0" max="117" min="117" style="1" width="14.57"/>
    <col collapsed="false" customWidth="true" hidden="false" outlineLevel="0" max="118" min="118" style="1" width="12"/>
    <col collapsed="false" customWidth="true" hidden="false" outlineLevel="0" max="119" min="119" style="1" width="14.57"/>
    <col collapsed="false" customWidth="true" hidden="false" outlineLevel="0" max="120" min="120" style="1" width="12"/>
    <col collapsed="false" customWidth="true" hidden="false" outlineLevel="0" max="121" min="121" style="1" width="14.57"/>
    <col collapsed="false" customWidth="true" hidden="false" outlineLevel="0" max="122" min="122" style="1" width="12"/>
    <col collapsed="false" customWidth="true" hidden="false" outlineLevel="0" max="123" min="123" style="1" width="14.57"/>
    <col collapsed="false" customWidth="true" hidden="false" outlineLevel="0" max="124" min="124" style="1" width="12"/>
    <col collapsed="false" customWidth="true" hidden="false" outlineLevel="0" max="125" min="125" style="1" width="14.57"/>
    <col collapsed="false" customWidth="true" hidden="false" outlineLevel="0" max="126" min="126" style="1" width="12"/>
    <col collapsed="false" customWidth="true" hidden="false" outlineLevel="0" max="127" min="127" style="1" width="14.57"/>
    <col collapsed="false" customWidth="true" hidden="false" outlineLevel="0" max="128" min="128" style="1" width="12"/>
  </cols>
  <sheetData>
    <row r="1" customFormat="false" ht="30.7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customFormat="false" ht="35.25" hidden="false" customHeight="true" outlineLevel="0" collapsed="false">
      <c r="A2" s="44" t="s">
        <v>24</v>
      </c>
      <c r="B2" s="44"/>
      <c r="C2" s="44"/>
      <c r="D2" s="44"/>
      <c r="E2" s="44"/>
      <c r="F2" s="44"/>
      <c r="G2" s="44"/>
      <c r="H2" s="45" t="s">
        <v>25</v>
      </c>
      <c r="I2" s="46" t="str">
        <f aca="false">IF($A$6="","",$A$6)</f>
        <v>Осінь 2025</v>
      </c>
      <c r="J2" s="47" t="str">
        <f aca="false">IF($A$6="","",$A$6)</f>
        <v>Осінь 2025</v>
      </c>
      <c r="K2" s="46" t="str">
        <f aca="false">IF($A$7="","",$A$7)</f>
        <v>Осінь 2026 База</v>
      </c>
      <c r="L2" s="47" t="str">
        <f aca="false">IF($A$7="","",$A$7)</f>
        <v>Осінь 2026 База</v>
      </c>
      <c r="M2" s="46" t="str">
        <f aca="false">IF($A$8="","",$A$8)</f>
        <v>Осінь 2026 (00-10%)</v>
      </c>
      <c r="N2" s="47" t="str">
        <f aca="false">IF($A$8="","",$A$8)</f>
        <v>Осінь 2026 (00-10%)</v>
      </c>
      <c r="O2" s="46" t="str">
        <f aca="false">IF($A$9="","",$A$9)</f>
        <v>Осінь 2026 (Канікули) 0-10%</v>
      </c>
      <c r="P2" s="47" t="str">
        <f aca="false">IF($A$9="","",$A$9)</f>
        <v>Осінь 2026 (Канікули) 0-10%</v>
      </c>
      <c r="Q2" s="46" t="str">
        <f aca="false">IF($A$10="","",$A$10)</f>
        <v>Осінь 2026 (10-20%)</v>
      </c>
      <c r="R2" s="47" t="str">
        <f aca="false">IF($A$10="","",$A$10)</f>
        <v>Осінь 2026 (10-20%)</v>
      </c>
      <c r="S2" s="46" t="str">
        <f aca="false">IF($A$11="","",$A$11)</f>
        <v>Осінь 2026 (Канікули) 10%-20%</v>
      </c>
      <c r="T2" s="47" t="str">
        <f aca="false">IF($A$11="","",$A$11)</f>
        <v>Осінь 2026 (Канікули) 10%-20%</v>
      </c>
      <c r="U2" s="46" t="str">
        <f aca="false">IF($A$12="","",$A$12)</f>
        <v>Осінь 2026 (20-30%)</v>
      </c>
      <c r="V2" s="47" t="str">
        <f aca="false">IF($A$12="","",$A$12)</f>
        <v>Осінь 2026 (20-30%)</v>
      </c>
      <c r="W2" s="46" t="str">
        <f aca="false">IF($A$13="","",$A$13)</f>
        <v>Осінь 2026 (Канікули) 20-30%</v>
      </c>
      <c r="X2" s="47" t="str">
        <f aca="false">IF($A$13="","",$A$13)</f>
        <v>Осінь 2026 (Канікули) 20-30%</v>
      </c>
      <c r="Y2" s="46" t="str">
        <f aca="false">IF($A$14="","",$A$14)</f>
        <v>Осінь 2026 (30-40%)</v>
      </c>
      <c r="Z2" s="47" t="str">
        <f aca="false">IF($A$14="","",$A$14)</f>
        <v>Осінь 2026 (30-40%)</v>
      </c>
      <c r="AA2" s="46" t="str">
        <f aca="false">IF($A$15="","",$A$15)</f>
        <v>Осінь 2026 (Канікули) 30-40%</v>
      </c>
      <c r="AB2" s="47" t="str">
        <f aca="false">IF($A$15="","",$A$15)</f>
        <v>Осінь 2026 (Канікули) 30-40%</v>
      </c>
      <c r="AC2" s="46" t="str">
        <f aca="false">IF($A$16="","",$A$16)</f>
        <v>Осінь 2026 (40-50%)</v>
      </c>
      <c r="AD2" s="47" t="str">
        <f aca="false">IF($A$16="","",$A$16)</f>
        <v>Осінь 2026 (40-50%)</v>
      </c>
      <c r="AE2" s="46" t="str">
        <f aca="false">IF($A$17="","",$A$17)</f>
        <v>Осінь 2026 (Канікули) 40-50%</v>
      </c>
      <c r="AF2" s="47" t="str">
        <f aca="false">IF($A$17="","",$A$17)</f>
        <v>Осінь 2026 (Канікули) 40-50%</v>
      </c>
      <c r="AG2" s="46" t="str">
        <f aca="false">IF($A$18="","",$A$18)</f>
        <v>Осінь 2026 (50-60%)</v>
      </c>
      <c r="AH2" s="47" t="str">
        <f aca="false">IF($A$18="","",$A$18)</f>
        <v>Осінь 2026 (50-60%)</v>
      </c>
      <c r="AI2" s="46" t="str">
        <f aca="false">IF($A$19="","",$A$19)</f>
        <v>Осінь 2026 (Канікули) 50-60%</v>
      </c>
      <c r="AJ2" s="47" t="str">
        <f aca="false">IF($A$19="","",$A$19)</f>
        <v>Осінь 2026 (Канікули) 50-60%</v>
      </c>
      <c r="AK2" s="46" t="str">
        <f aca="false">IF($A$20="","",$A$20)</f>
        <v/>
      </c>
      <c r="AL2" s="47" t="str">
        <f aca="false">IF($A$20="","",$A$20)</f>
        <v/>
      </c>
      <c r="AM2" s="46" t="str">
        <f aca="false">IF($A$21="","",$A$21)</f>
        <v/>
      </c>
      <c r="AN2" s="47" t="str">
        <f aca="false">IF($A$21="","",$A$21)</f>
        <v/>
      </c>
      <c r="AO2" s="46" t="str">
        <f aca="false">IF($A$22="","",$A$22)</f>
        <v/>
      </c>
      <c r="AP2" s="47" t="str">
        <f aca="false">IF($A$22="","",$A$22)</f>
        <v/>
      </c>
      <c r="AQ2" s="46" t="str">
        <f aca="false">IF($A$23="","",$A$23)</f>
        <v/>
      </c>
      <c r="AR2" s="47" t="str">
        <f aca="false">IF($A$23="","",$A$23)</f>
        <v/>
      </c>
      <c r="AS2" s="46" t="str">
        <f aca="false">IF($A$24="","",$A$24)</f>
        <v/>
      </c>
      <c r="AT2" s="47" t="str">
        <f aca="false">IF($A$24="","",$A$24)</f>
        <v/>
      </c>
      <c r="AU2" s="46" t="str">
        <f aca="false">IF($A$25="","",$A$25)</f>
        <v/>
      </c>
      <c r="AV2" s="47" t="str">
        <f aca="false">IF($A$25="","",$A$25)</f>
        <v/>
      </c>
      <c r="AW2" s="46" t="str">
        <f aca="false">IF($A$26="","",$A$26)</f>
        <v>Зима НЗ 2025</v>
      </c>
      <c r="AX2" s="47" t="str">
        <f aca="false">IF($A$26="","",$A$26)</f>
        <v>Зима НЗ 2025</v>
      </c>
      <c r="AY2" s="46" t="str">
        <f aca="false">IF($A$27="","",$A$27)</f>
        <v>Зима ВС 2025</v>
      </c>
      <c r="AZ2" s="47" t="str">
        <f aca="false">IF($A$27="","",$A$27)</f>
        <v>Зима ВС 2025</v>
      </c>
      <c r="BA2" s="46" t="str">
        <f aca="false">IF($A$28="","",$A$28)</f>
        <v>Різдво 2025</v>
      </c>
      <c r="BB2" s="47" t="str">
        <f aca="false">IF($A$28="","",$A$28)</f>
        <v>Різдво 2025</v>
      </c>
      <c r="BC2" s="46" t="str">
        <f aca="false">IF($A$29="","",$A$29)</f>
        <v>Новий рік 2025</v>
      </c>
      <c r="BD2" s="47" t="str">
        <f aca="false">IF($A$29="","",$A$29)</f>
        <v>Новий рік 2025</v>
      </c>
      <c r="BE2" s="46" t="str">
        <f aca="false">IF($A$30="","",$A$30)</f>
        <v>Зима НЗ 2026</v>
      </c>
      <c r="BF2" s="47" t="str">
        <f aca="false">IF($A$30="","",$A$30)</f>
        <v>Зима НЗ 2026</v>
      </c>
      <c r="BG2" s="46" t="str">
        <f aca="false">IF($A$31="","",$A$31)</f>
        <v>Зима ВС 2026</v>
      </c>
      <c r="BH2" s="47" t="str">
        <f aca="false">IF($A$31="","",$A$31)</f>
        <v>Зима ВС 2026</v>
      </c>
      <c r="BI2" s="46" t="str">
        <f aca="false">IF($A$32="","",$A$32)</f>
        <v>Різдво 2026</v>
      </c>
      <c r="BJ2" s="47" t="str">
        <f aca="false">IF($A$32="","",$A$32)</f>
        <v>Різдво 2026</v>
      </c>
      <c r="BK2" s="46" t="str">
        <f aca="false">IF($A$33="","",$A$33)</f>
        <v>Новий рік 2026</v>
      </c>
      <c r="BL2" s="47" t="str">
        <f aca="false">IF($A$33="","",$A$33)</f>
        <v>Новий рік 2026</v>
      </c>
      <c r="BM2" s="46" t="str">
        <f aca="false">IF($A$34="","",$A$34)</f>
        <v/>
      </c>
      <c r="BN2" s="47" t="str">
        <f aca="false">IF($A$34="","",$A$34)</f>
        <v/>
      </c>
      <c r="BO2" s="46" t="str">
        <f aca="false">IF($A$35="","",$A$35)</f>
        <v/>
      </c>
      <c r="BP2" s="47" t="str">
        <f aca="false">IF($A$35="","",$A$35)</f>
        <v/>
      </c>
      <c r="BQ2" s="46" t="str">
        <f aca="false">IF($A$36="","",$A$36)</f>
        <v/>
      </c>
      <c r="BR2" s="47" t="str">
        <f aca="false">IF($A$36="","",$A$36)</f>
        <v/>
      </c>
      <c r="BS2" s="46" t="str">
        <f aca="false">IF($A$37="","",$A$37)</f>
        <v/>
      </c>
      <c r="BT2" s="47" t="str">
        <f aca="false">IF($A$37="","",$A$37)</f>
        <v/>
      </c>
      <c r="BU2" s="46" t="str">
        <f aca="false">IF($A$38="","",$A$38)</f>
        <v/>
      </c>
      <c r="BV2" s="47" t="str">
        <f aca="false">IF($A$38="","",$A$38)</f>
        <v/>
      </c>
      <c r="BW2" s="46" t="str">
        <f aca="false">IF($A$39="","",$A$39)</f>
        <v/>
      </c>
      <c r="BX2" s="47" t="str">
        <f aca="false">IF($A$39="","",$A$39)</f>
        <v/>
      </c>
      <c r="BY2" s="46" t="str">
        <f aca="false">IF($A$40="","",$A$40)</f>
        <v/>
      </c>
      <c r="BZ2" s="47" t="str">
        <f aca="false">IF($A$40="","",$A$40)</f>
        <v/>
      </c>
      <c r="CA2" s="46" t="str">
        <f aca="false">IF($A$41="","",$A$41)</f>
        <v/>
      </c>
      <c r="CB2" s="47" t="str">
        <f aca="false">IF($A$41="","",$A$41)</f>
        <v/>
      </c>
      <c r="CC2" s="46" t="str">
        <f aca="false">IF($A$42="","",$A$42)</f>
        <v/>
      </c>
      <c r="CD2" s="47" t="str">
        <f aca="false">IF($A$42="","",$A$42)</f>
        <v/>
      </c>
      <c r="CE2" s="46" t="str">
        <f aca="false">IF($A$43="","",$A$43)</f>
        <v/>
      </c>
      <c r="CF2" s="47" t="str">
        <f aca="false">IF($A$43="","",$A$43)</f>
        <v/>
      </c>
      <c r="CG2" s="46" t="str">
        <f aca="false">IF($A$44="","",$A$44)</f>
        <v/>
      </c>
      <c r="CH2" s="47" t="str">
        <f aca="false">IF($A$44="","",$A$44)</f>
        <v/>
      </c>
      <c r="CI2" s="46" t="str">
        <f aca="false">IF($A$45="","",$A$45)</f>
        <v/>
      </c>
      <c r="CJ2" s="47" t="str">
        <f aca="false">IF($A$45="","",$A$45)</f>
        <v/>
      </c>
      <c r="CK2" s="46" t="str">
        <f aca="false">IF($A$46="","",$A$46)</f>
        <v/>
      </c>
      <c r="CL2" s="47" t="str">
        <f aca="false">IF($A$46="","",$A$46)</f>
        <v/>
      </c>
      <c r="CM2" s="46" t="str">
        <f aca="false">IF($A$47="","",$A$47)</f>
        <v/>
      </c>
      <c r="CN2" s="47" t="str">
        <f aca="false">IF($A$47="","",$A$47)</f>
        <v/>
      </c>
      <c r="CO2" s="46" t="str">
        <f aca="false">IF($A$48="","",$A$48)</f>
        <v/>
      </c>
      <c r="CP2" s="47" t="str">
        <f aca="false">IF($A$48="","",$A$48)</f>
        <v/>
      </c>
      <c r="CQ2" s="46" t="str">
        <f aca="false">IF($A$49="","",$A$49)</f>
        <v/>
      </c>
      <c r="CR2" s="47" t="str">
        <f aca="false">IF($A$49="","",$A$49)</f>
        <v/>
      </c>
      <c r="CS2" s="46" t="str">
        <f aca="false">IF($A$50="","",$A$50)</f>
        <v/>
      </c>
      <c r="CT2" s="47" t="str">
        <f aca="false">IF($A$50="","",$A$50)</f>
        <v/>
      </c>
      <c r="CU2" s="46" t="str">
        <f aca="false">IF($A$51="","",$A$51)</f>
        <v/>
      </c>
      <c r="CV2" s="47" t="str">
        <f aca="false">IF($A$51="","",$A$51)</f>
        <v/>
      </c>
      <c r="CW2" s="46" t="str">
        <f aca="false">IF($A$52="","",$A$52)</f>
        <v/>
      </c>
      <c r="CX2" s="47" t="str">
        <f aca="false">IF($A$52="","",$A$52)</f>
        <v/>
      </c>
      <c r="CY2" s="46" t="str">
        <f aca="false">IF($A$53="","",$A$53)</f>
        <v/>
      </c>
      <c r="CZ2" s="47" t="str">
        <f aca="false">IF($A$53="","",$A$53)</f>
        <v/>
      </c>
      <c r="DA2" s="46" t="str">
        <f aca="false">IF($A$54="","",$A$54)</f>
        <v/>
      </c>
      <c r="DB2" s="47" t="str">
        <f aca="false">IF($A$54="","",$A$54)</f>
        <v/>
      </c>
      <c r="DC2" s="46" t="str">
        <f aca="false">IF($A$55="","",$A$55)</f>
        <v/>
      </c>
      <c r="DD2" s="47" t="str">
        <f aca="false">IF($A$55="","",$A$55)</f>
        <v/>
      </c>
      <c r="DE2" s="46" t="str">
        <f aca="false">IF($A$56="","",$A$56)</f>
        <v/>
      </c>
      <c r="DF2" s="47" t="str">
        <f aca="false">IF($A$56="","",$A$56)</f>
        <v/>
      </c>
      <c r="DG2" s="46" t="str">
        <f aca="false">IF($A$57="","",$A$57)</f>
        <v/>
      </c>
      <c r="DH2" s="47" t="str">
        <f aca="false">IF($A$57="","",$A$57)</f>
        <v/>
      </c>
      <c r="DI2" s="46" t="str">
        <f aca="false">IF($A$58="","",$A$58)</f>
        <v/>
      </c>
      <c r="DJ2" s="47" t="str">
        <f aca="false">IF($A$58="","",$A$58)</f>
        <v/>
      </c>
      <c r="DK2" s="46" t="str">
        <f aca="false">IF($A$59="","",$A$59)</f>
        <v/>
      </c>
      <c r="DL2" s="47" t="str">
        <f aca="false">IF($A$59="","",$A$59)</f>
        <v/>
      </c>
      <c r="DM2" s="46" t="str">
        <f aca="false">IF($A$60="","",$A$60)</f>
        <v/>
      </c>
      <c r="DN2" s="47" t="str">
        <f aca="false">IF($A$60="","",$A$60)</f>
        <v/>
      </c>
      <c r="DO2" s="46" t="str">
        <f aca="false">IF($A$61="","",$A$61)</f>
        <v/>
      </c>
      <c r="DP2" s="47" t="str">
        <f aca="false">IF($A$61="","",$A$61)</f>
        <v/>
      </c>
      <c r="DQ2" s="46" t="str">
        <f aca="false">IF($A$62="","",$A$62)</f>
        <v/>
      </c>
      <c r="DR2" s="47" t="str">
        <f aca="false">IF($A$62="","",$A$62)</f>
        <v/>
      </c>
      <c r="DS2" s="46" t="str">
        <f aca="false">IF($A$63="","",$A$63)</f>
        <v/>
      </c>
      <c r="DT2" s="47" t="str">
        <f aca="false">IF($A$63="","",$A$63)</f>
        <v/>
      </c>
      <c r="DU2" s="46" t="str">
        <f aca="false">IF($A$64="","",$A$64)</f>
        <v/>
      </c>
      <c r="DV2" s="47" t="str">
        <f aca="false">IF($A$64="","",$A$64)</f>
        <v/>
      </c>
      <c r="DW2" s="46" t="str">
        <f aca="false">IF($A$65="","",$A$65)</f>
        <v/>
      </c>
      <c r="DX2" s="47" t="str">
        <f aca="false">IF($A$65="","",$A$65)</f>
        <v/>
      </c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8"/>
      <c r="J3" s="4"/>
      <c r="K3" s="48"/>
      <c r="L3" s="4"/>
      <c r="M3" s="48"/>
      <c r="N3" s="4"/>
      <c r="O3" s="48"/>
      <c r="P3" s="4"/>
      <c r="Q3" s="48"/>
      <c r="R3" s="4"/>
      <c r="S3" s="48"/>
      <c r="T3" s="4"/>
      <c r="U3" s="48"/>
      <c r="V3" s="4"/>
      <c r="W3" s="48"/>
      <c r="X3" s="4"/>
      <c r="Y3" s="48"/>
      <c r="Z3" s="4"/>
      <c r="AA3" s="48"/>
      <c r="AB3" s="4"/>
      <c r="AC3" s="48"/>
      <c r="AD3" s="4"/>
      <c r="AE3" s="48"/>
      <c r="AF3" s="4"/>
      <c r="AG3" s="48"/>
      <c r="AH3" s="4"/>
      <c r="AI3" s="48"/>
      <c r="AJ3" s="4"/>
      <c r="AK3" s="48"/>
      <c r="AL3" s="4"/>
      <c r="AM3" s="48"/>
      <c r="AN3" s="4"/>
      <c r="AO3" s="48"/>
      <c r="AP3" s="4"/>
      <c r="AQ3" s="48"/>
      <c r="AR3" s="4"/>
      <c r="AS3" s="48"/>
      <c r="AT3" s="4"/>
      <c r="AU3" s="48"/>
      <c r="AV3" s="4"/>
      <c r="AW3" s="48"/>
      <c r="AX3" s="4"/>
      <c r="AY3" s="48"/>
      <c r="AZ3" s="4"/>
      <c r="BA3" s="48"/>
      <c r="BB3" s="4"/>
      <c r="BC3" s="48"/>
      <c r="BD3" s="4"/>
      <c r="BE3" s="48"/>
      <c r="BF3" s="4"/>
      <c r="BG3" s="48"/>
      <c r="BH3" s="4"/>
      <c r="BI3" s="48"/>
      <c r="BJ3" s="4"/>
      <c r="BK3" s="48"/>
      <c r="BL3" s="4"/>
      <c r="BM3" s="48"/>
      <c r="BN3" s="4"/>
      <c r="BO3" s="48"/>
      <c r="BP3" s="4"/>
      <c r="BQ3" s="48"/>
      <c r="BR3" s="4"/>
      <c r="BS3" s="48"/>
      <c r="BT3" s="4"/>
      <c r="BU3" s="48"/>
      <c r="BV3" s="4"/>
      <c r="BW3" s="48"/>
      <c r="BX3" s="4"/>
      <c r="BY3" s="48"/>
      <c r="BZ3" s="4"/>
      <c r="CA3" s="48"/>
      <c r="CB3" s="4"/>
      <c r="CC3" s="48"/>
      <c r="CD3" s="4"/>
      <c r="CE3" s="48"/>
      <c r="CF3" s="4"/>
      <c r="CG3" s="48"/>
      <c r="CH3" s="4"/>
      <c r="CI3" s="48"/>
      <c r="CJ3" s="4"/>
      <c r="CK3" s="48"/>
      <c r="CL3" s="4"/>
      <c r="CM3" s="48"/>
      <c r="CN3" s="4"/>
      <c r="CO3" s="48"/>
      <c r="CP3" s="4"/>
      <c r="CQ3" s="48"/>
      <c r="CR3" s="4"/>
      <c r="CS3" s="48"/>
      <c r="CT3" s="4"/>
      <c r="CU3" s="48"/>
      <c r="CV3" s="4"/>
      <c r="CW3" s="48"/>
      <c r="CX3" s="4"/>
      <c r="CY3" s="48"/>
      <c r="CZ3" s="4"/>
      <c r="DA3" s="48"/>
      <c r="DB3" s="4"/>
      <c r="DC3" s="48"/>
      <c r="DD3" s="4"/>
      <c r="DE3" s="48"/>
      <c r="DF3" s="4"/>
      <c r="DG3" s="48"/>
      <c r="DH3" s="4"/>
      <c r="DI3" s="48"/>
      <c r="DJ3" s="4"/>
      <c r="DK3" s="48"/>
      <c r="DL3" s="4"/>
      <c r="DM3" s="48"/>
      <c r="DN3" s="4"/>
      <c r="DO3" s="48"/>
      <c r="DP3" s="4"/>
      <c r="DQ3" s="48"/>
      <c r="DR3" s="4"/>
      <c r="DS3" s="48"/>
      <c r="DT3" s="4"/>
      <c r="DU3" s="48"/>
      <c r="DV3" s="4"/>
      <c r="DW3" s="48"/>
      <c r="DX3" s="4"/>
    </row>
    <row r="4" customFormat="false" ht="15" hidden="false" customHeight="true" outlineLevel="0" collapsed="false">
      <c r="A4" s="49" t="s">
        <v>26</v>
      </c>
      <c r="B4" s="49"/>
      <c r="C4" s="49"/>
      <c r="D4" s="49"/>
      <c r="E4" s="49"/>
      <c r="F4" s="50" t="s">
        <v>27</v>
      </c>
      <c r="G4" s="50"/>
      <c r="H4" s="50"/>
      <c r="I4" s="48"/>
      <c r="J4" s="4"/>
      <c r="K4" s="48"/>
      <c r="L4" s="4"/>
      <c r="M4" s="48"/>
      <c r="N4" s="4"/>
      <c r="O4" s="48"/>
      <c r="P4" s="4"/>
      <c r="Q4" s="48"/>
      <c r="R4" s="4"/>
      <c r="S4" s="48"/>
      <c r="T4" s="4"/>
      <c r="U4" s="48"/>
      <c r="V4" s="4"/>
      <c r="W4" s="48"/>
      <c r="X4" s="4"/>
      <c r="Y4" s="48"/>
      <c r="Z4" s="4"/>
      <c r="AA4" s="48"/>
      <c r="AB4" s="4"/>
      <c r="AC4" s="48"/>
      <c r="AD4" s="4"/>
      <c r="AE4" s="48"/>
      <c r="AF4" s="4"/>
      <c r="AG4" s="48"/>
      <c r="AH4" s="4"/>
      <c r="AI4" s="48"/>
      <c r="AJ4" s="4"/>
      <c r="AK4" s="48"/>
      <c r="AL4" s="4"/>
      <c r="AM4" s="48"/>
      <c r="AN4" s="4"/>
      <c r="AO4" s="48"/>
      <c r="AP4" s="4"/>
      <c r="AQ4" s="48"/>
      <c r="AR4" s="4"/>
      <c r="AS4" s="48"/>
      <c r="AT4" s="4"/>
      <c r="AU4" s="48"/>
      <c r="AV4" s="4"/>
      <c r="AW4" s="48"/>
      <c r="AX4" s="4"/>
      <c r="AY4" s="48"/>
      <c r="AZ4" s="4"/>
      <c r="BA4" s="48"/>
      <c r="BB4" s="4"/>
      <c r="BC4" s="48"/>
      <c r="BD4" s="4"/>
      <c r="BE4" s="48"/>
      <c r="BF4" s="4"/>
      <c r="BG4" s="48"/>
      <c r="BH4" s="4"/>
      <c r="BI4" s="48"/>
      <c r="BJ4" s="4"/>
      <c r="BK4" s="48"/>
      <c r="BL4" s="4"/>
      <c r="BM4" s="48"/>
      <c r="BN4" s="4"/>
      <c r="BO4" s="48"/>
      <c r="BP4" s="4"/>
      <c r="BQ4" s="48"/>
      <c r="BR4" s="4"/>
      <c r="BS4" s="48"/>
      <c r="BT4" s="4"/>
      <c r="BU4" s="48"/>
      <c r="BV4" s="4"/>
      <c r="BW4" s="48"/>
      <c r="BX4" s="4"/>
      <c r="BY4" s="48"/>
      <c r="BZ4" s="4"/>
      <c r="CA4" s="48"/>
      <c r="CB4" s="4"/>
      <c r="CC4" s="48"/>
      <c r="CD4" s="4"/>
      <c r="CE4" s="48"/>
      <c r="CF4" s="4"/>
      <c r="CG4" s="48"/>
      <c r="CH4" s="4"/>
      <c r="CI4" s="48"/>
      <c r="CJ4" s="4"/>
      <c r="CK4" s="48"/>
      <c r="CL4" s="4"/>
      <c r="CM4" s="48"/>
      <c r="CN4" s="4"/>
      <c r="CO4" s="48"/>
      <c r="CP4" s="4"/>
      <c r="CQ4" s="48"/>
      <c r="CR4" s="4"/>
      <c r="CS4" s="48"/>
      <c r="CT4" s="4"/>
      <c r="CU4" s="48"/>
      <c r="CV4" s="4"/>
      <c r="CW4" s="48"/>
      <c r="CX4" s="4"/>
      <c r="CY4" s="48"/>
      <c r="CZ4" s="4"/>
      <c r="DA4" s="48"/>
      <c r="DB4" s="4"/>
      <c r="DC4" s="48"/>
      <c r="DD4" s="4"/>
      <c r="DE4" s="48"/>
      <c r="DF4" s="4"/>
      <c r="DG4" s="48"/>
      <c r="DH4" s="4"/>
      <c r="DI4" s="48"/>
      <c r="DJ4" s="4"/>
      <c r="DK4" s="48"/>
      <c r="DL4" s="4"/>
      <c r="DM4" s="48"/>
      <c r="DN4" s="4"/>
      <c r="DO4" s="48"/>
      <c r="DP4" s="4"/>
      <c r="DQ4" s="48"/>
      <c r="DR4" s="4"/>
      <c r="DS4" s="48"/>
      <c r="DT4" s="4"/>
      <c r="DU4" s="48"/>
      <c r="DV4" s="4"/>
      <c r="DW4" s="48"/>
      <c r="DX4" s="4"/>
    </row>
    <row r="5" customFormat="false" ht="15" hidden="false" customHeight="true" outlineLevel="0" collapsed="false">
      <c r="A5" s="51" t="s">
        <v>28</v>
      </c>
      <c r="B5" s="51" t="s">
        <v>29</v>
      </c>
      <c r="C5" s="51" t="s">
        <v>30</v>
      </c>
      <c r="D5" s="51" t="s">
        <v>31</v>
      </c>
      <c r="E5" s="52" t="s">
        <v>32</v>
      </c>
      <c r="F5" s="53" t="s">
        <v>33</v>
      </c>
      <c r="G5" s="54" t="str">
        <f aca="false">Прайс!$B$3</f>
        <v>Зима ВС 2026</v>
      </c>
      <c r="H5" s="55" t="s">
        <v>34</v>
      </c>
      <c r="I5" s="56" t="str">
        <f aca="false">IF($A$6="","",$A$6)</f>
        <v>Осінь 2025</v>
      </c>
      <c r="J5" s="56"/>
      <c r="K5" s="56" t="str">
        <f aca="false">IF($A$7="","",$A$7)</f>
        <v>Осінь 2026 База</v>
      </c>
      <c r="L5" s="56"/>
      <c r="M5" s="56" t="str">
        <f aca="false">IF($A$8="","",$A$8)</f>
        <v>Осінь 2026 (00-10%)</v>
      </c>
      <c r="N5" s="56"/>
      <c r="O5" s="56" t="str">
        <f aca="false">IF($A$9="","",$A$9)</f>
        <v>Осінь 2026 (Канікули) 0-10%</v>
      </c>
      <c r="P5" s="56"/>
      <c r="Q5" s="56" t="str">
        <f aca="false">IF($A$10="","",$A$10)</f>
        <v>Осінь 2026 (10-20%)</v>
      </c>
      <c r="R5" s="56"/>
      <c r="S5" s="56" t="str">
        <f aca="false">IF($A$11="","",$A$11)</f>
        <v>Осінь 2026 (Канікули) 10%-20%</v>
      </c>
      <c r="T5" s="56"/>
      <c r="U5" s="56" t="str">
        <f aca="false">IF($A$12="","",$A$12)</f>
        <v>Осінь 2026 (20-30%)</v>
      </c>
      <c r="V5" s="56"/>
      <c r="W5" s="56" t="str">
        <f aca="false">IF($A$13="","",$A$13)</f>
        <v>Осінь 2026 (Канікули) 20-30%</v>
      </c>
      <c r="X5" s="56"/>
      <c r="Y5" s="56" t="str">
        <f aca="false">IF($A$14="","",$A$14)</f>
        <v>Осінь 2026 (30-40%)</v>
      </c>
      <c r="Z5" s="56"/>
      <c r="AA5" s="56" t="str">
        <f aca="false">IF($A$15="","",$A$15)</f>
        <v>Осінь 2026 (Канікули) 30-40%</v>
      </c>
      <c r="AB5" s="56"/>
      <c r="AC5" s="56" t="str">
        <f aca="false">IF($A$16="","",$A$16)</f>
        <v>Осінь 2026 (40-50%)</v>
      </c>
      <c r="AD5" s="56"/>
      <c r="AE5" s="56" t="str">
        <f aca="false">IF($A$17="","",$A$17)</f>
        <v>Осінь 2026 (Канікули) 40-50%</v>
      </c>
      <c r="AF5" s="56"/>
      <c r="AG5" s="56" t="str">
        <f aca="false">IF($A$18="","",$A$18)</f>
        <v>Осінь 2026 (50-60%)</v>
      </c>
      <c r="AH5" s="56"/>
      <c r="AI5" s="56" t="str">
        <f aca="false">IF($A$19="","",$A$19)</f>
        <v>Осінь 2026 (Канікули) 50-60%</v>
      </c>
      <c r="AJ5" s="56"/>
      <c r="AK5" s="56" t="str">
        <f aca="false">IF($A$20="","",$A$20)</f>
        <v/>
      </c>
      <c r="AL5" s="56"/>
      <c r="AM5" s="56" t="str">
        <f aca="false">IF($A$21="","",$A$21)</f>
        <v/>
      </c>
      <c r="AN5" s="56"/>
      <c r="AO5" s="56" t="str">
        <f aca="false">IF($A$22="","",$A$22)</f>
        <v/>
      </c>
      <c r="AP5" s="56"/>
      <c r="AQ5" s="56" t="str">
        <f aca="false">IF($A$23="","",$A$23)</f>
        <v/>
      </c>
      <c r="AR5" s="56"/>
      <c r="AS5" s="56" t="str">
        <f aca="false">IF($A$24="","",$A$24)</f>
        <v/>
      </c>
      <c r="AT5" s="56"/>
      <c r="AU5" s="56" t="str">
        <f aca="false">IF($A$25="","",$A$25)</f>
        <v/>
      </c>
      <c r="AV5" s="56"/>
      <c r="AW5" s="56" t="str">
        <f aca="false">IF($A$26="","",$A$26)</f>
        <v>Зима НЗ 2025</v>
      </c>
      <c r="AX5" s="56"/>
      <c r="AY5" s="56" t="str">
        <f aca="false">IF($A$27="","",$A$27)</f>
        <v>Зима ВС 2025</v>
      </c>
      <c r="AZ5" s="56"/>
      <c r="BA5" s="56" t="str">
        <f aca="false">IF($A$28="","",$A$28)</f>
        <v>Різдво 2025</v>
      </c>
      <c r="BB5" s="56"/>
      <c r="BC5" s="56" t="str">
        <f aca="false">IF($A$29="","",$A$29)</f>
        <v>Новий рік 2025</v>
      </c>
      <c r="BD5" s="56"/>
      <c r="BE5" s="56" t="str">
        <f aca="false">IF($A$30="","",$A$30)</f>
        <v>Зима НЗ 2026</v>
      </c>
      <c r="BF5" s="56"/>
      <c r="BG5" s="56" t="str">
        <f aca="false">IF($A$31="","",$A$31)</f>
        <v>Зима ВС 2026</v>
      </c>
      <c r="BH5" s="56"/>
      <c r="BI5" s="56" t="str">
        <f aca="false">IF($A$32="","",$A$32)</f>
        <v>Різдво 2026</v>
      </c>
      <c r="BJ5" s="56"/>
      <c r="BK5" s="56" t="str">
        <f aca="false">IF($A$33="","",$A$33)</f>
        <v>Новий рік 2026</v>
      </c>
      <c r="BL5" s="56"/>
      <c r="BM5" s="56" t="str">
        <f aca="false">IF($A$34="","",$A$34)</f>
        <v/>
      </c>
      <c r="BN5" s="56"/>
      <c r="BO5" s="56" t="str">
        <f aca="false">IF($A$35="","",$A$35)</f>
        <v/>
      </c>
      <c r="BP5" s="56"/>
      <c r="BQ5" s="56" t="str">
        <f aca="false">IF($A$36="","",$A$36)</f>
        <v/>
      </c>
      <c r="BR5" s="56"/>
      <c r="BS5" s="56" t="str">
        <f aca="false">IF($A$37="","",$A$37)</f>
        <v/>
      </c>
      <c r="BT5" s="56"/>
      <c r="BU5" s="56" t="str">
        <f aca="false">IF($A$38="","",$A$38)</f>
        <v/>
      </c>
      <c r="BV5" s="56"/>
      <c r="BW5" s="56" t="str">
        <f aca="false">IF($A$39="","",$A$39)</f>
        <v/>
      </c>
      <c r="BX5" s="56"/>
      <c r="BY5" s="56" t="str">
        <f aca="false">IF($A$40="","",$A$40)</f>
        <v/>
      </c>
      <c r="BZ5" s="56"/>
      <c r="CA5" s="56" t="str">
        <f aca="false">IF($A$41="","",$A$41)</f>
        <v/>
      </c>
      <c r="CB5" s="56"/>
      <c r="CC5" s="56" t="str">
        <f aca="false">IF($A$42="","",$A$42)</f>
        <v/>
      </c>
      <c r="CD5" s="56"/>
      <c r="CE5" s="56" t="str">
        <f aca="false">IF($A$43="","",$A$43)</f>
        <v/>
      </c>
      <c r="CF5" s="56"/>
      <c r="CG5" s="56" t="str">
        <f aca="false">IF($A$44="","",$A$44)</f>
        <v/>
      </c>
      <c r="CH5" s="56"/>
      <c r="CI5" s="56" t="str">
        <f aca="false">IF($A$45="","",$A$45)</f>
        <v/>
      </c>
      <c r="CJ5" s="56"/>
      <c r="CK5" s="56" t="str">
        <f aca="false">IF($A$46="","",$A$46)</f>
        <v/>
      </c>
      <c r="CL5" s="56"/>
      <c r="CM5" s="56" t="str">
        <f aca="false">IF($A$47="","",$A$47)</f>
        <v/>
      </c>
      <c r="CN5" s="56"/>
      <c r="CO5" s="56" t="str">
        <f aca="false">IF($A$48="","",$A$48)</f>
        <v/>
      </c>
      <c r="CP5" s="56"/>
      <c r="CQ5" s="56" t="str">
        <f aca="false">IF($A$49="","",$A$49)</f>
        <v/>
      </c>
      <c r="CR5" s="56"/>
      <c r="CS5" s="56" t="str">
        <f aca="false">IF($A$50="","",$A$50)</f>
        <v/>
      </c>
      <c r="CT5" s="56"/>
      <c r="CU5" s="56" t="str">
        <f aca="false">IF($A$51="","",$A$51)</f>
        <v/>
      </c>
      <c r="CV5" s="56"/>
      <c r="CW5" s="56" t="str">
        <f aca="false">IF($A$52="","",$A$52)</f>
        <v/>
      </c>
      <c r="CX5" s="56"/>
      <c r="CY5" s="56" t="str">
        <f aca="false">IF($A$53="","",$A$53)</f>
        <v/>
      </c>
      <c r="CZ5" s="56"/>
      <c r="DA5" s="56" t="str">
        <f aca="false">IF($A$54="","",$A$54)</f>
        <v/>
      </c>
      <c r="DB5" s="56"/>
      <c r="DC5" s="56" t="str">
        <f aca="false">IF($A$55="","",$A$55)</f>
        <v/>
      </c>
      <c r="DD5" s="56"/>
      <c r="DE5" s="56" t="str">
        <f aca="false">IF($A$56="","",$A$56)</f>
        <v/>
      </c>
      <c r="DF5" s="56"/>
      <c r="DG5" s="56" t="str">
        <f aca="false">IF($A$57="","",$A$57)</f>
        <v/>
      </c>
      <c r="DH5" s="56"/>
      <c r="DI5" s="56" t="str">
        <f aca="false">IF($A$58="","",$A$58)</f>
        <v/>
      </c>
      <c r="DJ5" s="56"/>
      <c r="DK5" s="56" t="str">
        <f aca="false">IF($A$59="","",$A$59)</f>
        <v/>
      </c>
      <c r="DL5" s="56"/>
      <c r="DM5" s="56" t="str">
        <f aca="false">IF($A$60="","",$A$60)</f>
        <v/>
      </c>
      <c r="DN5" s="56"/>
      <c r="DO5" s="56" t="str">
        <f aca="false">IF($A$61="","",$A$61)</f>
        <v/>
      </c>
      <c r="DP5" s="56"/>
      <c r="DQ5" s="56" t="str">
        <f aca="false">IF($A$62="","",$A$62)</f>
        <v/>
      </c>
      <c r="DR5" s="56"/>
      <c r="DS5" s="56" t="str">
        <f aca="false">IF($A$63="","",$A$63)</f>
        <v/>
      </c>
      <c r="DT5" s="56"/>
      <c r="DU5" s="56" t="str">
        <f aca="false">IF($A$64="","",$A$64)</f>
        <v/>
      </c>
      <c r="DV5" s="56"/>
      <c r="DW5" s="56" t="str">
        <f aca="false">IF($A$65="","",$A$65)</f>
        <v/>
      </c>
      <c r="DX5" s="56"/>
    </row>
    <row r="6" customFormat="false" ht="15" hidden="false" customHeight="true" outlineLevel="0" collapsed="false">
      <c r="A6" s="57" t="s">
        <v>35</v>
      </c>
      <c r="B6" s="58"/>
      <c r="C6" s="58"/>
      <c r="D6" s="57" t="s">
        <v>36</v>
      </c>
      <c r="E6" s="59"/>
      <c r="F6" s="60" t="s">
        <v>37</v>
      </c>
      <c r="G6" s="61" t="n">
        <v>500</v>
      </c>
      <c r="H6" s="60" t="s">
        <v>38</v>
      </c>
      <c r="I6" s="62" t="str">
        <f aca="false">IF($A$6="","",IF(OR($B$6="",$C$6=""),"— період не заданий —",TEXT(DAY($B$6),"00")&amp;"."&amp;TEXT(MONTH($B$6),"00")&amp;"."&amp;YEAR($B$6)&amp;" – "&amp;TEXT(DAY($C$6),"00")&amp;"."&amp;TEXT(MONTH($C$6),"00")&amp;"."&amp;YEAR($C$6)))</f>
        <v>— період не заданий —</v>
      </c>
      <c r="J6" s="62"/>
      <c r="K6" s="62" t="str">
        <f aca="false">IF($A$7="","",IF(OR($B$7="",$C$7=""),"— період не заданий —",TEXT(DAY($B$7),"00")&amp;"."&amp;TEXT(MONTH($B$7),"00")&amp;"."&amp;YEAR($B$7)&amp;" – "&amp;TEXT(DAY($C$7),"00")&amp;"."&amp;TEXT(MONTH($C$7),"00")&amp;"."&amp;YEAR($C$7)))</f>
        <v>— період не заданий —</v>
      </c>
      <c r="L6" s="62"/>
      <c r="M6" s="62" t="str">
        <f aca="false">IF($A$8="","",IF(OR($B$8="",$C$8=""),"— період не заданий —",TEXT(DAY($B$8),"00")&amp;"."&amp;TEXT(MONTH($B$8),"00")&amp;"."&amp;YEAR($B$8)&amp;" – "&amp;TEXT(DAY($C$8),"00")&amp;"."&amp;TEXT(MONTH($C$8),"00")&amp;"."&amp;YEAR($C$8)))</f>
        <v>01.10.2026 – 30.11.2026</v>
      </c>
      <c r="N6" s="62"/>
      <c r="O6" s="62" t="str">
        <f aca="false">IF($A$9="","",IF(OR($B$9="",$C$9=""),"— період не заданий —",TEXT(DAY($B$9),"00")&amp;"."&amp;TEXT(MONTH($B$9),"00")&amp;"."&amp;YEAR($B$9)&amp;" – "&amp;TEXT(DAY($C$9),"00")&amp;"."&amp;TEXT(MONTH($C$9),"00")&amp;"."&amp;YEAR($C$9)))</f>
        <v>— період не заданий —</v>
      </c>
      <c r="P6" s="62"/>
      <c r="Q6" s="62" t="str">
        <f aca="false">IF($A$10="","",IF(OR($B$10="",$C$10=""),"— період не заданий —",TEXT(DAY($B$10),"00")&amp;"."&amp;TEXT(MONTH($B$10),"00")&amp;"."&amp;YEAR($B$10)&amp;" – "&amp;TEXT(DAY($C$10),"00")&amp;"."&amp;TEXT(MONTH($C$10),"00")&amp;"."&amp;YEAR($C$10)))</f>
        <v>01.09.2026 – 30.09.2026</v>
      </c>
      <c r="R6" s="62"/>
      <c r="S6" s="62" t="str">
        <f aca="false">IF($A$11="","",IF(OR($B$11="",$C$11=""),"— період не заданий —",TEXT(DAY($B$11),"00")&amp;"."&amp;TEXT(MONTH($B$11),"00")&amp;"."&amp;YEAR($B$11)&amp;" – "&amp;TEXT(DAY($C$11),"00")&amp;"."&amp;TEXT(MONTH($C$11),"00")&amp;"."&amp;YEAR($C$11)))</f>
        <v>— період не заданий —</v>
      </c>
      <c r="T6" s="62"/>
      <c r="U6" s="62" t="str">
        <f aca="false">IF($A$12="","",IF(OR($B$12="",$C$12=""),"— період не заданий —",TEXT(DAY($B$12),"00")&amp;"."&amp;TEXT(MONTH($B$12),"00")&amp;"."&amp;YEAR($B$12)&amp;" – "&amp;TEXT(DAY($C$12),"00")&amp;"."&amp;TEXT(MONTH($C$12),"00")&amp;"."&amp;YEAR($C$12)))</f>
        <v>— період не заданий —</v>
      </c>
      <c r="V6" s="62"/>
      <c r="W6" s="62" t="str">
        <f aca="false">IF($A$13="","",IF(OR($B$13="",$C$13=""),"— період не заданий —",TEXT(DAY($B$13),"00")&amp;"."&amp;TEXT(MONTH($B$13),"00")&amp;"."&amp;YEAR($B$13)&amp;" – "&amp;TEXT(DAY($C$13),"00")&amp;"."&amp;TEXT(MONTH($C$13),"00")&amp;"."&amp;YEAR($C$13)))</f>
        <v>— період не заданий —</v>
      </c>
      <c r="X6" s="62"/>
      <c r="Y6" s="62" t="str">
        <f aca="false">IF($A$14="","",IF(OR($B$14="",$C$14=""),"— період не заданий —",TEXT(DAY($B$14),"00")&amp;"."&amp;TEXT(MONTH($B$14),"00")&amp;"."&amp;YEAR($B$14)&amp;" – "&amp;TEXT(DAY($C$14),"00")&amp;"."&amp;TEXT(MONTH($C$14),"00")&amp;"."&amp;YEAR($C$14)))</f>
        <v>— період не заданий —</v>
      </c>
      <c r="Z6" s="62"/>
      <c r="AA6" s="62" t="str">
        <f aca="false">IF($A$15="","",IF(OR($B$15="",$C$15=""),"— період не заданий —",TEXT(DAY($B$15),"00")&amp;"."&amp;TEXT(MONTH($B$15),"00")&amp;"."&amp;YEAR($B$15)&amp;" – "&amp;TEXT(DAY($C$15),"00")&amp;"."&amp;TEXT(MONTH($C$15),"00")&amp;"."&amp;YEAR($C$15)))</f>
        <v>— період не заданий —</v>
      </c>
      <c r="AB6" s="62"/>
      <c r="AC6" s="62" t="str">
        <f aca="false">IF($A$16="","",IF(OR($B$16="",$C$16=""),"— період не заданий —",TEXT(DAY($B$16),"00")&amp;"."&amp;TEXT(MONTH($B$16),"00")&amp;"."&amp;YEAR($B$16)&amp;" – "&amp;TEXT(DAY($C$16),"00")&amp;"."&amp;TEXT(MONTH($C$16),"00")&amp;"."&amp;YEAR($C$16)))</f>
        <v>— період не заданий —</v>
      </c>
      <c r="AD6" s="62"/>
      <c r="AE6" s="62" t="str">
        <f aca="false">IF($A$17="","",IF(OR($B$17="",$C$17=""),"— період не заданий —",TEXT(DAY($B$17),"00")&amp;"."&amp;TEXT(MONTH($B$17),"00")&amp;"."&amp;YEAR($B$17)&amp;" – "&amp;TEXT(DAY($C$17),"00")&amp;"."&amp;TEXT(MONTH($C$17),"00")&amp;"."&amp;YEAR($C$17)))</f>
        <v>— період не заданий —</v>
      </c>
      <c r="AF6" s="62"/>
      <c r="AG6" s="62" t="str">
        <f aca="false">IF($A$18="","",IF(OR($B$18="",$C$18=""),"— період не заданий —",TEXT(DAY($B$18),"00")&amp;"."&amp;TEXT(MONTH($B$18),"00")&amp;"."&amp;YEAR($B$18)&amp;" – "&amp;TEXT(DAY($C$18),"00")&amp;"."&amp;TEXT(MONTH($C$18),"00")&amp;"."&amp;YEAR($C$18)))</f>
        <v>— період не заданий —</v>
      </c>
      <c r="AH6" s="62"/>
      <c r="AI6" s="62" t="str">
        <f aca="false">IF($A$19="","",IF(OR($B$19="",$C$19=""),"— період не заданий —",TEXT(DAY($B$19),"00")&amp;"."&amp;TEXT(MONTH($B$19),"00")&amp;"."&amp;YEAR($B$19)&amp;" – "&amp;TEXT(DAY($C$19),"00")&amp;"."&amp;TEXT(MONTH($C$19),"00")&amp;"."&amp;YEAR($C$19)))</f>
        <v>— період не заданий —</v>
      </c>
      <c r="AJ6" s="62"/>
      <c r="AK6" s="62" t="str">
        <f aca="false">IF($A$20="","",IF(OR($B$20="",$C$20=""),"— період не заданий —",TEXT(DAY($B$20),"00")&amp;"."&amp;TEXT(MONTH($B$20),"00")&amp;"."&amp;YEAR($B$20)&amp;" – "&amp;TEXT(DAY($C$20),"00")&amp;"."&amp;TEXT(MONTH($C$20),"00")&amp;"."&amp;YEAR($C$20)))</f>
        <v/>
      </c>
      <c r="AL6" s="62"/>
      <c r="AM6" s="62" t="str">
        <f aca="false">IF($A$21="","",IF(OR($B$21="",$C$21=""),"— період не заданий —",TEXT(DAY($B$21),"00")&amp;"."&amp;TEXT(MONTH($B$21),"00")&amp;"."&amp;YEAR($B$21)&amp;" – "&amp;TEXT(DAY($C$21),"00")&amp;"."&amp;TEXT(MONTH($C$21),"00")&amp;"."&amp;YEAR($C$21)))</f>
        <v/>
      </c>
      <c r="AN6" s="62"/>
      <c r="AO6" s="62" t="str">
        <f aca="false">IF($A$22="","",IF(OR($B$22="",$C$22=""),"— період не заданий —",TEXT(DAY($B$22),"00")&amp;"."&amp;TEXT(MONTH($B$22),"00")&amp;"."&amp;YEAR($B$22)&amp;" – "&amp;TEXT(DAY($C$22),"00")&amp;"."&amp;TEXT(MONTH($C$22),"00")&amp;"."&amp;YEAR($C$22)))</f>
        <v/>
      </c>
      <c r="AP6" s="62"/>
      <c r="AQ6" s="62" t="str">
        <f aca="false">IF($A$23="","",IF(OR($B$23="",$C$23=""),"— період не заданий —",TEXT(DAY($B$23),"00")&amp;"."&amp;TEXT(MONTH($B$23),"00")&amp;"."&amp;YEAR($B$23)&amp;" – "&amp;TEXT(DAY($C$23),"00")&amp;"."&amp;TEXT(MONTH($C$23),"00")&amp;"."&amp;YEAR($C$23)))</f>
        <v/>
      </c>
      <c r="AR6" s="62"/>
      <c r="AS6" s="62" t="str">
        <f aca="false">IF($A$24="","",IF(OR($B$24="",$C$24=""),"— період не заданий —",TEXT(DAY($B$24),"00")&amp;"."&amp;TEXT(MONTH($B$24),"00")&amp;"."&amp;YEAR($B$24)&amp;" – "&amp;TEXT(DAY($C$24),"00")&amp;"."&amp;TEXT(MONTH($C$24),"00")&amp;"."&amp;YEAR($C$24)))</f>
        <v/>
      </c>
      <c r="AT6" s="62"/>
      <c r="AU6" s="62" t="str">
        <f aca="false">IF($A$25="","",IF(OR($B$25="",$C$25=""),"— період не заданий —",TEXT(DAY($B$25),"00")&amp;"."&amp;TEXT(MONTH($B$25),"00")&amp;"."&amp;YEAR($B$25)&amp;" – "&amp;TEXT(DAY($C$25),"00")&amp;"."&amp;TEXT(MONTH($C$25),"00")&amp;"."&amp;YEAR($C$25)))</f>
        <v/>
      </c>
      <c r="AV6" s="62"/>
      <c r="AW6" s="62" t="str">
        <f aca="false">IF($A$26="","",IF(OR($B$26="",$C$26=""),"— період не заданий —",TEXT(DAY($B$26),"00")&amp;"."&amp;TEXT(MONTH($B$26),"00")&amp;"."&amp;YEAR($B$26)&amp;" – "&amp;TEXT(DAY($C$26),"00")&amp;"."&amp;TEXT(MONTH($C$26),"00")&amp;"."&amp;YEAR($C$26)))</f>
        <v>— період не заданий —</v>
      </c>
      <c r="AX6" s="62"/>
      <c r="AY6" s="62" t="str">
        <f aca="false">IF($A$27="","",IF(OR($B$27="",$C$27=""),"— період не заданий —",TEXT(DAY($B$27),"00")&amp;"."&amp;TEXT(MONTH($B$27),"00")&amp;"."&amp;YEAR($B$27)&amp;" – "&amp;TEXT(DAY($C$27),"00")&amp;"."&amp;TEXT(MONTH($C$27),"00")&amp;"."&amp;YEAR($C$27)))</f>
        <v>— період не заданий —</v>
      </c>
      <c r="AZ6" s="62"/>
      <c r="BA6" s="62" t="str">
        <f aca="false">IF($A$28="","",IF(OR($B$28="",$C$28=""),"— період не заданий —",TEXT(DAY($B$28),"00")&amp;"."&amp;TEXT(MONTH($B$28),"00")&amp;"."&amp;YEAR($B$28)&amp;" – "&amp;TEXT(DAY($C$28),"00")&amp;"."&amp;TEXT(MONTH($C$28),"00")&amp;"."&amp;YEAR($C$28)))</f>
        <v>— період не заданий —</v>
      </c>
      <c r="BB6" s="62"/>
      <c r="BC6" s="62" t="str">
        <f aca="false">IF($A$29="","",IF(OR($B$29="",$C$29=""),"— період не заданий —",TEXT(DAY($B$29),"00")&amp;"."&amp;TEXT(MONTH($B$29),"00")&amp;"."&amp;YEAR($B$29)&amp;" – "&amp;TEXT(DAY($C$29),"00")&amp;"."&amp;TEXT(MONTH($C$29),"00")&amp;"."&amp;YEAR($C$29)))</f>
        <v>— період не заданий —</v>
      </c>
      <c r="BD6" s="62"/>
      <c r="BE6" s="62" t="str">
        <f aca="false">IF($A$30="","",IF(OR($B$30="",$C$30=""),"— період не заданий —",TEXT(DAY($B$30),"00")&amp;"."&amp;TEXT(MONTH($B$30),"00")&amp;"."&amp;YEAR($B$30)&amp;" – "&amp;TEXT(DAY($C$30),"00")&amp;"."&amp;TEXT(MONTH($C$30),"00")&amp;"."&amp;YEAR($C$30)))</f>
        <v>01.12.2026 – 28.02.2026</v>
      </c>
      <c r="BF6" s="62"/>
      <c r="BG6" s="62" t="str">
        <f aca="false">IF($A$31="","",IF(OR($B$31="",$C$31=""),"— період не заданий —",TEXT(DAY($B$31),"00")&amp;"."&amp;TEXT(MONTH($B$31),"00")&amp;"."&amp;YEAR($B$31)&amp;" – "&amp;TEXT(DAY($C$31),"00")&amp;"."&amp;TEXT(MONTH($C$31),"00")&amp;"."&amp;YEAR($C$31)))</f>
        <v>— період не заданий —</v>
      </c>
      <c r="BH6" s="62"/>
      <c r="BI6" s="62" t="str">
        <f aca="false">IF($A$32="","",IF(OR($B$32="",$C$32=""),"— період не заданий —",TEXT(DAY($B$32),"00")&amp;"."&amp;TEXT(MONTH($B$32),"00")&amp;"."&amp;YEAR($B$32)&amp;" – "&amp;TEXT(DAY($C$32),"00")&amp;"."&amp;TEXT(MONTH($C$32),"00")&amp;"."&amp;YEAR($C$32)))</f>
        <v>— період не заданий —</v>
      </c>
      <c r="BJ6" s="62"/>
      <c r="BK6" s="62" t="str">
        <f aca="false">IF($A$33="","",IF(OR($B$33="",$C$33=""),"— період не заданий —",TEXT(DAY($B$33),"00")&amp;"."&amp;TEXT(MONTH($B$33),"00")&amp;"."&amp;YEAR($B$33)&amp;" – "&amp;TEXT(DAY($C$33),"00")&amp;"."&amp;TEXT(MONTH($C$33),"00")&amp;"."&amp;YEAR($C$33)))</f>
        <v>— період не заданий —</v>
      </c>
      <c r="BL6" s="62"/>
      <c r="BM6" s="62" t="str">
        <f aca="false">IF($A$34="","",IF(OR($B$34="",$C$34=""),"— період не заданий —",TEXT(DAY($B$34),"00")&amp;"."&amp;TEXT(MONTH($B$34),"00")&amp;"."&amp;YEAR($B$34)&amp;" – "&amp;TEXT(DAY($C$34),"00")&amp;"."&amp;TEXT(MONTH($C$34),"00")&amp;"."&amp;YEAR($C$34)))</f>
        <v/>
      </c>
      <c r="BN6" s="62"/>
      <c r="BO6" s="62" t="str">
        <f aca="false">IF($A$35="","",IF(OR($B$35="",$C$35=""),"— період не заданий —",TEXT(DAY($B$35),"00")&amp;"."&amp;TEXT(MONTH($B$35),"00")&amp;"."&amp;YEAR($B$35)&amp;" – "&amp;TEXT(DAY($C$35),"00")&amp;"."&amp;TEXT(MONTH($C$35),"00")&amp;"."&amp;YEAR($C$35)))</f>
        <v/>
      </c>
      <c r="BP6" s="62"/>
      <c r="BQ6" s="62" t="str">
        <f aca="false">IF($A$36="","",IF(OR($B$36="",$C$36=""),"— період не заданий —",TEXT(DAY($B$36),"00")&amp;"."&amp;TEXT(MONTH($B$36),"00")&amp;"."&amp;YEAR($B$36)&amp;" – "&amp;TEXT(DAY($C$36),"00")&amp;"."&amp;TEXT(MONTH($C$36),"00")&amp;"."&amp;YEAR($C$36)))</f>
        <v/>
      </c>
      <c r="BR6" s="62"/>
      <c r="BS6" s="62" t="str">
        <f aca="false">IF($A$37="","",IF(OR($B$37="",$C$37=""),"— період не заданий —",TEXT(DAY($B$37),"00")&amp;"."&amp;TEXT(MONTH($B$37),"00")&amp;"."&amp;YEAR($B$37)&amp;" – "&amp;TEXT(DAY($C$37),"00")&amp;"."&amp;TEXT(MONTH($C$37),"00")&amp;"."&amp;YEAR($C$37)))</f>
        <v/>
      </c>
      <c r="BT6" s="62"/>
      <c r="BU6" s="62" t="str">
        <f aca="false">IF($A$38="","",IF(OR($B$38="",$C$38=""),"— період не заданий —",TEXT(DAY($B$38),"00")&amp;"."&amp;TEXT(MONTH($B$38),"00")&amp;"."&amp;YEAR($B$38)&amp;" – "&amp;TEXT(DAY($C$38),"00")&amp;"."&amp;TEXT(MONTH($C$38),"00")&amp;"."&amp;YEAR($C$38)))</f>
        <v/>
      </c>
      <c r="BV6" s="62"/>
      <c r="BW6" s="62" t="str">
        <f aca="false">IF($A$39="","",IF(OR($B$39="",$C$39=""),"— період не заданий —",TEXT(DAY($B$39),"00")&amp;"."&amp;TEXT(MONTH($B$39),"00")&amp;"."&amp;YEAR($B$39)&amp;" – "&amp;TEXT(DAY($C$39),"00")&amp;"."&amp;TEXT(MONTH($C$39),"00")&amp;"."&amp;YEAR($C$39)))</f>
        <v/>
      </c>
      <c r="BX6" s="62"/>
      <c r="BY6" s="62" t="str">
        <f aca="false">IF($A$40="","",IF(OR($B$40="",$C$40=""),"— період не заданий —",TEXT(DAY($B$40),"00")&amp;"."&amp;TEXT(MONTH($B$40),"00")&amp;"."&amp;YEAR($B$40)&amp;" – "&amp;TEXT(DAY($C$40),"00")&amp;"."&amp;TEXT(MONTH($C$40),"00")&amp;"."&amp;YEAR($C$40)))</f>
        <v/>
      </c>
      <c r="BZ6" s="62"/>
      <c r="CA6" s="62" t="str">
        <f aca="false">IF($A$41="","",IF(OR($B$41="",$C$41=""),"— період не заданий —",TEXT(DAY($B$41),"00")&amp;"."&amp;TEXT(MONTH($B$41),"00")&amp;"."&amp;YEAR($B$41)&amp;" – "&amp;TEXT(DAY($C$41),"00")&amp;"."&amp;TEXT(MONTH($C$41),"00")&amp;"."&amp;YEAR($C$41)))</f>
        <v/>
      </c>
      <c r="CB6" s="62"/>
      <c r="CC6" s="62" t="str">
        <f aca="false">IF($A$42="","",IF(OR($B$42="",$C$42=""),"— період не заданий —",TEXT(DAY($B$42),"00")&amp;"."&amp;TEXT(MONTH($B$42),"00")&amp;"."&amp;YEAR($B$42)&amp;" – "&amp;TEXT(DAY($C$42),"00")&amp;"."&amp;TEXT(MONTH($C$42),"00")&amp;"."&amp;YEAR($C$42)))</f>
        <v/>
      </c>
      <c r="CD6" s="62"/>
      <c r="CE6" s="62" t="str">
        <f aca="false">IF($A$43="","",IF(OR($B$43="",$C$43=""),"— період не заданий —",TEXT(DAY($B$43),"00")&amp;"."&amp;TEXT(MONTH($B$43),"00")&amp;"."&amp;YEAR($B$43)&amp;" – "&amp;TEXT(DAY($C$43),"00")&amp;"."&amp;TEXT(MONTH($C$43),"00")&amp;"."&amp;YEAR($C$43)))</f>
        <v/>
      </c>
      <c r="CF6" s="62"/>
      <c r="CG6" s="62" t="str">
        <f aca="false">IF($A$44="","",IF(OR($B$44="",$C$44=""),"— період не заданий —",TEXT(DAY($B$44),"00")&amp;"."&amp;TEXT(MONTH($B$44),"00")&amp;"."&amp;YEAR($B$44)&amp;" – "&amp;TEXT(DAY($C$44),"00")&amp;"."&amp;TEXT(MONTH($C$44),"00")&amp;"."&amp;YEAR($C$44)))</f>
        <v/>
      </c>
      <c r="CH6" s="62"/>
      <c r="CI6" s="62" t="str">
        <f aca="false">IF($A$45="","",IF(OR($B$45="",$C$45=""),"— період не заданий —",TEXT(DAY($B$45),"00")&amp;"."&amp;TEXT(MONTH($B$45),"00")&amp;"."&amp;YEAR($B$45)&amp;" – "&amp;TEXT(DAY($C$45),"00")&amp;"."&amp;TEXT(MONTH($C$45),"00")&amp;"."&amp;YEAR($C$45)))</f>
        <v/>
      </c>
      <c r="CJ6" s="62"/>
      <c r="CK6" s="62" t="str">
        <f aca="false">IF($A$46="","",IF(OR($B$46="",$C$46=""),"— період не заданий —",TEXT(DAY($B$46),"00")&amp;"."&amp;TEXT(MONTH($B$46),"00")&amp;"."&amp;YEAR($B$46)&amp;" – "&amp;TEXT(DAY($C$46),"00")&amp;"."&amp;TEXT(MONTH($C$46),"00")&amp;"."&amp;YEAR($C$46)))</f>
        <v/>
      </c>
      <c r="CL6" s="62"/>
      <c r="CM6" s="62" t="str">
        <f aca="false">IF($A$47="","",IF(OR($B$47="",$C$47=""),"— період не заданий —",TEXT(DAY($B$47),"00")&amp;"."&amp;TEXT(MONTH($B$47),"00")&amp;"."&amp;YEAR($B$47)&amp;" – "&amp;TEXT(DAY($C$47),"00")&amp;"."&amp;TEXT(MONTH($C$47),"00")&amp;"."&amp;YEAR($C$47)))</f>
        <v/>
      </c>
      <c r="CN6" s="62"/>
      <c r="CO6" s="62" t="str">
        <f aca="false">IF($A$48="","",IF(OR($B$48="",$C$48=""),"— період не заданий —",TEXT(DAY($B$48),"00")&amp;"."&amp;TEXT(MONTH($B$48),"00")&amp;"."&amp;YEAR($B$48)&amp;" – "&amp;TEXT(DAY($C$48),"00")&amp;"."&amp;TEXT(MONTH($C$48),"00")&amp;"."&amp;YEAR($C$48)))</f>
        <v/>
      </c>
      <c r="CP6" s="62"/>
      <c r="CQ6" s="62" t="str">
        <f aca="false">IF($A$49="","",IF(OR($B$49="",$C$49=""),"— період не заданий —",TEXT(DAY($B$49),"00")&amp;"."&amp;TEXT(MONTH($B$49),"00")&amp;"."&amp;YEAR($B$49)&amp;" – "&amp;TEXT(DAY($C$49),"00")&amp;"."&amp;TEXT(MONTH($C$49),"00")&amp;"."&amp;YEAR($C$49)))</f>
        <v/>
      </c>
      <c r="CR6" s="62"/>
      <c r="CS6" s="62" t="str">
        <f aca="false">IF($A$50="","",IF(OR($B$50="",$C$50=""),"— період не заданий —",TEXT(DAY($B$50),"00")&amp;"."&amp;TEXT(MONTH($B$50),"00")&amp;"."&amp;YEAR($B$50)&amp;" – "&amp;TEXT(DAY($C$50),"00")&amp;"."&amp;TEXT(MONTH($C$50),"00")&amp;"."&amp;YEAR($C$50)))</f>
        <v/>
      </c>
      <c r="CT6" s="62"/>
      <c r="CU6" s="62" t="str">
        <f aca="false">IF($A$51="","",IF(OR($B$51="",$C$51=""),"— період не заданий —",TEXT(DAY($B$51),"00")&amp;"."&amp;TEXT(MONTH($B$51),"00")&amp;"."&amp;YEAR($B$51)&amp;" – "&amp;TEXT(DAY($C$51),"00")&amp;"."&amp;TEXT(MONTH($C$51),"00")&amp;"."&amp;YEAR($C$51)))</f>
        <v/>
      </c>
      <c r="CV6" s="62"/>
      <c r="CW6" s="62" t="str">
        <f aca="false">IF($A$52="","",IF(OR($B$52="",$C$52=""),"— період не заданий —",TEXT(DAY($B$52),"00")&amp;"."&amp;TEXT(MONTH($B$52),"00")&amp;"."&amp;YEAR($B$52)&amp;" – "&amp;TEXT(DAY($C$52),"00")&amp;"."&amp;TEXT(MONTH($C$52),"00")&amp;"."&amp;YEAR($C$52)))</f>
        <v/>
      </c>
      <c r="CX6" s="62"/>
      <c r="CY6" s="62" t="str">
        <f aca="false">IF($A$53="","",IF(OR($B$53="",$C$53=""),"— період не заданий —",TEXT(DAY($B$53),"00")&amp;"."&amp;TEXT(MONTH($B$53),"00")&amp;"."&amp;YEAR($B$53)&amp;" – "&amp;TEXT(DAY($C$53),"00")&amp;"."&amp;TEXT(MONTH($C$53),"00")&amp;"."&amp;YEAR($C$53)))</f>
        <v/>
      </c>
      <c r="CZ6" s="62"/>
      <c r="DA6" s="62" t="str">
        <f aca="false">IF($A$54="","",IF(OR($B$54="",$C$54=""),"— період не заданий —",TEXT(DAY($B$54),"00")&amp;"."&amp;TEXT(MONTH($B$54),"00")&amp;"."&amp;YEAR($B$54)&amp;" – "&amp;TEXT(DAY($C$54),"00")&amp;"."&amp;TEXT(MONTH($C$54),"00")&amp;"."&amp;YEAR($C$54)))</f>
        <v/>
      </c>
      <c r="DB6" s="62"/>
      <c r="DC6" s="62" t="str">
        <f aca="false">IF($A$55="","",IF(OR($B$55="",$C$55=""),"— період не заданий —",TEXT(DAY($B$55),"00")&amp;"."&amp;TEXT(MONTH($B$55),"00")&amp;"."&amp;YEAR($B$55)&amp;" – "&amp;TEXT(DAY($C$55),"00")&amp;"."&amp;TEXT(MONTH($C$55),"00")&amp;"."&amp;YEAR($C$55)))</f>
        <v/>
      </c>
      <c r="DD6" s="62"/>
      <c r="DE6" s="62" t="str">
        <f aca="false">IF($A$56="","",IF(OR($B$56="",$C$56=""),"— період не заданий —",TEXT(DAY($B$56),"00")&amp;"."&amp;TEXT(MONTH($B$56),"00")&amp;"."&amp;YEAR($B$56)&amp;" – "&amp;TEXT(DAY($C$56),"00")&amp;"."&amp;TEXT(MONTH($C$56),"00")&amp;"."&amp;YEAR($C$56)))</f>
        <v/>
      </c>
      <c r="DF6" s="62"/>
      <c r="DG6" s="62" t="str">
        <f aca="false">IF($A$57="","",IF(OR($B$57="",$C$57=""),"— період не заданий —",TEXT(DAY($B$57),"00")&amp;"."&amp;TEXT(MONTH($B$57),"00")&amp;"."&amp;YEAR($B$57)&amp;" – "&amp;TEXT(DAY($C$57),"00")&amp;"."&amp;TEXT(MONTH($C$57),"00")&amp;"."&amp;YEAR($C$57)))</f>
        <v/>
      </c>
      <c r="DH6" s="62"/>
      <c r="DI6" s="62" t="str">
        <f aca="false">IF($A$58="","",IF(OR($B$58="",$C$58=""),"— період не заданий —",TEXT(DAY($B$58),"00")&amp;"."&amp;TEXT(MONTH($B$58),"00")&amp;"."&amp;YEAR($B$58)&amp;" – "&amp;TEXT(DAY($C$58),"00")&amp;"."&amp;TEXT(MONTH($C$58),"00")&amp;"."&amp;YEAR($C$58)))</f>
        <v/>
      </c>
      <c r="DJ6" s="62"/>
      <c r="DK6" s="62" t="str">
        <f aca="false">IF($A$59="","",IF(OR($B$59="",$C$59=""),"— період не заданий —",TEXT(DAY($B$59),"00")&amp;"."&amp;TEXT(MONTH($B$59),"00")&amp;"."&amp;YEAR($B$59)&amp;" – "&amp;TEXT(DAY($C$59),"00")&amp;"."&amp;TEXT(MONTH($C$59),"00")&amp;"."&amp;YEAR($C$59)))</f>
        <v/>
      </c>
      <c r="DL6" s="62"/>
      <c r="DM6" s="62" t="str">
        <f aca="false">IF($A$60="","",IF(OR($B$60="",$C$60=""),"— період не заданий —",TEXT(DAY($B$60),"00")&amp;"."&amp;TEXT(MONTH($B$60),"00")&amp;"."&amp;YEAR($B$60)&amp;" – "&amp;TEXT(DAY($C$60),"00")&amp;"."&amp;TEXT(MONTH($C$60),"00")&amp;"."&amp;YEAR($C$60)))</f>
        <v/>
      </c>
      <c r="DN6" s="62"/>
      <c r="DO6" s="62" t="str">
        <f aca="false">IF($A$61="","",IF(OR($B$61="",$C$61=""),"— період не заданий —",TEXT(DAY($B$61),"00")&amp;"."&amp;TEXT(MONTH($B$61),"00")&amp;"."&amp;YEAR($B$61)&amp;" – "&amp;TEXT(DAY($C$61),"00")&amp;"."&amp;TEXT(MONTH($C$61),"00")&amp;"."&amp;YEAR($C$61)))</f>
        <v/>
      </c>
      <c r="DP6" s="62"/>
      <c r="DQ6" s="62" t="str">
        <f aca="false">IF($A$62="","",IF(OR($B$62="",$C$62=""),"— період не заданий —",TEXT(DAY($B$62),"00")&amp;"."&amp;TEXT(MONTH($B$62),"00")&amp;"."&amp;YEAR($B$62)&amp;" – "&amp;TEXT(DAY($C$62),"00")&amp;"."&amp;TEXT(MONTH($C$62),"00")&amp;"."&amp;YEAR($C$62)))</f>
        <v/>
      </c>
      <c r="DR6" s="62"/>
      <c r="DS6" s="62" t="str">
        <f aca="false">IF($A$63="","",IF(OR($B$63="",$C$63=""),"— період не заданий —",TEXT(DAY($B$63),"00")&amp;"."&amp;TEXT(MONTH($B$63),"00")&amp;"."&amp;YEAR($B$63)&amp;" – "&amp;TEXT(DAY($C$63),"00")&amp;"."&amp;TEXT(MONTH($C$63),"00")&amp;"."&amp;YEAR($C$63)))</f>
        <v/>
      </c>
      <c r="DT6" s="62"/>
      <c r="DU6" s="62" t="str">
        <f aca="false">IF($A$64="","",IF(OR($B$64="",$C$64=""),"— період не заданий —",TEXT(DAY($B$64),"00")&amp;"."&amp;TEXT(MONTH($B$64),"00")&amp;"."&amp;YEAR($B$64)&amp;" – "&amp;TEXT(DAY($C$64),"00")&amp;"."&amp;TEXT(MONTH($C$64),"00")&amp;"."&amp;YEAR($C$64)))</f>
        <v/>
      </c>
      <c r="DV6" s="62"/>
      <c r="DW6" s="62" t="str">
        <f aca="false">IF($A$65="","",IF(OR($B$65="",$C$65=""),"— період не заданий —",TEXT(DAY($B$65),"00")&amp;"."&amp;TEXT(MONTH($B$65),"00")&amp;"."&amp;YEAR($B$65)&amp;" – "&amp;TEXT(DAY($C$65),"00")&amp;"."&amp;TEXT(MONTH($C$65),"00")&amp;"."&amp;YEAR($C$65)))</f>
        <v/>
      </c>
      <c r="DX6" s="62"/>
    </row>
    <row r="7" customFormat="false" ht="15" hidden="false" customHeight="true" outlineLevel="0" collapsed="false">
      <c r="A7" s="63" t="s">
        <v>39</v>
      </c>
      <c r="B7" s="64"/>
      <c r="C7" s="64"/>
      <c r="D7" s="63" t="s">
        <v>36</v>
      </c>
      <c r="E7" s="65"/>
      <c r="F7" s="60" t="s">
        <v>40</v>
      </c>
      <c r="G7" s="61" t="n">
        <v>1</v>
      </c>
      <c r="H7" s="60" t="s">
        <v>31</v>
      </c>
      <c r="I7" s="62" t="str">
        <f aca="false">IF($A$6="","",$D$6)</f>
        <v>Чернетка</v>
      </c>
      <c r="J7" s="62"/>
      <c r="K7" s="62" t="str">
        <f aca="false">IF($A$7="","",$D$7)</f>
        <v>Чернетка</v>
      </c>
      <c r="L7" s="62"/>
      <c r="M7" s="62" t="str">
        <f aca="false">IF($A$8="","",$D$8)</f>
        <v>Активний</v>
      </c>
      <c r="N7" s="62"/>
      <c r="O7" s="62" t="str">
        <f aca="false">IF($A$9="","",$D$9)</f>
        <v>Чернетка</v>
      </c>
      <c r="P7" s="62"/>
      <c r="Q7" s="62" t="str">
        <f aca="false">IF($A$10="","",$D$10)</f>
        <v>Активний</v>
      </c>
      <c r="R7" s="62"/>
      <c r="S7" s="62" t="str">
        <f aca="false">IF($A$11="","",$D$11)</f>
        <v>Чернетка</v>
      </c>
      <c r="T7" s="62"/>
      <c r="U7" s="62" t="str">
        <f aca="false">IF($A$12="","",$D$12)</f>
        <v>Чернетка</v>
      </c>
      <c r="V7" s="62"/>
      <c r="W7" s="62" t="str">
        <f aca="false">IF($A$13="","",$D$13)</f>
        <v>Чернетка</v>
      </c>
      <c r="X7" s="62"/>
      <c r="Y7" s="62" t="str">
        <f aca="false">IF($A$14="","",$D$14)</f>
        <v>Чернетка</v>
      </c>
      <c r="Z7" s="62"/>
      <c r="AA7" s="62" t="str">
        <f aca="false">IF($A$15="","",$D$15)</f>
        <v>Чернетка</v>
      </c>
      <c r="AB7" s="62"/>
      <c r="AC7" s="62" t="str">
        <f aca="false">IF($A$16="","",$D$16)</f>
        <v>Чернетка</v>
      </c>
      <c r="AD7" s="62"/>
      <c r="AE7" s="62" t="str">
        <f aca="false">IF($A$17="","",$D$17)</f>
        <v>Чернетка</v>
      </c>
      <c r="AF7" s="62"/>
      <c r="AG7" s="62" t="str">
        <f aca="false">IF($A$18="","",$D$18)</f>
        <v>Чернетка</v>
      </c>
      <c r="AH7" s="62"/>
      <c r="AI7" s="62" t="str">
        <f aca="false">IF($A$19="","",$D$19)</f>
        <v>Чернетка</v>
      </c>
      <c r="AJ7" s="62"/>
      <c r="AK7" s="62" t="str">
        <f aca="false">IF($A$20="","",$D$20)</f>
        <v/>
      </c>
      <c r="AL7" s="62"/>
      <c r="AM7" s="62" t="str">
        <f aca="false">IF($A$21="","",$D$21)</f>
        <v/>
      </c>
      <c r="AN7" s="62"/>
      <c r="AO7" s="62" t="str">
        <f aca="false">IF($A$22="","",$D$22)</f>
        <v/>
      </c>
      <c r="AP7" s="62"/>
      <c r="AQ7" s="62" t="str">
        <f aca="false">IF($A$23="","",$D$23)</f>
        <v/>
      </c>
      <c r="AR7" s="62"/>
      <c r="AS7" s="62" t="str">
        <f aca="false">IF($A$24="","",$D$24)</f>
        <v/>
      </c>
      <c r="AT7" s="62"/>
      <c r="AU7" s="62" t="str">
        <f aca="false">IF($A$25="","",$D$25)</f>
        <v/>
      </c>
      <c r="AV7" s="62"/>
      <c r="AW7" s="62" t="n">
        <f aca="false">IF($A$26="","",$D$26)</f>
        <v>0</v>
      </c>
      <c r="AX7" s="62"/>
      <c r="AY7" s="62" t="n">
        <f aca="false">IF($A$27="","",$D$27)</f>
        <v>0</v>
      </c>
      <c r="AZ7" s="62"/>
      <c r="BA7" s="62" t="n">
        <f aca="false">IF($A$28="","",$D$28)</f>
        <v>0</v>
      </c>
      <c r="BB7" s="62"/>
      <c r="BC7" s="62" t="n">
        <f aca="false">IF($A$29="","",$D$29)</f>
        <v>0</v>
      </c>
      <c r="BD7" s="62"/>
      <c r="BE7" s="62" t="n">
        <f aca="false">IF($A$30="","",$D$30)</f>
        <v>0</v>
      </c>
      <c r="BF7" s="62"/>
      <c r="BG7" s="62" t="n">
        <f aca="false">IF($A$31="","",$D$31)</f>
        <v>0</v>
      </c>
      <c r="BH7" s="62"/>
      <c r="BI7" s="62" t="n">
        <f aca="false">IF($A$32="","",$D$32)</f>
        <v>0</v>
      </c>
      <c r="BJ7" s="62"/>
      <c r="BK7" s="62" t="n">
        <f aca="false">IF($A$33="","",$D$33)</f>
        <v>0</v>
      </c>
      <c r="BL7" s="62"/>
      <c r="BM7" s="62" t="str">
        <f aca="false">IF($A$34="","",$D$34)</f>
        <v/>
      </c>
      <c r="BN7" s="62"/>
      <c r="BO7" s="62" t="str">
        <f aca="false">IF($A$35="","",$D$35)</f>
        <v/>
      </c>
      <c r="BP7" s="62"/>
      <c r="BQ7" s="62" t="str">
        <f aca="false">IF($A$36="","",$D$36)</f>
        <v/>
      </c>
      <c r="BR7" s="62"/>
      <c r="BS7" s="62" t="str">
        <f aca="false">IF($A$37="","",$D$37)</f>
        <v/>
      </c>
      <c r="BT7" s="62"/>
      <c r="BU7" s="62" t="str">
        <f aca="false">IF($A$38="","",$D$38)</f>
        <v/>
      </c>
      <c r="BV7" s="62"/>
      <c r="BW7" s="62" t="str">
        <f aca="false">IF($A$39="","",$D$39)</f>
        <v/>
      </c>
      <c r="BX7" s="62"/>
      <c r="BY7" s="62" t="str">
        <f aca="false">IF($A$40="","",$D$40)</f>
        <v/>
      </c>
      <c r="BZ7" s="62"/>
      <c r="CA7" s="62" t="str">
        <f aca="false">IF($A$41="","",$D$41)</f>
        <v/>
      </c>
      <c r="CB7" s="62"/>
      <c r="CC7" s="62" t="str">
        <f aca="false">IF($A$42="","",$D$42)</f>
        <v/>
      </c>
      <c r="CD7" s="62"/>
      <c r="CE7" s="62" t="str">
        <f aca="false">IF($A$43="","",$D$43)</f>
        <v/>
      </c>
      <c r="CF7" s="62"/>
      <c r="CG7" s="62" t="str">
        <f aca="false">IF($A$44="","",$D$44)</f>
        <v/>
      </c>
      <c r="CH7" s="62"/>
      <c r="CI7" s="62" t="str">
        <f aca="false">IF($A$45="","",$D$45)</f>
        <v/>
      </c>
      <c r="CJ7" s="62"/>
      <c r="CK7" s="62" t="str">
        <f aca="false">IF($A$46="","",$D$46)</f>
        <v/>
      </c>
      <c r="CL7" s="62"/>
      <c r="CM7" s="62" t="str">
        <f aca="false">IF($A$47="","",$D$47)</f>
        <v/>
      </c>
      <c r="CN7" s="62"/>
      <c r="CO7" s="62" t="str">
        <f aca="false">IF($A$48="","",$D$48)</f>
        <v/>
      </c>
      <c r="CP7" s="62"/>
      <c r="CQ7" s="62" t="str">
        <f aca="false">IF($A$49="","",$D$49)</f>
        <v/>
      </c>
      <c r="CR7" s="62"/>
      <c r="CS7" s="62" t="str">
        <f aca="false">IF($A$50="","",$D$50)</f>
        <v/>
      </c>
      <c r="CT7" s="62"/>
      <c r="CU7" s="62" t="str">
        <f aca="false">IF($A$51="","",$D$51)</f>
        <v/>
      </c>
      <c r="CV7" s="62"/>
      <c r="CW7" s="62" t="str">
        <f aca="false">IF($A$52="","",$D$52)</f>
        <v/>
      </c>
      <c r="CX7" s="62"/>
      <c r="CY7" s="62" t="str">
        <f aca="false">IF($A$53="","",$D$53)</f>
        <v/>
      </c>
      <c r="CZ7" s="62"/>
      <c r="DA7" s="62" t="str">
        <f aca="false">IF($A$54="","",$D$54)</f>
        <v/>
      </c>
      <c r="DB7" s="62"/>
      <c r="DC7" s="62" t="str">
        <f aca="false">IF($A$55="","",$D$55)</f>
        <v/>
      </c>
      <c r="DD7" s="62"/>
      <c r="DE7" s="62" t="str">
        <f aca="false">IF($A$56="","",$D$56)</f>
        <v/>
      </c>
      <c r="DF7" s="62"/>
      <c r="DG7" s="62" t="str">
        <f aca="false">IF($A$57="","",$D$57)</f>
        <v/>
      </c>
      <c r="DH7" s="62"/>
      <c r="DI7" s="62" t="str">
        <f aca="false">IF($A$58="","",$D$58)</f>
        <v/>
      </c>
      <c r="DJ7" s="62"/>
      <c r="DK7" s="62" t="str">
        <f aca="false">IF($A$59="","",$D$59)</f>
        <v/>
      </c>
      <c r="DL7" s="62"/>
      <c r="DM7" s="62" t="str">
        <f aca="false">IF($A$60="","",$D$60)</f>
        <v/>
      </c>
      <c r="DN7" s="62"/>
      <c r="DO7" s="62" t="str">
        <f aca="false">IF($A$61="","",$D$61)</f>
        <v/>
      </c>
      <c r="DP7" s="62"/>
      <c r="DQ7" s="62" t="str">
        <f aca="false">IF($A$62="","",$D$62)</f>
        <v/>
      </c>
      <c r="DR7" s="62"/>
      <c r="DS7" s="62" t="str">
        <f aca="false">IF($A$63="","",$D$63)</f>
        <v/>
      </c>
      <c r="DT7" s="62"/>
      <c r="DU7" s="62" t="str">
        <f aca="false">IF($A$64="","",$D$64)</f>
        <v/>
      </c>
      <c r="DV7" s="62"/>
      <c r="DW7" s="62" t="str">
        <f aca="false">IF($A$65="","",$D$65)</f>
        <v/>
      </c>
      <c r="DX7" s="62"/>
    </row>
    <row r="8" customFormat="false" ht="15" hidden="false" customHeight="true" outlineLevel="0" collapsed="false">
      <c r="A8" s="57" t="s">
        <v>41</v>
      </c>
      <c r="B8" s="58" t="n">
        <v>46296</v>
      </c>
      <c r="C8" s="58" t="n">
        <v>46356</v>
      </c>
      <c r="D8" s="57" t="s">
        <v>42</v>
      </c>
      <c r="E8" s="59"/>
      <c r="F8" s="60" t="s">
        <v>43</v>
      </c>
      <c r="G8" s="66" t="n">
        <v>0.1</v>
      </c>
      <c r="H8" s="60" t="s">
        <v>44</v>
      </c>
      <c r="I8" s="62" t="n">
        <f aca="false">IF($A$6="","",$E$6)</f>
        <v>0</v>
      </c>
      <c r="J8" s="62"/>
      <c r="K8" s="62" t="n">
        <f aca="false">IF($A$7="","",$E$7)</f>
        <v>0</v>
      </c>
      <c r="L8" s="62"/>
      <c r="M8" s="62" t="n">
        <f aca="false">IF($A$8="","",$E$8)</f>
        <v>0</v>
      </c>
      <c r="N8" s="62"/>
      <c r="O8" s="62" t="n">
        <f aca="false">IF($A$9="","",$E$9)</f>
        <v>0</v>
      </c>
      <c r="P8" s="62"/>
      <c r="Q8" s="62" t="n">
        <f aca="false">IF($A$10="","",$E$10)</f>
        <v>0</v>
      </c>
      <c r="R8" s="62"/>
      <c r="S8" s="62" t="n">
        <f aca="false">IF($A$11="","",$E$11)</f>
        <v>0</v>
      </c>
      <c r="T8" s="62"/>
      <c r="U8" s="62" t="n">
        <f aca="false">IF($A$12="","",$E$12)</f>
        <v>0</v>
      </c>
      <c r="V8" s="62"/>
      <c r="W8" s="62" t="n">
        <f aca="false">IF($A$13="","",$E$13)</f>
        <v>0</v>
      </c>
      <c r="X8" s="62"/>
      <c r="Y8" s="62" t="n">
        <f aca="false">IF($A$14="","",$E$14)</f>
        <v>0</v>
      </c>
      <c r="Z8" s="62"/>
      <c r="AA8" s="62" t="n">
        <f aca="false">IF($A$15="","",$E$15)</f>
        <v>0</v>
      </c>
      <c r="AB8" s="62"/>
      <c r="AC8" s="62" t="n">
        <f aca="false">IF($A$16="","",$E$16)</f>
        <v>0</v>
      </c>
      <c r="AD8" s="62"/>
      <c r="AE8" s="62" t="n">
        <f aca="false">IF($A$17="","",$E$17)</f>
        <v>0</v>
      </c>
      <c r="AF8" s="62"/>
      <c r="AG8" s="62" t="n">
        <f aca="false">IF($A$18="","",$E$18)</f>
        <v>0</v>
      </c>
      <c r="AH8" s="62"/>
      <c r="AI8" s="62" t="n">
        <f aca="false">IF($A$19="","",$E$19)</f>
        <v>0</v>
      </c>
      <c r="AJ8" s="62"/>
      <c r="AK8" s="62" t="str">
        <f aca="false">IF($A$20="","",$E$20)</f>
        <v/>
      </c>
      <c r="AL8" s="62"/>
      <c r="AM8" s="62" t="str">
        <f aca="false">IF($A$21="","",$E$21)</f>
        <v/>
      </c>
      <c r="AN8" s="62"/>
      <c r="AO8" s="62" t="str">
        <f aca="false">IF($A$22="","",$E$22)</f>
        <v/>
      </c>
      <c r="AP8" s="62"/>
      <c r="AQ8" s="62" t="str">
        <f aca="false">IF($A$23="","",$E$23)</f>
        <v/>
      </c>
      <c r="AR8" s="62"/>
      <c r="AS8" s="62" t="str">
        <f aca="false">IF($A$24="","",$E$24)</f>
        <v/>
      </c>
      <c r="AT8" s="62"/>
      <c r="AU8" s="62" t="str">
        <f aca="false">IF($A$25="","",$E$25)</f>
        <v/>
      </c>
      <c r="AV8" s="62"/>
      <c r="AW8" s="62" t="n">
        <f aca="false">IF($A$26="","",$E$26)</f>
        <v>0</v>
      </c>
      <c r="AX8" s="62"/>
      <c r="AY8" s="62" t="n">
        <f aca="false">IF($A$27="","",$E$27)</f>
        <v>0</v>
      </c>
      <c r="AZ8" s="62"/>
      <c r="BA8" s="62" t="n">
        <f aca="false">IF($A$28="","",$E$28)</f>
        <v>0</v>
      </c>
      <c r="BB8" s="62"/>
      <c r="BC8" s="62" t="n">
        <f aca="false">IF($A$29="","",$E$29)</f>
        <v>0</v>
      </c>
      <c r="BD8" s="62"/>
      <c r="BE8" s="62" t="n">
        <f aca="false">IF($A$30="","",$E$30)</f>
        <v>0</v>
      </c>
      <c r="BF8" s="62"/>
      <c r="BG8" s="62" t="n">
        <f aca="false">IF($A$31="","",$E$31)</f>
        <v>0</v>
      </c>
      <c r="BH8" s="62"/>
      <c r="BI8" s="62" t="n">
        <f aca="false">IF($A$32="","",$E$32)</f>
        <v>0</v>
      </c>
      <c r="BJ8" s="62"/>
      <c r="BK8" s="62" t="n">
        <f aca="false">IF($A$33="","",$E$33)</f>
        <v>0</v>
      </c>
      <c r="BL8" s="62"/>
      <c r="BM8" s="62" t="str">
        <f aca="false">IF($A$34="","",$E$34)</f>
        <v/>
      </c>
      <c r="BN8" s="62"/>
      <c r="BO8" s="62" t="str">
        <f aca="false">IF($A$35="","",$E$35)</f>
        <v/>
      </c>
      <c r="BP8" s="62"/>
      <c r="BQ8" s="62" t="str">
        <f aca="false">IF($A$36="","",$E$36)</f>
        <v/>
      </c>
      <c r="BR8" s="62"/>
      <c r="BS8" s="62" t="str">
        <f aca="false">IF($A$37="","",$E$37)</f>
        <v/>
      </c>
      <c r="BT8" s="62"/>
      <c r="BU8" s="62" t="str">
        <f aca="false">IF($A$38="","",$E$38)</f>
        <v/>
      </c>
      <c r="BV8" s="62"/>
      <c r="BW8" s="62" t="str">
        <f aca="false">IF($A$39="","",$E$39)</f>
        <v/>
      </c>
      <c r="BX8" s="62"/>
      <c r="BY8" s="62" t="str">
        <f aca="false">IF($A$40="","",$E$40)</f>
        <v/>
      </c>
      <c r="BZ8" s="62"/>
      <c r="CA8" s="62" t="str">
        <f aca="false">IF($A$41="","",$E$41)</f>
        <v/>
      </c>
      <c r="CB8" s="62"/>
      <c r="CC8" s="62" t="str">
        <f aca="false">IF($A$42="","",$E$42)</f>
        <v/>
      </c>
      <c r="CD8" s="62"/>
      <c r="CE8" s="62" t="str">
        <f aca="false">IF($A$43="","",$E$43)</f>
        <v/>
      </c>
      <c r="CF8" s="62"/>
      <c r="CG8" s="62" t="str">
        <f aca="false">IF($A$44="","",$E$44)</f>
        <v/>
      </c>
      <c r="CH8" s="62"/>
      <c r="CI8" s="62" t="str">
        <f aca="false">IF($A$45="","",$E$45)</f>
        <v/>
      </c>
      <c r="CJ8" s="62"/>
      <c r="CK8" s="62" t="str">
        <f aca="false">IF($A$46="","",$E$46)</f>
        <v/>
      </c>
      <c r="CL8" s="62"/>
      <c r="CM8" s="62" t="str">
        <f aca="false">IF($A$47="","",$E$47)</f>
        <v/>
      </c>
      <c r="CN8" s="62"/>
      <c r="CO8" s="62" t="str">
        <f aca="false">IF($A$48="","",$E$48)</f>
        <v/>
      </c>
      <c r="CP8" s="62"/>
      <c r="CQ8" s="62" t="str">
        <f aca="false">IF($A$49="","",$E$49)</f>
        <v/>
      </c>
      <c r="CR8" s="62"/>
      <c r="CS8" s="62" t="str">
        <f aca="false">IF($A$50="","",$E$50)</f>
        <v/>
      </c>
      <c r="CT8" s="62"/>
      <c r="CU8" s="62" t="str">
        <f aca="false">IF($A$51="","",$E$51)</f>
        <v/>
      </c>
      <c r="CV8" s="62"/>
      <c r="CW8" s="62" t="str">
        <f aca="false">IF($A$52="","",$E$52)</f>
        <v/>
      </c>
      <c r="CX8" s="62"/>
      <c r="CY8" s="62" t="str">
        <f aca="false">IF($A$53="","",$E$53)</f>
        <v/>
      </c>
      <c r="CZ8" s="62"/>
      <c r="DA8" s="62" t="str">
        <f aca="false">IF($A$54="","",$E$54)</f>
        <v/>
      </c>
      <c r="DB8" s="62"/>
      <c r="DC8" s="62" t="str">
        <f aca="false">IF($A$55="","",$E$55)</f>
        <v/>
      </c>
      <c r="DD8" s="62"/>
      <c r="DE8" s="62" t="str">
        <f aca="false">IF($A$56="","",$E$56)</f>
        <v/>
      </c>
      <c r="DF8" s="62"/>
      <c r="DG8" s="62" t="str">
        <f aca="false">IF($A$57="","",$E$57)</f>
        <v/>
      </c>
      <c r="DH8" s="62"/>
      <c r="DI8" s="62" t="str">
        <f aca="false">IF($A$58="","",$E$58)</f>
        <v/>
      </c>
      <c r="DJ8" s="62"/>
      <c r="DK8" s="62" t="str">
        <f aca="false">IF($A$59="","",$E$59)</f>
        <v/>
      </c>
      <c r="DL8" s="62"/>
      <c r="DM8" s="62" t="str">
        <f aca="false">IF($A$60="","",$E$60)</f>
        <v/>
      </c>
      <c r="DN8" s="62"/>
      <c r="DO8" s="62" t="str">
        <f aca="false">IF($A$61="","",$E$61)</f>
        <v/>
      </c>
      <c r="DP8" s="62"/>
      <c r="DQ8" s="62" t="str">
        <f aca="false">IF($A$62="","",$E$62)</f>
        <v/>
      </c>
      <c r="DR8" s="62"/>
      <c r="DS8" s="62" t="str">
        <f aca="false">IF($A$63="","",$E$63)</f>
        <v/>
      </c>
      <c r="DT8" s="62"/>
      <c r="DU8" s="62" t="str">
        <f aca="false">IF($A$64="","",$E$64)</f>
        <v/>
      </c>
      <c r="DV8" s="62"/>
      <c r="DW8" s="62" t="str">
        <f aca="false">IF($A$65="","",$E$65)</f>
        <v/>
      </c>
      <c r="DX8" s="62"/>
    </row>
    <row r="9" customFormat="false" ht="15" hidden="false" customHeight="true" outlineLevel="0" collapsed="false">
      <c r="A9" s="63" t="s">
        <v>45</v>
      </c>
      <c r="B9" s="64"/>
      <c r="C9" s="64"/>
      <c r="D9" s="63" t="s">
        <v>36</v>
      </c>
      <c r="E9" s="65"/>
      <c r="F9" s="60" t="s">
        <v>46</v>
      </c>
      <c r="G9" s="61" t="n">
        <v>500</v>
      </c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</row>
    <row r="10" customFormat="false" ht="15" hidden="false" customHeight="true" outlineLevel="0" collapsed="false">
      <c r="A10" s="57" t="s">
        <v>47</v>
      </c>
      <c r="B10" s="58" t="n">
        <v>46266</v>
      </c>
      <c r="C10" s="58" t="n">
        <v>46295</v>
      </c>
      <c r="D10" s="57" t="s">
        <v>42</v>
      </c>
      <c r="E10" s="59"/>
      <c r="F10" s="68" t="s">
        <v>48</v>
      </c>
      <c r="G10" s="69" t="s">
        <v>49</v>
      </c>
      <c r="H10" s="70" t="s">
        <v>50</v>
      </c>
      <c r="I10" s="71"/>
      <c r="J10" s="72"/>
      <c r="K10" s="71"/>
      <c r="L10" s="72"/>
      <c r="M10" s="71"/>
      <c r="N10" s="72"/>
      <c r="O10" s="71"/>
      <c r="P10" s="72"/>
      <c r="Q10" s="71"/>
      <c r="R10" s="72"/>
      <c r="S10" s="71"/>
      <c r="T10" s="72"/>
      <c r="U10" s="71"/>
      <c r="V10" s="72"/>
      <c r="W10" s="71"/>
      <c r="X10" s="72"/>
      <c r="Y10" s="71"/>
      <c r="Z10" s="72"/>
      <c r="AA10" s="71"/>
      <c r="AB10" s="72"/>
      <c r="AC10" s="71"/>
      <c r="AD10" s="72"/>
      <c r="AE10" s="71"/>
      <c r="AF10" s="72"/>
      <c r="AG10" s="71"/>
      <c r="AH10" s="72"/>
      <c r="AI10" s="71"/>
      <c r="AJ10" s="72"/>
      <c r="AK10" s="71"/>
      <c r="AL10" s="72"/>
      <c r="AM10" s="71"/>
      <c r="AN10" s="72"/>
      <c r="AO10" s="71"/>
      <c r="AP10" s="72"/>
      <c r="AQ10" s="71"/>
      <c r="AR10" s="72"/>
      <c r="AS10" s="71"/>
      <c r="AT10" s="72"/>
      <c r="AU10" s="71"/>
      <c r="AV10" s="72"/>
      <c r="AW10" s="71"/>
      <c r="AX10" s="72"/>
      <c r="AY10" s="71"/>
      <c r="AZ10" s="72"/>
      <c r="BA10" s="71"/>
      <c r="BB10" s="72"/>
      <c r="BC10" s="71"/>
      <c r="BD10" s="72"/>
      <c r="BE10" s="71"/>
      <c r="BF10" s="72"/>
      <c r="BG10" s="71"/>
      <c r="BH10" s="72"/>
      <c r="BI10" s="71"/>
      <c r="BJ10" s="72"/>
      <c r="BK10" s="71"/>
      <c r="BL10" s="72"/>
      <c r="BM10" s="71"/>
      <c r="BN10" s="72"/>
      <c r="BO10" s="71"/>
      <c r="BP10" s="72"/>
      <c r="BQ10" s="71"/>
      <c r="BR10" s="72"/>
      <c r="BS10" s="71"/>
      <c r="BT10" s="72"/>
      <c r="BU10" s="71"/>
      <c r="BV10" s="72"/>
      <c r="BW10" s="71"/>
      <c r="BX10" s="72"/>
      <c r="BY10" s="71"/>
      <c r="BZ10" s="72"/>
      <c r="CA10" s="71"/>
      <c r="CB10" s="72"/>
      <c r="CC10" s="71"/>
      <c r="CD10" s="72"/>
      <c r="CE10" s="71"/>
      <c r="CF10" s="72"/>
      <c r="CG10" s="71"/>
      <c r="CH10" s="72"/>
      <c r="CI10" s="71"/>
      <c r="CJ10" s="72"/>
      <c r="CK10" s="71"/>
      <c r="CL10" s="72"/>
      <c r="CM10" s="71"/>
      <c r="CN10" s="72"/>
      <c r="CO10" s="71"/>
      <c r="CP10" s="72"/>
      <c r="CQ10" s="71"/>
      <c r="CR10" s="72"/>
      <c r="CS10" s="71"/>
      <c r="CT10" s="72"/>
      <c r="CU10" s="71"/>
      <c r="CV10" s="72"/>
      <c r="CW10" s="71"/>
      <c r="CX10" s="72"/>
      <c r="CY10" s="71"/>
      <c r="CZ10" s="72"/>
      <c r="DA10" s="71"/>
      <c r="DB10" s="72"/>
      <c r="DC10" s="71"/>
      <c r="DD10" s="72"/>
      <c r="DE10" s="71"/>
      <c r="DF10" s="72"/>
      <c r="DG10" s="71"/>
      <c r="DH10" s="72"/>
      <c r="DI10" s="71"/>
      <c r="DJ10" s="72"/>
      <c r="DK10" s="71"/>
      <c r="DL10" s="72"/>
      <c r="DM10" s="71"/>
      <c r="DN10" s="72"/>
      <c r="DO10" s="71"/>
      <c r="DP10" s="72"/>
      <c r="DQ10" s="71"/>
      <c r="DR10" s="72"/>
      <c r="DS10" s="71"/>
      <c r="DT10" s="72"/>
      <c r="DU10" s="71"/>
      <c r="DV10" s="72"/>
      <c r="DW10" s="71"/>
      <c r="DX10" s="72"/>
    </row>
    <row r="11" customFormat="false" ht="18" hidden="false" customHeight="true" outlineLevel="0" collapsed="false">
      <c r="A11" s="63" t="s">
        <v>51</v>
      </c>
      <c r="B11" s="64"/>
      <c r="C11" s="64"/>
      <c r="D11" s="63" t="s">
        <v>36</v>
      </c>
      <c r="E11" s="65"/>
      <c r="F11" s="53" t="s">
        <v>52</v>
      </c>
      <c r="G11" s="73" t="n">
        <v>5</v>
      </c>
      <c r="H11" s="13" t="s">
        <v>53</v>
      </c>
      <c r="I11" s="74" t="s">
        <v>54</v>
      </c>
      <c r="J11" s="13" t="s">
        <v>55</v>
      </c>
      <c r="K11" s="74" t="s">
        <v>54</v>
      </c>
      <c r="L11" s="13" t="s">
        <v>55</v>
      </c>
      <c r="M11" s="74" t="s">
        <v>54</v>
      </c>
      <c r="N11" s="13" t="s">
        <v>55</v>
      </c>
      <c r="O11" s="74" t="s">
        <v>54</v>
      </c>
      <c r="P11" s="13" t="s">
        <v>55</v>
      </c>
      <c r="Q11" s="74" t="s">
        <v>54</v>
      </c>
      <c r="R11" s="13" t="s">
        <v>55</v>
      </c>
      <c r="S11" s="74" t="s">
        <v>54</v>
      </c>
      <c r="T11" s="13" t="s">
        <v>55</v>
      </c>
      <c r="U11" s="74" t="s">
        <v>54</v>
      </c>
      <c r="V11" s="13" t="s">
        <v>55</v>
      </c>
      <c r="W11" s="74" t="s">
        <v>54</v>
      </c>
      <c r="X11" s="13" t="s">
        <v>55</v>
      </c>
      <c r="Y11" s="74" t="s">
        <v>54</v>
      </c>
      <c r="Z11" s="13" t="s">
        <v>55</v>
      </c>
      <c r="AA11" s="74" t="s">
        <v>54</v>
      </c>
      <c r="AB11" s="13" t="s">
        <v>55</v>
      </c>
      <c r="AC11" s="74" t="s">
        <v>54</v>
      </c>
      <c r="AD11" s="13" t="s">
        <v>55</v>
      </c>
      <c r="AE11" s="74" t="s">
        <v>54</v>
      </c>
      <c r="AF11" s="13" t="s">
        <v>55</v>
      </c>
      <c r="AG11" s="74" t="s">
        <v>54</v>
      </c>
      <c r="AH11" s="13" t="s">
        <v>55</v>
      </c>
      <c r="AI11" s="74" t="s">
        <v>54</v>
      </c>
      <c r="AJ11" s="13" t="s">
        <v>55</v>
      </c>
      <c r="AK11" s="74" t="s">
        <v>54</v>
      </c>
      <c r="AL11" s="13" t="s">
        <v>55</v>
      </c>
      <c r="AM11" s="74" t="s">
        <v>54</v>
      </c>
      <c r="AN11" s="13" t="s">
        <v>55</v>
      </c>
      <c r="AO11" s="74" t="s">
        <v>54</v>
      </c>
      <c r="AP11" s="13" t="s">
        <v>55</v>
      </c>
      <c r="AQ11" s="74" t="s">
        <v>54</v>
      </c>
      <c r="AR11" s="13" t="s">
        <v>55</v>
      </c>
      <c r="AS11" s="74" t="s">
        <v>54</v>
      </c>
      <c r="AT11" s="13" t="s">
        <v>55</v>
      </c>
      <c r="AU11" s="74" t="s">
        <v>54</v>
      </c>
      <c r="AV11" s="13" t="s">
        <v>55</v>
      </c>
      <c r="AW11" s="74" t="s">
        <v>54</v>
      </c>
      <c r="AX11" s="13" t="s">
        <v>55</v>
      </c>
      <c r="AY11" s="74" t="s">
        <v>54</v>
      </c>
      <c r="AZ11" s="13" t="s">
        <v>55</v>
      </c>
      <c r="BA11" s="74" t="s">
        <v>54</v>
      </c>
      <c r="BB11" s="13" t="s">
        <v>55</v>
      </c>
      <c r="BC11" s="74" t="s">
        <v>54</v>
      </c>
      <c r="BD11" s="13" t="s">
        <v>55</v>
      </c>
      <c r="BE11" s="74" t="s">
        <v>54</v>
      </c>
      <c r="BF11" s="13" t="s">
        <v>55</v>
      </c>
      <c r="BG11" s="74" t="s">
        <v>54</v>
      </c>
      <c r="BH11" s="13" t="s">
        <v>55</v>
      </c>
      <c r="BI11" s="74" t="s">
        <v>54</v>
      </c>
      <c r="BJ11" s="13" t="s">
        <v>55</v>
      </c>
      <c r="BK11" s="74" t="s">
        <v>54</v>
      </c>
      <c r="BL11" s="13" t="s">
        <v>55</v>
      </c>
      <c r="BM11" s="74" t="s">
        <v>54</v>
      </c>
      <c r="BN11" s="13" t="s">
        <v>55</v>
      </c>
      <c r="BO11" s="74" t="s">
        <v>54</v>
      </c>
      <c r="BP11" s="13" t="s">
        <v>55</v>
      </c>
      <c r="BQ11" s="74" t="s">
        <v>54</v>
      </c>
      <c r="BR11" s="13" t="s">
        <v>55</v>
      </c>
      <c r="BS11" s="74" t="s">
        <v>54</v>
      </c>
      <c r="BT11" s="13" t="s">
        <v>55</v>
      </c>
      <c r="BU11" s="74" t="s">
        <v>54</v>
      </c>
      <c r="BV11" s="13" t="s">
        <v>55</v>
      </c>
      <c r="BW11" s="74" t="s">
        <v>54</v>
      </c>
      <c r="BX11" s="13" t="s">
        <v>55</v>
      </c>
      <c r="BY11" s="74" t="s">
        <v>54</v>
      </c>
      <c r="BZ11" s="13" t="s">
        <v>55</v>
      </c>
      <c r="CA11" s="74" t="s">
        <v>54</v>
      </c>
      <c r="CB11" s="13" t="s">
        <v>55</v>
      </c>
      <c r="CC11" s="74" t="s">
        <v>54</v>
      </c>
      <c r="CD11" s="13" t="s">
        <v>55</v>
      </c>
      <c r="CE11" s="74" t="s">
        <v>54</v>
      </c>
      <c r="CF11" s="13" t="s">
        <v>55</v>
      </c>
      <c r="CG11" s="74" t="s">
        <v>54</v>
      </c>
      <c r="CH11" s="13" t="s">
        <v>55</v>
      </c>
      <c r="CI11" s="74" t="s">
        <v>54</v>
      </c>
      <c r="CJ11" s="13" t="s">
        <v>55</v>
      </c>
      <c r="CK11" s="74" t="s">
        <v>54</v>
      </c>
      <c r="CL11" s="13" t="s">
        <v>55</v>
      </c>
      <c r="CM11" s="74" t="s">
        <v>54</v>
      </c>
      <c r="CN11" s="13" t="s">
        <v>55</v>
      </c>
      <c r="CO11" s="74" t="s">
        <v>54</v>
      </c>
      <c r="CP11" s="13" t="s">
        <v>55</v>
      </c>
      <c r="CQ11" s="74" t="s">
        <v>54</v>
      </c>
      <c r="CR11" s="13" t="s">
        <v>55</v>
      </c>
      <c r="CS11" s="74" t="s">
        <v>54</v>
      </c>
      <c r="CT11" s="13" t="s">
        <v>55</v>
      </c>
      <c r="CU11" s="74" t="s">
        <v>54</v>
      </c>
      <c r="CV11" s="13" t="s">
        <v>55</v>
      </c>
      <c r="CW11" s="74" t="s">
        <v>54</v>
      </c>
      <c r="CX11" s="13" t="s">
        <v>55</v>
      </c>
      <c r="CY11" s="74" t="s">
        <v>54</v>
      </c>
      <c r="CZ11" s="13" t="s">
        <v>55</v>
      </c>
      <c r="DA11" s="74" t="s">
        <v>54</v>
      </c>
      <c r="DB11" s="13" t="s">
        <v>55</v>
      </c>
      <c r="DC11" s="74" t="s">
        <v>54</v>
      </c>
      <c r="DD11" s="13" t="s">
        <v>55</v>
      </c>
      <c r="DE11" s="74" t="s">
        <v>54</v>
      </c>
      <c r="DF11" s="13" t="s">
        <v>55</v>
      </c>
      <c r="DG11" s="74" t="s">
        <v>54</v>
      </c>
      <c r="DH11" s="13" t="s">
        <v>55</v>
      </c>
      <c r="DI11" s="74" t="s">
        <v>54</v>
      </c>
      <c r="DJ11" s="13" t="s">
        <v>55</v>
      </c>
      <c r="DK11" s="74" t="s">
        <v>54</v>
      </c>
      <c r="DL11" s="13" t="s">
        <v>55</v>
      </c>
      <c r="DM11" s="74" t="s">
        <v>54</v>
      </c>
      <c r="DN11" s="13" t="s">
        <v>55</v>
      </c>
      <c r="DO11" s="74" t="s">
        <v>54</v>
      </c>
      <c r="DP11" s="13" t="s">
        <v>55</v>
      </c>
      <c r="DQ11" s="74" t="s">
        <v>54</v>
      </c>
      <c r="DR11" s="13" t="s">
        <v>55</v>
      </c>
      <c r="DS11" s="74" t="s">
        <v>54</v>
      </c>
      <c r="DT11" s="13" t="s">
        <v>55</v>
      </c>
      <c r="DU11" s="74" t="s">
        <v>54</v>
      </c>
      <c r="DV11" s="13" t="s">
        <v>55</v>
      </c>
      <c r="DW11" s="74" t="s">
        <v>54</v>
      </c>
      <c r="DX11" s="13" t="s">
        <v>55</v>
      </c>
    </row>
    <row r="12" customFormat="false" ht="15" hidden="false" customHeight="true" outlineLevel="0" collapsed="false">
      <c r="A12" s="57" t="s">
        <v>56</v>
      </c>
      <c r="B12" s="58"/>
      <c r="C12" s="58"/>
      <c r="D12" s="57" t="s">
        <v>36</v>
      </c>
      <c r="E12" s="59"/>
      <c r="F12" s="75" t="s">
        <v>57</v>
      </c>
      <c r="G12" s="4"/>
      <c r="H12" s="76" t="s">
        <v>58</v>
      </c>
      <c r="I12" s="77" t="n">
        <v>5530</v>
      </c>
      <c r="J12" s="35" t="n">
        <f aca="false">IF(OR(I12="",J33=""),"",ROUND(I12*J33/ОКРУГЛЕННЯ,0)*ОКРУГЛЕННЯ)</f>
        <v>6299</v>
      </c>
      <c r="K12" s="77" t="n">
        <v>7140</v>
      </c>
      <c r="L12" s="35" t="n">
        <f aca="false">IF(OR(K12="",L33=""),"",ROUND(K12*L33/ОКРУГЛЕННЯ,0)*ОКРУГЛЕННЯ)</f>
        <v>7854</v>
      </c>
      <c r="M12" s="77" t="n">
        <v>4998</v>
      </c>
      <c r="N12" s="35" t="n">
        <f aca="false">IF(OR(M12="",N33=""),"",ROUND(M12*N33/ОКРУГЛЕННЯ,0)*ОКРУГЛЕННЯ)</f>
        <v>5498</v>
      </c>
      <c r="O12" s="77" t="n">
        <v>5355</v>
      </c>
      <c r="P12" s="35" t="n">
        <f aca="false">IF(OR(O12="",P33=""),"",ROUND(O12*P33/ОКРУГЛЕННЯ,0)*ОКРУГЛЕННЯ)</f>
        <v>5891</v>
      </c>
      <c r="Q12" s="77" t="n">
        <v>5400</v>
      </c>
      <c r="R12" s="35" t="n">
        <f aca="false">IF(OR(Q12="",R33=""),"",ROUND(Q12*R33/ОКРУГЛЕННЯ,0)*ОКРУГЛЕННЯ)</f>
        <v>5940</v>
      </c>
      <c r="S12" s="77"/>
      <c r="T12" s="35" t="str">
        <f aca="false">IF(OR(S12="",T33=""),"",ROUND(S12*T33/ОКРУГЛЕННЯ,0)*ОКРУГЛЕННЯ)</f>
        <v/>
      </c>
      <c r="U12" s="77" t="n">
        <v>5700</v>
      </c>
      <c r="V12" s="35" t="n">
        <f aca="false">IF(OR(U12="",V33=""),"",ROUND(U12*V33/ОКРУГЛЕННЯ,0)*ОКРУГЛЕННЯ)</f>
        <v>6270</v>
      </c>
      <c r="W12" s="77"/>
      <c r="X12" s="35" t="str">
        <f aca="false">IF(OR(W12="",X33=""),"",ROUND(W12*X33/ОКРУГЛЕННЯ,0)*ОКРУГЛЕННЯ)</f>
        <v/>
      </c>
      <c r="Y12" s="77"/>
      <c r="Z12" s="35" t="str">
        <f aca="false">IF(OR(Y12="",Z33=""),"",ROUND(Y12*Z33/ОКРУГЛЕННЯ,0)*ОКРУГЛЕННЯ)</f>
        <v/>
      </c>
      <c r="AA12" s="77"/>
      <c r="AB12" s="35" t="str">
        <f aca="false">IF(OR(AA12="",AB33=""),"",ROUND(AA12*AB33/ОКРУГЛЕННЯ,0)*ОКРУГЛЕННЯ)</f>
        <v/>
      </c>
      <c r="AC12" s="77"/>
      <c r="AD12" s="35" t="str">
        <f aca="false">IF(OR(AC12="",AD33=""),"",ROUND(AC12*AD33/ОКРУГЛЕННЯ,0)*ОКРУГЛЕННЯ)</f>
        <v/>
      </c>
      <c r="AE12" s="77"/>
      <c r="AF12" s="35" t="str">
        <f aca="false">IF(OR(AE12="",AF33=""),"",ROUND(AE12*AF33/ОКРУГЛЕННЯ,0)*ОКРУГЛЕННЯ)</f>
        <v/>
      </c>
      <c r="AG12" s="77"/>
      <c r="AH12" s="35" t="str">
        <f aca="false">IF(OR(AG12="",AH33=""),"",ROUND(AG12*AH33/ОКРУГЛЕННЯ,0)*ОКРУГЛЕННЯ)</f>
        <v/>
      </c>
      <c r="AI12" s="77"/>
      <c r="AJ12" s="35" t="str">
        <f aca="false">IF(OR(AI12="",AJ33=""),"",ROUND(AI12*AJ33/ОКРУГЛЕННЯ,0)*ОКРУГЛЕННЯ)</f>
        <v/>
      </c>
      <c r="AK12" s="77"/>
      <c r="AL12" s="35" t="str">
        <f aca="false">IF(OR(AK12="",AL33=""),"",ROUND(AK12*AL33/ОКРУГЛЕННЯ,0)*ОКРУГЛЕННЯ)</f>
        <v/>
      </c>
      <c r="AM12" s="77"/>
      <c r="AN12" s="35" t="str">
        <f aca="false">IF(OR(AM12="",AN33=""),"",ROUND(AM12*AN33/ОКРУГЛЕННЯ,0)*ОКРУГЛЕННЯ)</f>
        <v/>
      </c>
      <c r="AO12" s="77"/>
      <c r="AP12" s="35" t="str">
        <f aca="false">IF(OR(AO12="",AP33=""),"",ROUND(AO12*AP33/ОКРУГЛЕННЯ,0)*ОКРУГЛЕННЯ)</f>
        <v/>
      </c>
      <c r="AQ12" s="77"/>
      <c r="AR12" s="35" t="str">
        <f aca="false">IF(OR(AQ12="",AR33=""),"",ROUND(AQ12*AR33/ОКРУГЛЕННЯ,0)*ОКРУГЛЕННЯ)</f>
        <v/>
      </c>
      <c r="AS12" s="77"/>
      <c r="AT12" s="35" t="str">
        <f aca="false">IF(OR(AS12="",AT33=""),"",ROUND(AS12*AT33/ОКРУГЛЕННЯ,0)*ОКРУГЛЕННЯ)</f>
        <v/>
      </c>
      <c r="AU12" s="77"/>
      <c r="AV12" s="35" t="str">
        <f aca="false">IF(OR(AU12="",AV33=""),"",ROUND(AU12*AV33/ОКРУГЛЕННЯ,0)*ОКРУГЛЕННЯ)</f>
        <v/>
      </c>
      <c r="AW12" s="78" t="n">
        <v>5900</v>
      </c>
      <c r="AX12" s="35" t="n">
        <f aca="false">IF(OR(AW12="",AX33=""),"",ROUND(AW12*AX33/ОКРУГЛЕННЯ,0)*ОКРУГЛЕННЯ)</f>
        <v>6301</v>
      </c>
      <c r="AY12" s="78" t="n">
        <v>6750</v>
      </c>
      <c r="AZ12" s="35" t="n">
        <f aca="false">IF(OR(AY12="",AZ33=""),"",ROUND(AY12*AZ33/ОКРУГЛЕННЯ,0)*ОКРУГЛЕННЯ)</f>
        <v>7101</v>
      </c>
      <c r="BA12" s="78" t="n">
        <v>8100</v>
      </c>
      <c r="BB12" s="35" t="n">
        <f aca="false">IF(OR(BA12="",BB33=""),"",ROUND(BA12*BB33/ОКРУГЛЕННЯ,0)*ОКРУГЛЕННЯ)</f>
        <v>8100</v>
      </c>
      <c r="BC12" s="78" t="n">
        <v>13500</v>
      </c>
      <c r="BD12" s="35" t="n">
        <f aca="false">IF(OR(BC12="",BD33=""),"",ROUND(BC12*BD33/ОКРУГЛЕННЯ,0)*ОКРУГЛЕННЯ)</f>
        <v>13500</v>
      </c>
      <c r="BE12" s="78" t="n">
        <v>6600</v>
      </c>
      <c r="BF12" s="35" t="n">
        <f aca="false">IF(OR(BE12="",BF33=""),"",ROUND(BE12*BF33/ОКРУГЛЕННЯ,0)*ОКРУГЛЕННЯ)</f>
        <v>6930</v>
      </c>
      <c r="BG12" s="78" t="n">
        <v>7700</v>
      </c>
      <c r="BH12" s="35" t="n">
        <f aca="false">IF(OR(BG12="",BH33=""),"",ROUND(BG12*BH33/ОКРУГЛЕННЯ,0)*ОКРУГЛЕННЯ)</f>
        <v>8085</v>
      </c>
      <c r="BI12" s="78" t="n">
        <v>9000</v>
      </c>
      <c r="BJ12" s="35" t="n">
        <f aca="false">IF(OR(BI12="",BJ33=""),"",ROUND(BI12*BJ33/ОКРУГЛЕННЯ,0)*ОКРУГЛЕННЯ)</f>
        <v>9000</v>
      </c>
      <c r="BK12" s="78" t="n">
        <v>15600</v>
      </c>
      <c r="BL12" s="35" t="n">
        <f aca="false">IF(OR(BK12="",BL33=""),"",ROUND(BK12*BL33/ОКРУГЛЕННЯ,0)*ОКРУГЛЕННЯ)</f>
        <v>15600</v>
      </c>
      <c r="BM12" s="77"/>
      <c r="BN12" s="35" t="str">
        <f aca="false">IF(OR(BM12="",BN33=""),"",ROUND(BM12*BN33/ОКРУГЛЕННЯ,0)*ОКРУГЛЕННЯ)</f>
        <v/>
      </c>
      <c r="BO12" s="77"/>
      <c r="BP12" s="35" t="str">
        <f aca="false">IF(OR(BO12="",BP33=""),"",ROUND(BO12*BP33/ОКРУГЛЕННЯ,0)*ОКРУГЛЕННЯ)</f>
        <v/>
      </c>
      <c r="BQ12" s="77"/>
      <c r="BR12" s="35" t="str">
        <f aca="false">IF(OR(BQ12="",BR33=""),"",ROUND(BQ12*BR33/ОКРУГЛЕННЯ,0)*ОКРУГЛЕННЯ)</f>
        <v/>
      </c>
      <c r="BS12" s="77"/>
      <c r="BT12" s="35" t="str">
        <f aca="false">IF(OR(BS12="",BT33=""),"",ROUND(BS12*BT33/ОКРУГЛЕННЯ,0)*ОКРУГЛЕННЯ)</f>
        <v/>
      </c>
      <c r="BU12" s="77"/>
      <c r="BV12" s="35" t="str">
        <f aca="false">IF(OR(BU12="",BV33=""),"",ROUND(BU12*BV33/ОКРУГЛЕННЯ,0)*ОКРУГЛЕННЯ)</f>
        <v/>
      </c>
      <c r="BW12" s="77"/>
      <c r="BX12" s="35" t="str">
        <f aca="false">IF(OR(BW12="",BX33=""),"",ROUND(BW12*BX33/ОКРУГЛЕННЯ,0)*ОКРУГЛЕННЯ)</f>
        <v/>
      </c>
      <c r="BY12" s="77"/>
      <c r="BZ12" s="35" t="str">
        <f aca="false">IF(OR(BY12="",BZ33=""),"",ROUND(BY12*BZ33/ОКРУГЛЕННЯ,0)*ОКРУГЛЕННЯ)</f>
        <v/>
      </c>
      <c r="CA12" s="77"/>
      <c r="CB12" s="35" t="str">
        <f aca="false">IF(OR(CA12="",CB33=""),"",ROUND(CA12*CB33/ОКРУГЛЕННЯ,0)*ОКРУГЛЕННЯ)</f>
        <v/>
      </c>
      <c r="CC12" s="77"/>
      <c r="CD12" s="35" t="str">
        <f aca="false">IF(OR(CC12="",CD33=""),"",ROUND(CC12*CD33/ОКРУГЛЕННЯ,0)*ОКРУГЛЕННЯ)</f>
        <v/>
      </c>
      <c r="CE12" s="77"/>
      <c r="CF12" s="35" t="str">
        <f aca="false">IF(OR(CE12="",CF33=""),"",ROUND(CE12*CF33/ОКРУГЛЕННЯ,0)*ОКРУГЛЕННЯ)</f>
        <v/>
      </c>
      <c r="CG12" s="77"/>
      <c r="CH12" s="35" t="str">
        <f aca="false">IF(OR(CG12="",CH33=""),"",ROUND(CG12*CH33/ОКРУГЛЕННЯ,0)*ОКРУГЛЕННЯ)</f>
        <v/>
      </c>
      <c r="CI12" s="77"/>
      <c r="CJ12" s="35" t="str">
        <f aca="false">IF(OR(CI12="",CJ33=""),"",ROUND(CI12*CJ33/ОКРУГЛЕННЯ,0)*ОКРУГЛЕННЯ)</f>
        <v/>
      </c>
      <c r="CK12" s="77"/>
      <c r="CL12" s="35" t="str">
        <f aca="false">IF(OR(CK12="",CL33=""),"",ROUND(CK12*CL33/ОКРУГЛЕННЯ,0)*ОКРУГЛЕННЯ)</f>
        <v/>
      </c>
      <c r="CM12" s="77"/>
      <c r="CN12" s="35" t="str">
        <f aca="false">IF(OR(CM12="",CN33=""),"",ROUND(CM12*CN33/ОКРУГЛЕННЯ,0)*ОКРУГЛЕННЯ)</f>
        <v/>
      </c>
      <c r="CO12" s="77"/>
      <c r="CP12" s="35" t="str">
        <f aca="false">IF(OR(CO12="",CP33=""),"",ROUND(CO12*CP33/ОКРУГЛЕННЯ,0)*ОКРУГЛЕННЯ)</f>
        <v/>
      </c>
      <c r="CQ12" s="77"/>
      <c r="CR12" s="35" t="str">
        <f aca="false">IF(OR(CQ12="",CR33=""),"",ROUND(CQ12*CR33/ОКРУГЛЕННЯ,0)*ОКРУГЛЕННЯ)</f>
        <v/>
      </c>
      <c r="CS12" s="77"/>
      <c r="CT12" s="35" t="str">
        <f aca="false">IF(OR(CS12="",CT33=""),"",ROUND(CS12*CT33/ОКРУГЛЕННЯ,0)*ОКРУГЛЕННЯ)</f>
        <v/>
      </c>
      <c r="CU12" s="77"/>
      <c r="CV12" s="35" t="str">
        <f aca="false">IF(OR(CU12="",CV33=""),"",ROUND(CU12*CV33/ОКРУГЛЕННЯ,0)*ОКРУГЛЕННЯ)</f>
        <v/>
      </c>
      <c r="CW12" s="77"/>
      <c r="CX12" s="35" t="str">
        <f aca="false">IF(OR(CW12="",CX33=""),"",ROUND(CW12*CX33/ОКРУГЛЕННЯ,0)*ОКРУГЛЕННЯ)</f>
        <v/>
      </c>
      <c r="CY12" s="77"/>
      <c r="CZ12" s="35" t="str">
        <f aca="false">IF(OR(CY12="",CZ33=""),"",ROUND(CY12*CZ33/ОКРУГЛЕННЯ,0)*ОКРУГЛЕННЯ)</f>
        <v/>
      </c>
      <c r="DA12" s="77"/>
      <c r="DB12" s="35" t="str">
        <f aca="false">IF(OR(DA12="",DB33=""),"",ROUND(DA12*DB33/ОКРУГЛЕННЯ,0)*ОКРУГЛЕННЯ)</f>
        <v/>
      </c>
      <c r="DC12" s="77"/>
      <c r="DD12" s="35" t="str">
        <f aca="false">IF(OR(DC12="",DD33=""),"",ROUND(DC12*DD33/ОКРУГЛЕННЯ,0)*ОКРУГЛЕННЯ)</f>
        <v/>
      </c>
      <c r="DE12" s="77"/>
      <c r="DF12" s="35" t="str">
        <f aca="false">IF(OR(DE12="",DF33=""),"",ROUND(DE12*DF33/ОКРУГЛЕННЯ,0)*ОКРУГЛЕННЯ)</f>
        <v/>
      </c>
      <c r="DG12" s="77"/>
      <c r="DH12" s="35" t="str">
        <f aca="false">IF(OR(DG12="",DH33=""),"",ROUND(DG12*DH33/ОКРУГЛЕННЯ,0)*ОКРУГЛЕННЯ)</f>
        <v/>
      </c>
      <c r="DI12" s="77"/>
      <c r="DJ12" s="35" t="str">
        <f aca="false">IF(OR(DI12="",DJ33=""),"",ROUND(DI12*DJ33/ОКРУГЛЕННЯ,0)*ОКРУГЛЕННЯ)</f>
        <v/>
      </c>
      <c r="DK12" s="77"/>
      <c r="DL12" s="35" t="str">
        <f aca="false">IF(OR(DK12="",DL33=""),"",ROUND(DK12*DL33/ОКРУГЛЕННЯ,0)*ОКРУГЛЕННЯ)</f>
        <v/>
      </c>
      <c r="DM12" s="77"/>
      <c r="DN12" s="35" t="str">
        <f aca="false">IF(OR(DM12="",DN33=""),"",ROUND(DM12*DN33/ОКРУГЛЕННЯ,0)*ОКРУГЛЕННЯ)</f>
        <v/>
      </c>
      <c r="DO12" s="77"/>
      <c r="DP12" s="35" t="str">
        <f aca="false">IF(OR(DO12="",DP33=""),"",ROUND(DO12*DP33/ОКРУГЛЕННЯ,0)*ОКРУГЛЕННЯ)</f>
        <v/>
      </c>
      <c r="DQ12" s="77"/>
      <c r="DR12" s="35" t="str">
        <f aca="false">IF(OR(DQ12="",DR33=""),"",ROUND(DQ12*DR33/ОКРУГЛЕННЯ,0)*ОКРУГЛЕННЯ)</f>
        <v/>
      </c>
      <c r="DS12" s="77"/>
      <c r="DT12" s="35" t="str">
        <f aca="false">IF(OR(DS12="",DT33=""),"",ROUND(DS12*DT33/ОКРУГЛЕННЯ,0)*ОКРУГЛЕННЯ)</f>
        <v/>
      </c>
      <c r="DU12" s="77"/>
      <c r="DV12" s="35" t="str">
        <f aca="false">IF(OR(DU12="",DV33=""),"",ROUND(DU12*DV33/ОКРУГЛЕННЯ,0)*ОКРУГЛЕННЯ)</f>
        <v/>
      </c>
      <c r="DW12" s="77"/>
      <c r="DX12" s="35" t="str">
        <f aca="false">IF(OR(DW12="",DX33=""),"",ROUND(DW12*DX33/ОКРУГЛЕННЯ,0)*ОКРУГЛЕННЯ)</f>
        <v/>
      </c>
    </row>
    <row r="13" customFormat="false" ht="15" hidden="false" customHeight="true" outlineLevel="0" collapsed="false">
      <c r="A13" s="63" t="s">
        <v>59</v>
      </c>
      <c r="B13" s="64"/>
      <c r="C13" s="64"/>
      <c r="D13" s="63" t="s">
        <v>36</v>
      </c>
      <c r="E13" s="65"/>
      <c r="F13" s="13" t="s">
        <v>60</v>
      </c>
      <c r="G13" s="13" t="s">
        <v>61</v>
      </c>
      <c r="H13" s="79" t="s">
        <v>62</v>
      </c>
      <c r="I13" s="80" t="n">
        <v>7100</v>
      </c>
      <c r="J13" s="29" t="n">
        <f aca="false">IF(OR(I13="",J35=""),"",ROUND(I13*J35/ОКРУГЛЕННЯ,0)*ОКРУГЛЕННЯ)</f>
        <v>7800</v>
      </c>
      <c r="K13" s="80" t="n">
        <v>9400</v>
      </c>
      <c r="L13" s="29" t="n">
        <f aca="false">IF(OR(K13="",L35=""),"",ROUND(K13*L35/ОКРУГЛЕННЯ,0)*ОКРУГЛЕННЯ)</f>
        <v>10340</v>
      </c>
      <c r="M13" s="80" t="n">
        <v>6580</v>
      </c>
      <c r="N13" s="29" t="n">
        <f aca="false">IF(OR(M13="",N35=""),"",ROUND(M13*N35/ОКРУГЛЕННЯ,0)*ОКРУГЛЕННЯ)</f>
        <v>7238</v>
      </c>
      <c r="O13" s="80" t="n">
        <v>7050</v>
      </c>
      <c r="P13" s="29" t="n">
        <f aca="false">IF(OR(O13="",P35=""),"",ROUND(O13*P35/ОКРУГЛЕННЯ,0)*ОКРУГЛЕННЯ)</f>
        <v>7755</v>
      </c>
      <c r="Q13" s="80" t="n">
        <v>7100</v>
      </c>
      <c r="R13" s="29" t="n">
        <f aca="false">IF(OR(Q13="",R35=""),"",ROUND(Q13*R35/ОКРУГЛЕННЯ,0)*ОКРУГЛЕННЯ)</f>
        <v>7739</v>
      </c>
      <c r="S13" s="80"/>
      <c r="T13" s="29" t="str">
        <f aca="false">IF(OR(S13="",T35=""),"",ROUND(S13*T35/ОКРУГЛЕННЯ,0)*ОКРУГЛЕННЯ)</f>
        <v/>
      </c>
      <c r="U13" s="80" t="n">
        <v>7520</v>
      </c>
      <c r="V13" s="29" t="n">
        <f aca="false">IF(OR(U13="",V35=""),"",ROUND(U13*V35/ОКРУГЛЕННЯ,0)*ОКРУГЛЕННЯ)</f>
        <v>8197</v>
      </c>
      <c r="W13" s="80"/>
      <c r="X13" s="29" t="str">
        <f aca="false">IF(OR(W13="",X35=""),"",ROUND(W13*X35/ОКРУГЛЕННЯ,0)*ОКРУГЛЕННЯ)</f>
        <v/>
      </c>
      <c r="Y13" s="80"/>
      <c r="Z13" s="29" t="str">
        <f aca="false">IF(OR(Y13="",Z35=""),"",ROUND(Y13*Z35/ОКРУГЛЕННЯ,0)*ОКРУГЛЕННЯ)</f>
        <v/>
      </c>
      <c r="AA13" s="80"/>
      <c r="AB13" s="29" t="str">
        <f aca="false">IF(OR(AA13="",AB35=""),"",ROUND(AA13*AB35/ОКРУГЛЕННЯ,0)*ОКРУГЛЕННЯ)</f>
        <v/>
      </c>
      <c r="AC13" s="80"/>
      <c r="AD13" s="29" t="str">
        <f aca="false">IF(OR(AC13="",AD35=""),"",ROUND(AC13*AD35/ОКРУГЛЕННЯ,0)*ОКРУГЛЕННЯ)</f>
        <v/>
      </c>
      <c r="AE13" s="80"/>
      <c r="AF13" s="29" t="str">
        <f aca="false">IF(OR(AE13="",AF35=""),"",ROUND(AE13*AF35/ОКРУГЛЕННЯ,0)*ОКРУГЛЕННЯ)</f>
        <v/>
      </c>
      <c r="AG13" s="80"/>
      <c r="AH13" s="29" t="str">
        <f aca="false">IF(OR(AG13="",AH35=""),"",ROUND(AG13*AH35/ОКРУГЛЕННЯ,0)*ОКРУГЛЕННЯ)</f>
        <v/>
      </c>
      <c r="AI13" s="80"/>
      <c r="AJ13" s="29" t="str">
        <f aca="false">IF(OR(AI13="",AJ35=""),"",ROUND(AI13*AJ35/ОКРУГЛЕННЯ,0)*ОКРУГЛЕННЯ)</f>
        <v/>
      </c>
      <c r="AK13" s="80"/>
      <c r="AL13" s="29" t="str">
        <f aca="false">IF(OR(AK13="",AL35=""),"",ROUND(AK13*AL35/ОКРУГЛЕННЯ,0)*ОКРУГЛЕННЯ)</f>
        <v/>
      </c>
      <c r="AM13" s="80"/>
      <c r="AN13" s="29" t="str">
        <f aca="false">IF(OR(AM13="",AN35=""),"",ROUND(AM13*AN35/ОКРУГЛЕННЯ,0)*ОКРУГЛЕННЯ)</f>
        <v/>
      </c>
      <c r="AO13" s="80"/>
      <c r="AP13" s="29" t="str">
        <f aca="false">IF(OR(AO13="",AP35=""),"",ROUND(AO13*AP35/ОКРУГЛЕННЯ,0)*ОКРУГЛЕННЯ)</f>
        <v/>
      </c>
      <c r="AQ13" s="80"/>
      <c r="AR13" s="29" t="str">
        <f aca="false">IF(OR(AQ13="",AR35=""),"",ROUND(AQ13*AR35/ОКРУГЛЕННЯ,0)*ОКРУГЛЕННЯ)</f>
        <v/>
      </c>
      <c r="AS13" s="80"/>
      <c r="AT13" s="29" t="str">
        <f aca="false">IF(OR(AS13="",AT35=""),"",ROUND(AS13*AT35/ОКРУГЛЕННЯ,0)*ОКРУГЛЕННЯ)</f>
        <v/>
      </c>
      <c r="AU13" s="80"/>
      <c r="AV13" s="29" t="str">
        <f aca="false">IF(OR(AU13="",AV35=""),"",ROUND(AU13*AV35/ОКРУГЛЕННЯ,0)*ОКРУГЛЕННЯ)</f>
        <v/>
      </c>
      <c r="AW13" s="78" t="n">
        <v>7100</v>
      </c>
      <c r="AX13" s="29" t="n">
        <f aca="false">IF(OR(AW13="",AX35=""),"",ROUND(AW13*AX35/ОКРУГЛЕННЯ,0)*ОКРУГЛЕННЯ)</f>
        <v>7803</v>
      </c>
      <c r="AY13" s="78" t="n">
        <v>8100</v>
      </c>
      <c r="AZ13" s="29" t="n">
        <f aca="false">IF(OR(AY13="",AZ35=""),"",ROUND(AY13*AZ35/ОКРУГЛЕННЯ,0)*ОКРУГЛЕННЯ)</f>
        <v>8797</v>
      </c>
      <c r="BA13" s="78" t="n">
        <v>10015</v>
      </c>
      <c r="BB13" s="29" t="n">
        <f aca="false">IF(OR(BA13="",BB35=""),"",ROUND(BA13*BB35/ОКРУГЛЕННЯ,0)*ОКРУГЛЕННЯ)</f>
        <v>10015</v>
      </c>
      <c r="BC13" s="78" t="n">
        <v>16200</v>
      </c>
      <c r="BD13" s="29" t="n">
        <f aca="false">IF(OR(BC13="",BD35=""),"",ROUND(BC13*BD35/ОКРУГЛЕННЯ,0)*ОКРУГЛЕННЯ)</f>
        <v>16200</v>
      </c>
      <c r="BE13" s="78" t="n">
        <v>7900</v>
      </c>
      <c r="BF13" s="29" t="n">
        <f aca="false">IF(OR(BE13="",BF35=""),"",ROUND(BE13*BF35/ОКРУГЛЕННЯ,0)*ОКРУГЛЕННЯ)</f>
        <v>8690</v>
      </c>
      <c r="BG13" s="78" t="n">
        <v>9300</v>
      </c>
      <c r="BH13" s="29" t="n">
        <f aca="false">IF(OR(BG13="",BH35=""),"",ROUND(BG13*BH35/ОКРУГЛЕННЯ,0)*ОКРУГЛЕННЯ)</f>
        <v>10230</v>
      </c>
      <c r="BI13" s="78" t="n">
        <v>11000</v>
      </c>
      <c r="BJ13" s="29" t="n">
        <f aca="false">IF(OR(BI13="",BJ35=""),"",ROUND(BI13*BJ35/ОКРУГЛЕННЯ,0)*ОКРУГЛЕННЯ)</f>
        <v>11000</v>
      </c>
      <c r="BK13" s="78" t="n">
        <v>18900</v>
      </c>
      <c r="BL13" s="29" t="n">
        <f aca="false">IF(OR(BK13="",BL35=""),"",ROUND(BK13*BL35/ОКРУГЛЕННЯ,0)*ОКРУГЛЕННЯ)</f>
        <v>18900</v>
      </c>
      <c r="BM13" s="80"/>
      <c r="BN13" s="29" t="str">
        <f aca="false">IF(OR(BM13="",BN35=""),"",ROUND(BM13*BN35/ОКРУГЛЕННЯ,0)*ОКРУГЛЕННЯ)</f>
        <v/>
      </c>
      <c r="BO13" s="80"/>
      <c r="BP13" s="29" t="str">
        <f aca="false">IF(OR(BO13="",BP35=""),"",ROUND(BO13*BP35/ОКРУГЛЕННЯ,0)*ОКРУГЛЕННЯ)</f>
        <v/>
      </c>
      <c r="BQ13" s="80"/>
      <c r="BR13" s="29" t="str">
        <f aca="false">IF(OR(BQ13="",BR35=""),"",ROUND(BQ13*BR35/ОКРУГЛЕННЯ,0)*ОКРУГЛЕННЯ)</f>
        <v/>
      </c>
      <c r="BS13" s="80"/>
      <c r="BT13" s="29" t="str">
        <f aca="false">IF(OR(BS13="",BT35=""),"",ROUND(BS13*BT35/ОКРУГЛЕННЯ,0)*ОКРУГЛЕННЯ)</f>
        <v/>
      </c>
      <c r="BU13" s="80"/>
      <c r="BV13" s="29" t="str">
        <f aca="false">IF(OR(BU13="",BV35=""),"",ROUND(BU13*BV35/ОКРУГЛЕННЯ,0)*ОКРУГЛЕННЯ)</f>
        <v/>
      </c>
      <c r="BW13" s="80"/>
      <c r="BX13" s="29" t="str">
        <f aca="false">IF(OR(BW13="",BX35=""),"",ROUND(BW13*BX35/ОКРУГЛЕННЯ,0)*ОКРУГЛЕННЯ)</f>
        <v/>
      </c>
      <c r="BY13" s="80"/>
      <c r="BZ13" s="29" t="str">
        <f aca="false">IF(OR(BY13="",BZ35=""),"",ROUND(BY13*BZ35/ОКРУГЛЕННЯ,0)*ОКРУГЛЕННЯ)</f>
        <v/>
      </c>
      <c r="CA13" s="80"/>
      <c r="CB13" s="29" t="str">
        <f aca="false">IF(OR(CA13="",CB35=""),"",ROUND(CA13*CB35/ОКРУГЛЕННЯ,0)*ОКРУГЛЕННЯ)</f>
        <v/>
      </c>
      <c r="CC13" s="80"/>
      <c r="CD13" s="29" t="str">
        <f aca="false">IF(OR(CC13="",CD35=""),"",ROUND(CC13*CD35/ОКРУГЛЕННЯ,0)*ОКРУГЛЕННЯ)</f>
        <v/>
      </c>
      <c r="CE13" s="80"/>
      <c r="CF13" s="29" t="str">
        <f aca="false">IF(OR(CE13="",CF35=""),"",ROUND(CE13*CF35/ОКРУГЛЕННЯ,0)*ОКРУГЛЕННЯ)</f>
        <v/>
      </c>
      <c r="CG13" s="80"/>
      <c r="CH13" s="29" t="str">
        <f aca="false">IF(OR(CG13="",CH35=""),"",ROUND(CG13*CH35/ОКРУГЛЕННЯ,0)*ОКРУГЛЕННЯ)</f>
        <v/>
      </c>
      <c r="CI13" s="80"/>
      <c r="CJ13" s="29" t="str">
        <f aca="false">IF(OR(CI13="",CJ35=""),"",ROUND(CI13*CJ35/ОКРУГЛЕННЯ,0)*ОКРУГЛЕННЯ)</f>
        <v/>
      </c>
      <c r="CK13" s="80"/>
      <c r="CL13" s="29" t="str">
        <f aca="false">IF(OR(CK13="",CL35=""),"",ROUND(CK13*CL35/ОКРУГЛЕННЯ,0)*ОКРУГЛЕННЯ)</f>
        <v/>
      </c>
      <c r="CM13" s="80"/>
      <c r="CN13" s="29" t="str">
        <f aca="false">IF(OR(CM13="",CN35=""),"",ROUND(CM13*CN35/ОКРУГЛЕННЯ,0)*ОКРУГЛЕННЯ)</f>
        <v/>
      </c>
      <c r="CO13" s="80"/>
      <c r="CP13" s="29" t="str">
        <f aca="false">IF(OR(CO13="",CP35=""),"",ROUND(CO13*CP35/ОКРУГЛЕННЯ,0)*ОКРУГЛЕННЯ)</f>
        <v/>
      </c>
      <c r="CQ13" s="80"/>
      <c r="CR13" s="29" t="str">
        <f aca="false">IF(OR(CQ13="",CR35=""),"",ROUND(CQ13*CR35/ОКРУГЛЕННЯ,0)*ОКРУГЛЕННЯ)</f>
        <v/>
      </c>
      <c r="CS13" s="80"/>
      <c r="CT13" s="29" t="str">
        <f aca="false">IF(OR(CS13="",CT35=""),"",ROUND(CS13*CT35/ОКРУГЛЕННЯ,0)*ОКРУГЛЕННЯ)</f>
        <v/>
      </c>
      <c r="CU13" s="80"/>
      <c r="CV13" s="29" t="str">
        <f aca="false">IF(OR(CU13="",CV35=""),"",ROUND(CU13*CV35/ОКРУГЛЕННЯ,0)*ОКРУГЛЕННЯ)</f>
        <v/>
      </c>
      <c r="CW13" s="80"/>
      <c r="CX13" s="29" t="str">
        <f aca="false">IF(OR(CW13="",CX35=""),"",ROUND(CW13*CX35/ОКРУГЛЕННЯ,0)*ОКРУГЛЕННЯ)</f>
        <v/>
      </c>
      <c r="CY13" s="80"/>
      <c r="CZ13" s="29" t="str">
        <f aca="false">IF(OR(CY13="",CZ35=""),"",ROUND(CY13*CZ35/ОКРУГЛЕННЯ,0)*ОКРУГЛЕННЯ)</f>
        <v/>
      </c>
      <c r="DA13" s="80"/>
      <c r="DB13" s="29" t="str">
        <f aca="false">IF(OR(DA13="",DB35=""),"",ROUND(DA13*DB35/ОКРУГЛЕННЯ,0)*ОКРУГЛЕННЯ)</f>
        <v/>
      </c>
      <c r="DC13" s="80"/>
      <c r="DD13" s="29" t="str">
        <f aca="false">IF(OR(DC13="",DD35=""),"",ROUND(DC13*DD35/ОКРУГЛЕННЯ,0)*ОКРУГЛЕННЯ)</f>
        <v/>
      </c>
      <c r="DE13" s="80"/>
      <c r="DF13" s="29" t="str">
        <f aca="false">IF(OR(DE13="",DF35=""),"",ROUND(DE13*DF35/ОКРУГЛЕННЯ,0)*ОКРУГЛЕННЯ)</f>
        <v/>
      </c>
      <c r="DG13" s="80"/>
      <c r="DH13" s="29" t="str">
        <f aca="false">IF(OR(DG13="",DH35=""),"",ROUND(DG13*DH35/ОКРУГЛЕННЯ,0)*ОКРУГЛЕННЯ)</f>
        <v/>
      </c>
      <c r="DI13" s="80"/>
      <c r="DJ13" s="29" t="str">
        <f aca="false">IF(OR(DI13="",DJ35=""),"",ROUND(DI13*DJ35/ОКРУГЛЕННЯ,0)*ОКРУГЛЕННЯ)</f>
        <v/>
      </c>
      <c r="DK13" s="80"/>
      <c r="DL13" s="29" t="str">
        <f aca="false">IF(OR(DK13="",DL35=""),"",ROUND(DK13*DL35/ОКРУГЛЕННЯ,0)*ОКРУГЛЕННЯ)</f>
        <v/>
      </c>
      <c r="DM13" s="80"/>
      <c r="DN13" s="29" t="str">
        <f aca="false">IF(OR(DM13="",DN35=""),"",ROUND(DM13*DN35/ОКРУГЛЕННЯ,0)*ОКРУГЛЕННЯ)</f>
        <v/>
      </c>
      <c r="DO13" s="80"/>
      <c r="DP13" s="29" t="str">
        <f aca="false">IF(OR(DO13="",DP35=""),"",ROUND(DO13*DP35/ОКРУГЛЕННЯ,0)*ОКРУГЛЕННЯ)</f>
        <v/>
      </c>
      <c r="DQ13" s="80"/>
      <c r="DR13" s="29" t="str">
        <f aca="false">IF(OR(DQ13="",DR35=""),"",ROUND(DQ13*DR35/ОКРУГЛЕННЯ,0)*ОКРУГЛЕННЯ)</f>
        <v/>
      </c>
      <c r="DS13" s="80"/>
      <c r="DT13" s="29" t="str">
        <f aca="false">IF(OR(DS13="",DT35=""),"",ROUND(DS13*DT35/ОКРУГЛЕННЯ,0)*ОКРУГЛЕННЯ)</f>
        <v/>
      </c>
      <c r="DU13" s="80"/>
      <c r="DV13" s="29" t="str">
        <f aca="false">IF(OR(DU13="",DV35=""),"",ROUND(DU13*DV35/ОКРУГЛЕННЯ,0)*ОКРУГЛЕННЯ)</f>
        <v/>
      </c>
      <c r="DW13" s="80"/>
      <c r="DX13" s="29" t="str">
        <f aca="false">IF(OR(DW13="",DX35=""),"",ROUND(DW13*DX35/ОКРУГЛЕННЯ,0)*ОКРУГЛЕННЯ)</f>
        <v/>
      </c>
    </row>
    <row r="14" customFormat="false" ht="15" hidden="false" customHeight="true" outlineLevel="0" collapsed="false">
      <c r="A14" s="57" t="s">
        <v>63</v>
      </c>
      <c r="B14" s="58"/>
      <c r="C14" s="58"/>
      <c r="D14" s="57" t="s">
        <v>36</v>
      </c>
      <c r="E14" s="59"/>
      <c r="F14" s="6" t="s">
        <v>64</v>
      </c>
      <c r="G14" s="66" t="n">
        <v>0</v>
      </c>
      <c r="H14" s="76" t="s">
        <v>65</v>
      </c>
      <c r="I14" s="77" t="n">
        <v>2900</v>
      </c>
      <c r="J14" s="35" t="n">
        <f aca="false">IF(OR(I14="",J40=""),"",ROUND(I14*J40/ОКРУГЛЕННЯ,0)*ОКРУГЛЕННЯ)</f>
        <v>3200</v>
      </c>
      <c r="K14" s="77" t="n">
        <v>3385</v>
      </c>
      <c r="L14" s="35" t="n">
        <f aca="false">IF(OR(K14="",L40=""),"",ROUND(K14*L40/ОКРУГЛЕННЯ,0)*ОКРУГЛЕННЯ)</f>
        <v>3724</v>
      </c>
      <c r="M14" s="77" t="n">
        <v>2370</v>
      </c>
      <c r="N14" s="35" t="n">
        <f aca="false">IF(OR(M14="",N40=""),"",ROUND(M14*N40/ОКРУГЛЕННЯ,0)*ОКРУГЛЕННЯ)</f>
        <v>2607</v>
      </c>
      <c r="O14" s="77" t="n">
        <v>2539</v>
      </c>
      <c r="P14" s="35" t="n">
        <f aca="false">IF(OR(O14="",P40=""),"",ROUND(O14*P40/ОКРУГЛЕННЯ,0)*ОКРУГЛЕННЯ)</f>
        <v>2793</v>
      </c>
      <c r="Q14" s="77" t="n">
        <v>2600</v>
      </c>
      <c r="R14" s="35" t="n">
        <f aca="false">IF(OR(Q14="",R40=""),"",ROUND(Q14*R40/ОКРУГЛЕННЯ,0)*ОКРУГЛЕННЯ)</f>
        <v>2860</v>
      </c>
      <c r="S14" s="77"/>
      <c r="T14" s="35" t="str">
        <f aca="false">IF(OR(S14="",T40=""),"",ROUND(S14*T40/ОКРУГЛЕННЯ,0)*ОКРУГЛЕННЯ)</f>
        <v/>
      </c>
      <c r="U14" s="77" t="n">
        <v>2700</v>
      </c>
      <c r="V14" s="35" t="n">
        <f aca="false">IF(OR(U14="",V40=""),"",ROUND(U14*V40/ОКРУГЛЕННЯ,0)*ОКРУГЛЕННЯ)</f>
        <v>2970</v>
      </c>
      <c r="W14" s="77"/>
      <c r="X14" s="35" t="str">
        <f aca="false">IF(OR(W14="",X40=""),"",ROUND(W14*X40/ОКРУГЛЕННЯ,0)*ОКРУГЛЕННЯ)</f>
        <v/>
      </c>
      <c r="Y14" s="77"/>
      <c r="Z14" s="35" t="str">
        <f aca="false">IF(OR(Y14="",Z40=""),"",ROUND(Y14*Z40/ОКРУГЛЕННЯ,0)*ОКРУГЛЕННЯ)</f>
        <v/>
      </c>
      <c r="AA14" s="77"/>
      <c r="AB14" s="35" t="str">
        <f aca="false">IF(OR(AA14="",AB40=""),"",ROUND(AA14*AB40/ОКРУГЛЕННЯ,0)*ОКРУГЛЕННЯ)</f>
        <v/>
      </c>
      <c r="AC14" s="77"/>
      <c r="AD14" s="35" t="str">
        <f aca="false">IF(OR(AC14="",AD40=""),"",ROUND(AC14*AD40/ОКРУГЛЕННЯ,0)*ОКРУГЛЕННЯ)</f>
        <v/>
      </c>
      <c r="AE14" s="77"/>
      <c r="AF14" s="35" t="str">
        <f aca="false">IF(OR(AE14="",AF40=""),"",ROUND(AE14*AF40/ОКРУГЛЕННЯ,0)*ОКРУГЛЕННЯ)</f>
        <v/>
      </c>
      <c r="AG14" s="77"/>
      <c r="AH14" s="35" t="str">
        <f aca="false">IF(OR(AG14="",AH40=""),"",ROUND(AG14*AH40/ОКРУГЛЕННЯ,0)*ОКРУГЛЕННЯ)</f>
        <v/>
      </c>
      <c r="AI14" s="77"/>
      <c r="AJ14" s="35" t="str">
        <f aca="false">IF(OR(AI14="",AJ40=""),"",ROUND(AI14*AJ40/ОКРУГЛЕННЯ,0)*ОКРУГЛЕННЯ)</f>
        <v/>
      </c>
      <c r="AK14" s="77"/>
      <c r="AL14" s="35" t="str">
        <f aca="false">IF(OR(AK14="",AL40=""),"",ROUND(AK14*AL40/ОКРУГЛЕННЯ,0)*ОКРУГЛЕННЯ)</f>
        <v/>
      </c>
      <c r="AM14" s="77"/>
      <c r="AN14" s="35" t="str">
        <f aca="false">IF(OR(AM14="",AN40=""),"",ROUND(AM14*AN40/ОКРУГЛЕННЯ,0)*ОКРУГЛЕННЯ)</f>
        <v/>
      </c>
      <c r="AO14" s="77"/>
      <c r="AP14" s="35" t="str">
        <f aca="false">IF(OR(AO14="",AP40=""),"",ROUND(AO14*AP40/ОКРУГЛЕННЯ,0)*ОКРУГЛЕННЯ)</f>
        <v/>
      </c>
      <c r="AQ14" s="77"/>
      <c r="AR14" s="35" t="str">
        <f aca="false">IF(OR(AQ14="",AR40=""),"",ROUND(AQ14*AR40/ОКРУГЛЕННЯ,0)*ОКРУГЛЕННЯ)</f>
        <v/>
      </c>
      <c r="AS14" s="77"/>
      <c r="AT14" s="35" t="str">
        <f aca="false">IF(OR(AS14="",AT40=""),"",ROUND(AS14*AT40/ОКРУГЛЕННЯ,0)*ОКРУГЛЕННЯ)</f>
        <v/>
      </c>
      <c r="AU14" s="77"/>
      <c r="AV14" s="35" t="str">
        <f aca="false">IF(OR(AU14="",AV40=""),"",ROUND(AU14*AV40/ОКРУГЛЕННЯ,0)*ОКРУГЛЕННЯ)</f>
        <v/>
      </c>
      <c r="AW14" s="78" t="n">
        <v>2900</v>
      </c>
      <c r="AX14" s="35" t="n">
        <f aca="false">IF(OR(AW14="",AX40=""),"",ROUND(AW14*AX40/ОКРУГЛЕННЯ,0)*ОКРУГЛЕННЯ)</f>
        <v>3199</v>
      </c>
      <c r="AY14" s="78" t="n">
        <v>3300</v>
      </c>
      <c r="AZ14" s="35" t="n">
        <f aca="false">IF(OR(AY14="",AZ40=""),"",ROUND(AY14*AZ40/ОКРУГЛЕННЯ,0)*ОКРУГЛЕННЯ)</f>
        <v>3600</v>
      </c>
      <c r="BA14" s="78" t="n">
        <v>4095</v>
      </c>
      <c r="BB14" s="35" t="n">
        <f aca="false">IF(OR(BA14="",BB40=""),"",ROUND(BA14*BB40/ОКРУГЛЕННЯ,0)*ОКРУГЛЕННЯ)</f>
        <v>4095</v>
      </c>
      <c r="BC14" s="78" t="n">
        <v>7400</v>
      </c>
      <c r="BD14" s="35" t="n">
        <f aca="false">IF(OR(BC14="",BD40=""),"",ROUND(BC14*BD40/ОКРУГЛЕННЯ,0)*ОКРУГЛЕННЯ)</f>
        <v>7400</v>
      </c>
      <c r="BE14" s="78" t="n">
        <v>3300</v>
      </c>
      <c r="BF14" s="35" t="n">
        <f aca="false">IF(OR(BE14="",BF40=""),"",ROUND(BE14*BF40/ОКРУГЛЕННЯ,0)*ОКРУГЛЕННЯ)</f>
        <v>3630</v>
      </c>
      <c r="BG14" s="78" t="n">
        <v>3800</v>
      </c>
      <c r="BH14" s="35" t="n">
        <f aca="false">IF(OR(BG14="",BH40=""),"",ROUND(BG14*BH40/ОКРУГЛЕННЯ,0)*ОКРУГЛЕННЯ)</f>
        <v>4180</v>
      </c>
      <c r="BI14" s="78" t="n">
        <v>4600</v>
      </c>
      <c r="BJ14" s="35" t="n">
        <f aca="false">IF(OR(BI14="",BJ40=""),"",ROUND(BI14*BJ40/ОКРУГЛЕННЯ,0)*ОКРУГЛЕННЯ)</f>
        <v>4600</v>
      </c>
      <c r="BK14" s="78" t="n">
        <v>8200</v>
      </c>
      <c r="BL14" s="35" t="n">
        <f aca="false">IF(OR(BK14="",BL40=""),"",ROUND(BK14*BL40/ОКРУГЛЕННЯ,0)*ОКРУГЛЕННЯ)</f>
        <v>8200</v>
      </c>
      <c r="BM14" s="77"/>
      <c r="BN14" s="35" t="str">
        <f aca="false">IF(OR(BM14="",BN40=""),"",ROUND(BM14*BN40/ОКРУГЛЕННЯ,0)*ОКРУГЛЕННЯ)</f>
        <v/>
      </c>
      <c r="BO14" s="77"/>
      <c r="BP14" s="35" t="str">
        <f aca="false">IF(OR(BO14="",BP40=""),"",ROUND(BO14*BP40/ОКРУГЛЕННЯ,0)*ОКРУГЛЕННЯ)</f>
        <v/>
      </c>
      <c r="BQ14" s="77"/>
      <c r="BR14" s="35" t="str">
        <f aca="false">IF(OR(BQ14="",BR40=""),"",ROUND(BQ14*BR40/ОКРУГЛЕННЯ,0)*ОКРУГЛЕННЯ)</f>
        <v/>
      </c>
      <c r="BS14" s="77"/>
      <c r="BT14" s="35" t="str">
        <f aca="false">IF(OR(BS14="",BT40=""),"",ROUND(BS14*BT40/ОКРУГЛЕННЯ,0)*ОКРУГЛЕННЯ)</f>
        <v/>
      </c>
      <c r="BU14" s="77"/>
      <c r="BV14" s="35" t="str">
        <f aca="false">IF(OR(BU14="",BV40=""),"",ROUND(BU14*BV40/ОКРУГЛЕННЯ,0)*ОКРУГЛЕННЯ)</f>
        <v/>
      </c>
      <c r="BW14" s="77"/>
      <c r="BX14" s="35" t="str">
        <f aca="false">IF(OR(BW14="",BX40=""),"",ROUND(BW14*BX40/ОКРУГЛЕННЯ,0)*ОКРУГЛЕННЯ)</f>
        <v/>
      </c>
      <c r="BY14" s="77"/>
      <c r="BZ14" s="35" t="str">
        <f aca="false">IF(OR(BY14="",BZ40=""),"",ROUND(BY14*BZ40/ОКРУГЛЕННЯ,0)*ОКРУГЛЕННЯ)</f>
        <v/>
      </c>
      <c r="CA14" s="77"/>
      <c r="CB14" s="35" t="str">
        <f aca="false">IF(OR(CA14="",CB40=""),"",ROUND(CA14*CB40/ОКРУГЛЕННЯ,0)*ОКРУГЛЕННЯ)</f>
        <v/>
      </c>
      <c r="CC14" s="77"/>
      <c r="CD14" s="35" t="str">
        <f aca="false">IF(OR(CC14="",CD40=""),"",ROUND(CC14*CD40/ОКРУГЛЕННЯ,0)*ОКРУГЛЕННЯ)</f>
        <v/>
      </c>
      <c r="CE14" s="77"/>
      <c r="CF14" s="35" t="str">
        <f aca="false">IF(OR(CE14="",CF40=""),"",ROUND(CE14*CF40/ОКРУГЛЕННЯ,0)*ОКРУГЛЕННЯ)</f>
        <v/>
      </c>
      <c r="CG14" s="77"/>
      <c r="CH14" s="35" t="str">
        <f aca="false">IF(OR(CG14="",CH40=""),"",ROUND(CG14*CH40/ОКРУГЛЕННЯ,0)*ОКРУГЛЕННЯ)</f>
        <v/>
      </c>
      <c r="CI14" s="77"/>
      <c r="CJ14" s="35" t="str">
        <f aca="false">IF(OR(CI14="",CJ40=""),"",ROUND(CI14*CJ40/ОКРУГЛЕННЯ,0)*ОКРУГЛЕННЯ)</f>
        <v/>
      </c>
      <c r="CK14" s="77"/>
      <c r="CL14" s="35" t="str">
        <f aca="false">IF(OR(CK14="",CL40=""),"",ROUND(CK14*CL40/ОКРУГЛЕННЯ,0)*ОКРУГЛЕННЯ)</f>
        <v/>
      </c>
      <c r="CM14" s="77"/>
      <c r="CN14" s="35" t="str">
        <f aca="false">IF(OR(CM14="",CN40=""),"",ROUND(CM14*CN40/ОКРУГЛЕННЯ,0)*ОКРУГЛЕННЯ)</f>
        <v/>
      </c>
      <c r="CO14" s="77"/>
      <c r="CP14" s="35" t="str">
        <f aca="false">IF(OR(CO14="",CP40=""),"",ROUND(CO14*CP40/ОКРУГЛЕННЯ,0)*ОКРУГЛЕННЯ)</f>
        <v/>
      </c>
      <c r="CQ14" s="77"/>
      <c r="CR14" s="35" t="str">
        <f aca="false">IF(OR(CQ14="",CR40=""),"",ROUND(CQ14*CR40/ОКРУГЛЕННЯ,0)*ОКРУГЛЕННЯ)</f>
        <v/>
      </c>
      <c r="CS14" s="77"/>
      <c r="CT14" s="35" t="str">
        <f aca="false">IF(OR(CS14="",CT40=""),"",ROUND(CS14*CT40/ОКРУГЛЕННЯ,0)*ОКРУГЛЕННЯ)</f>
        <v/>
      </c>
      <c r="CU14" s="77"/>
      <c r="CV14" s="35" t="str">
        <f aca="false">IF(OR(CU14="",CV40=""),"",ROUND(CU14*CV40/ОКРУГЛЕННЯ,0)*ОКРУГЛЕННЯ)</f>
        <v/>
      </c>
      <c r="CW14" s="77"/>
      <c r="CX14" s="35" t="str">
        <f aca="false">IF(OR(CW14="",CX40=""),"",ROUND(CW14*CX40/ОКРУГЛЕННЯ,0)*ОКРУГЛЕННЯ)</f>
        <v/>
      </c>
      <c r="CY14" s="77"/>
      <c r="CZ14" s="35" t="str">
        <f aca="false">IF(OR(CY14="",CZ40=""),"",ROUND(CY14*CZ40/ОКРУГЛЕННЯ,0)*ОКРУГЛЕННЯ)</f>
        <v/>
      </c>
      <c r="DA14" s="77"/>
      <c r="DB14" s="35" t="str">
        <f aca="false">IF(OR(DA14="",DB40=""),"",ROUND(DA14*DB40/ОКРУГЛЕННЯ,0)*ОКРУГЛЕННЯ)</f>
        <v/>
      </c>
      <c r="DC14" s="77"/>
      <c r="DD14" s="35" t="str">
        <f aca="false">IF(OR(DC14="",DD40=""),"",ROUND(DC14*DD40/ОКРУГЛЕННЯ,0)*ОКРУГЛЕННЯ)</f>
        <v/>
      </c>
      <c r="DE14" s="77"/>
      <c r="DF14" s="35" t="str">
        <f aca="false">IF(OR(DE14="",DF40=""),"",ROUND(DE14*DF40/ОКРУГЛЕННЯ,0)*ОКРУГЛЕННЯ)</f>
        <v/>
      </c>
      <c r="DG14" s="77"/>
      <c r="DH14" s="35" t="str">
        <f aca="false">IF(OR(DG14="",DH40=""),"",ROUND(DG14*DH40/ОКРУГЛЕННЯ,0)*ОКРУГЛЕННЯ)</f>
        <v/>
      </c>
      <c r="DI14" s="77"/>
      <c r="DJ14" s="35" t="str">
        <f aca="false">IF(OR(DI14="",DJ40=""),"",ROUND(DI14*DJ40/ОКРУГЛЕННЯ,0)*ОКРУГЛЕННЯ)</f>
        <v/>
      </c>
      <c r="DK14" s="77"/>
      <c r="DL14" s="35" t="str">
        <f aca="false">IF(OR(DK14="",DL40=""),"",ROUND(DK14*DL40/ОКРУГЛЕННЯ,0)*ОКРУГЛЕННЯ)</f>
        <v/>
      </c>
      <c r="DM14" s="77"/>
      <c r="DN14" s="35" t="str">
        <f aca="false">IF(OR(DM14="",DN40=""),"",ROUND(DM14*DN40/ОКРУГЛЕННЯ,0)*ОКРУГЛЕННЯ)</f>
        <v/>
      </c>
      <c r="DO14" s="77"/>
      <c r="DP14" s="35" t="str">
        <f aca="false">IF(OR(DO14="",DP40=""),"",ROUND(DO14*DP40/ОКРУГЛЕННЯ,0)*ОКРУГЛЕННЯ)</f>
        <v/>
      </c>
      <c r="DQ14" s="77"/>
      <c r="DR14" s="35" t="str">
        <f aca="false">IF(OR(DQ14="",DR40=""),"",ROUND(DQ14*DR40/ОКРУГЛЕННЯ,0)*ОКРУГЛЕННЯ)</f>
        <v/>
      </c>
      <c r="DS14" s="77"/>
      <c r="DT14" s="35" t="str">
        <f aca="false">IF(OR(DS14="",DT40=""),"",ROUND(DS14*DT40/ОКРУГЛЕННЯ,0)*ОКРУГЛЕННЯ)</f>
        <v/>
      </c>
      <c r="DU14" s="77"/>
      <c r="DV14" s="35" t="str">
        <f aca="false">IF(OR(DU14="",DV40=""),"",ROUND(DU14*DV40/ОКРУГЛЕННЯ,0)*ОКРУГЛЕННЯ)</f>
        <v/>
      </c>
      <c r="DW14" s="77"/>
      <c r="DX14" s="35" t="str">
        <f aca="false">IF(OR(DW14="",DX40=""),"",ROUND(DW14*DX40/ОКРУГЛЕННЯ,0)*ОКРУГЛЕННЯ)</f>
        <v/>
      </c>
    </row>
    <row r="15" customFormat="false" ht="15" hidden="false" customHeight="true" outlineLevel="0" collapsed="false">
      <c r="A15" s="81" t="s">
        <v>66</v>
      </c>
      <c r="B15" s="82"/>
      <c r="C15" s="82"/>
      <c r="D15" s="81" t="s">
        <v>36</v>
      </c>
      <c r="E15" s="83"/>
      <c r="F15" s="6" t="s">
        <v>5</v>
      </c>
      <c r="G15" s="66" t="n">
        <v>0.1</v>
      </c>
      <c r="H15" s="76" t="s">
        <v>67</v>
      </c>
      <c r="I15" s="77" t="n">
        <v>4200</v>
      </c>
      <c r="J15" s="35" t="n">
        <f aca="false">IF(OR(I15="",J45=""),"",ROUND(I15*J45/ОКРУГЛЕННЯ,0)*ОКРУГЛЕННЯ)</f>
        <v>4500</v>
      </c>
      <c r="K15" s="77" t="n">
        <v>4185</v>
      </c>
      <c r="L15" s="35" t="n">
        <f aca="false">IF(OR(K15="",L45=""),"",ROUND(K15*L45/ОКРУГЛЕННЯ,0)*ОКРУГЛЕННЯ)</f>
        <v>4478</v>
      </c>
      <c r="M15" s="77" t="n">
        <v>2930</v>
      </c>
      <c r="N15" s="35" t="n">
        <f aca="false">IF(OR(M15="",N45=""),"",ROUND(M15*N45/ОКРУГЛЕННЯ,0)*ОКРУГЛЕННЯ)</f>
        <v>3135</v>
      </c>
      <c r="O15" s="77" t="n">
        <v>3348</v>
      </c>
      <c r="P15" s="35" t="n">
        <f aca="false">IF(OR(O15="",P45=""),"",ROUND(O15*P45/ОКРУГЛЕННЯ,0)*ОКРУГЛЕННЯ)</f>
        <v>3582</v>
      </c>
      <c r="Q15" s="77" t="n">
        <v>3400</v>
      </c>
      <c r="R15" s="35" t="n">
        <f aca="false">IF(OR(Q15="",R45=""),"",ROUND(Q15*R45/ОКРУГЛЕННЯ,0)*ОКРУГЛЕННЯ)</f>
        <v>3638</v>
      </c>
      <c r="S15" s="77"/>
      <c r="T15" s="35" t="str">
        <f aca="false">IF(OR(S15="",T45=""),"",ROUND(S15*T45/ОКРУГЛЕННЯ,0)*ОКРУГЛЕННЯ)</f>
        <v/>
      </c>
      <c r="U15" s="77" t="n">
        <v>3400</v>
      </c>
      <c r="V15" s="35" t="n">
        <f aca="false">IF(OR(U15="",V45=""),"",ROUND(U15*V45/ОКРУГЛЕННЯ,0)*ОКРУГЛЕННЯ)</f>
        <v>3638</v>
      </c>
      <c r="W15" s="77"/>
      <c r="X15" s="35" t="str">
        <f aca="false">IF(OR(W15="",X45=""),"",ROUND(W15*X45/ОКРУГЛЕННЯ,0)*ОКРУГЛЕННЯ)</f>
        <v/>
      </c>
      <c r="Y15" s="77"/>
      <c r="Z15" s="35" t="str">
        <f aca="false">IF(OR(Y15="",Z45=""),"",ROUND(Y15*Z45/ОКРУГЛЕННЯ,0)*ОКРУГЛЕННЯ)</f>
        <v/>
      </c>
      <c r="AA15" s="77"/>
      <c r="AB15" s="35" t="str">
        <f aca="false">IF(OR(AA15="",AB45=""),"",ROUND(AA15*AB45/ОКРУГЛЕННЯ,0)*ОКРУГЛЕННЯ)</f>
        <v/>
      </c>
      <c r="AC15" s="77"/>
      <c r="AD15" s="35" t="str">
        <f aca="false">IF(OR(AC15="",AD45=""),"",ROUND(AC15*AD45/ОКРУГЛЕННЯ,0)*ОКРУГЛЕННЯ)</f>
        <v/>
      </c>
      <c r="AE15" s="77"/>
      <c r="AF15" s="35" t="str">
        <f aca="false">IF(OR(AE15="",AF45=""),"",ROUND(AE15*AF45/ОКРУГЛЕННЯ,0)*ОКРУГЛЕННЯ)</f>
        <v/>
      </c>
      <c r="AG15" s="77"/>
      <c r="AH15" s="35" t="str">
        <f aca="false">IF(OR(AG15="",AH45=""),"",ROUND(AG15*AH45/ОКРУГЛЕННЯ,0)*ОКРУГЛЕННЯ)</f>
        <v/>
      </c>
      <c r="AI15" s="77"/>
      <c r="AJ15" s="35" t="str">
        <f aca="false">IF(OR(AI15="",AJ45=""),"",ROUND(AI15*AJ45/ОКРУГЛЕННЯ,0)*ОКРУГЛЕННЯ)</f>
        <v/>
      </c>
      <c r="AK15" s="77"/>
      <c r="AL15" s="35" t="str">
        <f aca="false">IF(OR(AK15="",AL45=""),"",ROUND(AK15*AL45/ОКРУГЛЕННЯ,0)*ОКРУГЛЕННЯ)</f>
        <v/>
      </c>
      <c r="AM15" s="77"/>
      <c r="AN15" s="35" t="str">
        <f aca="false">IF(OR(AM15="",AN45=""),"",ROUND(AM15*AN45/ОКРУГЛЕННЯ,0)*ОКРУГЛЕННЯ)</f>
        <v/>
      </c>
      <c r="AO15" s="77"/>
      <c r="AP15" s="35" t="str">
        <f aca="false">IF(OR(AO15="",AP45=""),"",ROUND(AO15*AP45/ОКРУГЛЕННЯ,0)*ОКРУГЛЕННЯ)</f>
        <v/>
      </c>
      <c r="AQ15" s="77"/>
      <c r="AR15" s="35" t="str">
        <f aca="false">IF(OR(AQ15="",AR45=""),"",ROUND(AQ15*AR45/ОКРУГЛЕННЯ,0)*ОКРУГЛЕННЯ)</f>
        <v/>
      </c>
      <c r="AS15" s="77"/>
      <c r="AT15" s="35" t="str">
        <f aca="false">IF(OR(AS15="",AT45=""),"",ROUND(AS15*AT45/ОКРУГЛЕННЯ,0)*ОКРУГЛЕННЯ)</f>
        <v/>
      </c>
      <c r="AU15" s="77"/>
      <c r="AV15" s="35" t="str">
        <f aca="false">IF(OR(AU15="",AV45=""),"",ROUND(AU15*AV45/ОКРУГЛЕННЯ,0)*ОКРУГЛЕННЯ)</f>
        <v/>
      </c>
      <c r="AW15" s="78" t="n">
        <v>4200</v>
      </c>
      <c r="AX15" s="35" t="n">
        <f aca="false">IF(OR(AW15="",AX45=""),"",ROUND(AW15*AX45/ОКРУГЛЕННЯ,0)*ОКРУГЛЕННЯ)</f>
        <v>4498</v>
      </c>
      <c r="AY15" s="78" t="n">
        <v>4700</v>
      </c>
      <c r="AZ15" s="35" t="n">
        <f aca="false">IF(OR(AY15="",AZ45=""),"",ROUND(AY15*AZ45/ОКРУГЛЕННЯ,0)*ОКРУГЛЕННЯ)</f>
        <v>5001</v>
      </c>
      <c r="BA15" s="78" t="n">
        <v>5707</v>
      </c>
      <c r="BB15" s="35" t="n">
        <f aca="false">IF(OR(BA15="",BB45=""),"",ROUND(BA15*BB45/ОКРУГЛЕННЯ,0)*ОКРУГЛЕННЯ)</f>
        <v>5707</v>
      </c>
      <c r="BC15" s="78" t="n">
        <v>9400</v>
      </c>
      <c r="BD15" s="35" t="n">
        <f aca="false">IF(OR(BC15="",BD45=""),"",ROUND(BC15*BD45/ОКРУГЛЕННЯ,0)*ОКРУГЛЕННЯ)</f>
        <v>9400</v>
      </c>
      <c r="BE15" s="78" t="n">
        <v>4500</v>
      </c>
      <c r="BF15" s="35" t="n">
        <f aca="false">IF(OR(BE15="",BF45=""),"",ROUND(BE15*BF45/ОКРУГЛЕННЯ,0)*ОКРУГЛЕННЯ)</f>
        <v>4725</v>
      </c>
      <c r="BG15" s="78" t="n">
        <v>5300</v>
      </c>
      <c r="BH15" s="35" t="n">
        <f aca="false">IF(OR(BG15="",BH45=""),"",ROUND(BG15*BH45/ОКРУГЛЕННЯ,0)*ОКРУГЛЕННЯ)</f>
        <v>5565</v>
      </c>
      <c r="BI15" s="78" t="n">
        <v>6200</v>
      </c>
      <c r="BJ15" s="35" t="n">
        <f aca="false">IF(OR(BI15="",BJ45=""),"",ROUND(BI15*BJ45/ОКРУГЛЕННЯ,0)*ОКРУГЛЕННЯ)</f>
        <v>6200</v>
      </c>
      <c r="BK15" s="78" t="n">
        <v>10700</v>
      </c>
      <c r="BL15" s="35" t="n">
        <f aca="false">IF(OR(BK15="",BL45=""),"",ROUND(BK15*BL45/ОКРУГЛЕННЯ,0)*ОКРУГЛЕННЯ)</f>
        <v>10700</v>
      </c>
      <c r="BM15" s="77"/>
      <c r="BN15" s="35" t="str">
        <f aca="false">IF(OR(BM15="",BN45=""),"",ROUND(BM15*BN45/ОКРУГЛЕННЯ,0)*ОКРУГЛЕННЯ)</f>
        <v/>
      </c>
      <c r="BO15" s="77"/>
      <c r="BP15" s="35" t="str">
        <f aca="false">IF(OR(BO15="",BP45=""),"",ROUND(BO15*BP45/ОКРУГЛЕННЯ,0)*ОКРУГЛЕННЯ)</f>
        <v/>
      </c>
      <c r="BQ15" s="77"/>
      <c r="BR15" s="35" t="str">
        <f aca="false">IF(OR(BQ15="",BR45=""),"",ROUND(BQ15*BR45/ОКРУГЛЕННЯ,0)*ОКРУГЛЕННЯ)</f>
        <v/>
      </c>
      <c r="BS15" s="77"/>
      <c r="BT15" s="35" t="str">
        <f aca="false">IF(OR(BS15="",BT45=""),"",ROUND(BS15*BT45/ОКРУГЛЕННЯ,0)*ОКРУГЛЕННЯ)</f>
        <v/>
      </c>
      <c r="BU15" s="77"/>
      <c r="BV15" s="35" t="str">
        <f aca="false">IF(OR(BU15="",BV45=""),"",ROUND(BU15*BV45/ОКРУГЛЕННЯ,0)*ОКРУГЛЕННЯ)</f>
        <v/>
      </c>
      <c r="BW15" s="77"/>
      <c r="BX15" s="35" t="str">
        <f aca="false">IF(OR(BW15="",BX45=""),"",ROUND(BW15*BX45/ОКРУГЛЕННЯ,0)*ОКРУГЛЕННЯ)</f>
        <v/>
      </c>
      <c r="BY15" s="77"/>
      <c r="BZ15" s="35" t="str">
        <f aca="false">IF(OR(BY15="",BZ45=""),"",ROUND(BY15*BZ45/ОКРУГЛЕННЯ,0)*ОКРУГЛЕННЯ)</f>
        <v/>
      </c>
      <c r="CA15" s="77"/>
      <c r="CB15" s="35" t="str">
        <f aca="false">IF(OR(CA15="",CB45=""),"",ROUND(CA15*CB45/ОКРУГЛЕННЯ,0)*ОКРУГЛЕННЯ)</f>
        <v/>
      </c>
      <c r="CC15" s="77"/>
      <c r="CD15" s="35" t="str">
        <f aca="false">IF(OR(CC15="",CD45=""),"",ROUND(CC15*CD45/ОКРУГЛЕННЯ,0)*ОКРУГЛЕННЯ)</f>
        <v/>
      </c>
      <c r="CE15" s="77"/>
      <c r="CF15" s="35" t="str">
        <f aca="false">IF(OR(CE15="",CF45=""),"",ROUND(CE15*CF45/ОКРУГЛЕННЯ,0)*ОКРУГЛЕННЯ)</f>
        <v/>
      </c>
      <c r="CG15" s="77"/>
      <c r="CH15" s="35" t="str">
        <f aca="false">IF(OR(CG15="",CH45=""),"",ROUND(CG15*CH45/ОКРУГЛЕННЯ,0)*ОКРУГЛЕННЯ)</f>
        <v/>
      </c>
      <c r="CI15" s="77"/>
      <c r="CJ15" s="35" t="str">
        <f aca="false">IF(OR(CI15="",CJ45=""),"",ROUND(CI15*CJ45/ОКРУГЛЕННЯ,0)*ОКРУГЛЕННЯ)</f>
        <v/>
      </c>
      <c r="CK15" s="77"/>
      <c r="CL15" s="35" t="str">
        <f aca="false">IF(OR(CK15="",CL45=""),"",ROUND(CK15*CL45/ОКРУГЛЕННЯ,0)*ОКРУГЛЕННЯ)</f>
        <v/>
      </c>
      <c r="CM15" s="77"/>
      <c r="CN15" s="35" t="str">
        <f aca="false">IF(OR(CM15="",CN45=""),"",ROUND(CM15*CN45/ОКРУГЛЕННЯ,0)*ОКРУГЛЕННЯ)</f>
        <v/>
      </c>
      <c r="CO15" s="77"/>
      <c r="CP15" s="35" t="str">
        <f aca="false">IF(OR(CO15="",CP45=""),"",ROUND(CO15*CP45/ОКРУГЛЕННЯ,0)*ОКРУГЛЕННЯ)</f>
        <v/>
      </c>
      <c r="CQ15" s="77"/>
      <c r="CR15" s="35" t="str">
        <f aca="false">IF(OR(CQ15="",CR45=""),"",ROUND(CQ15*CR45/ОКРУГЛЕННЯ,0)*ОКРУГЛЕННЯ)</f>
        <v/>
      </c>
      <c r="CS15" s="77"/>
      <c r="CT15" s="35" t="str">
        <f aca="false">IF(OR(CS15="",CT45=""),"",ROUND(CS15*CT45/ОКРУГЛЕННЯ,0)*ОКРУГЛЕННЯ)</f>
        <v/>
      </c>
      <c r="CU15" s="77"/>
      <c r="CV15" s="35" t="str">
        <f aca="false">IF(OR(CU15="",CV45=""),"",ROUND(CU15*CV45/ОКРУГЛЕННЯ,0)*ОКРУГЛЕННЯ)</f>
        <v/>
      </c>
      <c r="CW15" s="77"/>
      <c r="CX15" s="35" t="str">
        <f aca="false">IF(OR(CW15="",CX45=""),"",ROUND(CW15*CX45/ОКРУГЛЕННЯ,0)*ОКРУГЛЕННЯ)</f>
        <v/>
      </c>
      <c r="CY15" s="77"/>
      <c r="CZ15" s="35" t="str">
        <f aca="false">IF(OR(CY15="",CZ45=""),"",ROUND(CY15*CZ45/ОКРУГЛЕННЯ,0)*ОКРУГЛЕННЯ)</f>
        <v/>
      </c>
      <c r="DA15" s="77"/>
      <c r="DB15" s="35" t="str">
        <f aca="false">IF(OR(DA15="",DB45=""),"",ROUND(DA15*DB45/ОКРУГЛЕННЯ,0)*ОКРУГЛЕННЯ)</f>
        <v/>
      </c>
      <c r="DC15" s="77"/>
      <c r="DD15" s="35" t="str">
        <f aca="false">IF(OR(DC15="",DD45=""),"",ROUND(DC15*DD45/ОКРУГЛЕННЯ,0)*ОКРУГЛЕННЯ)</f>
        <v/>
      </c>
      <c r="DE15" s="77"/>
      <c r="DF15" s="35" t="str">
        <f aca="false">IF(OR(DE15="",DF45=""),"",ROUND(DE15*DF45/ОКРУГЛЕННЯ,0)*ОКРУГЛЕННЯ)</f>
        <v/>
      </c>
      <c r="DG15" s="77"/>
      <c r="DH15" s="35" t="str">
        <f aca="false">IF(OR(DG15="",DH45=""),"",ROUND(DG15*DH45/ОКРУГЛЕННЯ,0)*ОКРУГЛЕННЯ)</f>
        <v/>
      </c>
      <c r="DI15" s="77"/>
      <c r="DJ15" s="35" t="str">
        <f aca="false">IF(OR(DI15="",DJ45=""),"",ROUND(DI15*DJ45/ОКРУГЛЕННЯ,0)*ОКРУГЛЕННЯ)</f>
        <v/>
      </c>
      <c r="DK15" s="77"/>
      <c r="DL15" s="35" t="str">
        <f aca="false">IF(OR(DK15="",DL45=""),"",ROUND(DK15*DL45/ОКРУГЛЕННЯ,0)*ОКРУГЛЕННЯ)</f>
        <v/>
      </c>
      <c r="DM15" s="77"/>
      <c r="DN15" s="35" t="str">
        <f aca="false">IF(OR(DM15="",DN45=""),"",ROUND(DM15*DN45/ОКРУГЛЕННЯ,0)*ОКРУГЛЕННЯ)</f>
        <v/>
      </c>
      <c r="DO15" s="77"/>
      <c r="DP15" s="35" t="str">
        <f aca="false">IF(OR(DO15="",DP45=""),"",ROUND(DO15*DP45/ОКРУГЛЕННЯ,0)*ОКРУГЛЕННЯ)</f>
        <v/>
      </c>
      <c r="DQ15" s="77"/>
      <c r="DR15" s="35" t="str">
        <f aca="false">IF(OR(DQ15="",DR45=""),"",ROUND(DQ15*DR45/ОКРУГЛЕННЯ,0)*ОКРУГЛЕННЯ)</f>
        <v/>
      </c>
      <c r="DS15" s="77"/>
      <c r="DT15" s="35" t="str">
        <f aca="false">IF(OR(DS15="",DT45=""),"",ROUND(DS15*DT45/ОКРУГЛЕННЯ,0)*ОКРУГЛЕННЯ)</f>
        <v/>
      </c>
      <c r="DU15" s="77"/>
      <c r="DV15" s="35" t="str">
        <f aca="false">IF(OR(DU15="",DV45=""),"",ROUND(DU15*DV45/ОКРУГЛЕННЯ,0)*ОКРУГЛЕННЯ)</f>
        <v/>
      </c>
      <c r="DW15" s="77"/>
      <c r="DX15" s="35" t="str">
        <f aca="false">IF(OR(DW15="",DX45=""),"",ROUND(DW15*DX45/ОКРУГЛЕННЯ,0)*ОКРУГЛЕННЯ)</f>
        <v/>
      </c>
    </row>
    <row r="16" customFormat="false" ht="15" hidden="false" customHeight="true" outlineLevel="0" collapsed="false">
      <c r="A16" s="57" t="s">
        <v>68</v>
      </c>
      <c r="B16" s="58"/>
      <c r="C16" s="58"/>
      <c r="D16" s="57" t="s">
        <v>36</v>
      </c>
      <c r="E16" s="59"/>
      <c r="F16" s="6" t="s">
        <v>69</v>
      </c>
      <c r="G16" s="66" t="n">
        <v>0.2</v>
      </c>
      <c r="H16" s="67"/>
      <c r="I16" s="84"/>
      <c r="J16" s="67"/>
      <c r="K16" s="84"/>
      <c r="L16" s="67"/>
      <c r="M16" s="84"/>
      <c r="N16" s="67"/>
      <c r="O16" s="84"/>
      <c r="P16" s="67"/>
      <c r="Q16" s="84"/>
      <c r="R16" s="67"/>
      <c r="S16" s="84"/>
      <c r="T16" s="67"/>
      <c r="U16" s="84"/>
      <c r="V16" s="67"/>
      <c r="W16" s="84"/>
      <c r="X16" s="67"/>
      <c r="Y16" s="84"/>
      <c r="Z16" s="67"/>
      <c r="AA16" s="84"/>
      <c r="AB16" s="67"/>
      <c r="AC16" s="84"/>
      <c r="AD16" s="67"/>
      <c r="AE16" s="84"/>
      <c r="AF16" s="67"/>
      <c r="AG16" s="84"/>
      <c r="AH16" s="67"/>
      <c r="AI16" s="84"/>
      <c r="AJ16" s="67"/>
      <c r="AK16" s="84"/>
      <c r="AL16" s="67"/>
      <c r="AM16" s="84"/>
      <c r="AN16" s="67"/>
      <c r="AO16" s="84"/>
      <c r="AP16" s="67"/>
      <c r="AQ16" s="84"/>
      <c r="AR16" s="67"/>
      <c r="AS16" s="84"/>
      <c r="AT16" s="67"/>
      <c r="AU16" s="84"/>
      <c r="AV16" s="67"/>
      <c r="AW16" s="84"/>
      <c r="AX16" s="67"/>
      <c r="AY16" s="84"/>
      <c r="AZ16" s="67"/>
      <c r="BA16" s="84"/>
      <c r="BB16" s="67"/>
      <c r="BC16" s="84"/>
      <c r="BD16" s="67"/>
      <c r="BE16" s="84"/>
      <c r="BF16" s="67"/>
      <c r="BG16" s="84"/>
      <c r="BH16" s="67"/>
      <c r="BI16" s="84"/>
      <c r="BJ16" s="67"/>
      <c r="BK16" s="84"/>
      <c r="BL16" s="67"/>
      <c r="BM16" s="84"/>
      <c r="BN16" s="67"/>
      <c r="BO16" s="84"/>
      <c r="BP16" s="67"/>
      <c r="BQ16" s="84"/>
      <c r="BR16" s="67"/>
      <c r="BS16" s="84"/>
      <c r="BT16" s="67"/>
      <c r="BU16" s="84"/>
      <c r="BV16" s="67"/>
      <c r="BW16" s="84"/>
      <c r="BX16" s="67"/>
      <c r="BY16" s="84"/>
      <c r="BZ16" s="67"/>
      <c r="CA16" s="84"/>
      <c r="CB16" s="67"/>
      <c r="CC16" s="84"/>
      <c r="CD16" s="67"/>
      <c r="CE16" s="84"/>
      <c r="CF16" s="67"/>
      <c r="CG16" s="84"/>
      <c r="CH16" s="67"/>
      <c r="CI16" s="84"/>
      <c r="CJ16" s="67"/>
      <c r="CK16" s="84"/>
      <c r="CL16" s="67"/>
      <c r="CM16" s="84"/>
      <c r="CN16" s="67"/>
      <c r="CO16" s="84"/>
      <c r="CP16" s="67"/>
      <c r="CQ16" s="84"/>
      <c r="CR16" s="67"/>
      <c r="CS16" s="84"/>
      <c r="CT16" s="67"/>
      <c r="CU16" s="84"/>
      <c r="CV16" s="67"/>
      <c r="CW16" s="84"/>
      <c r="CX16" s="67"/>
      <c r="CY16" s="84"/>
      <c r="CZ16" s="67"/>
      <c r="DA16" s="84"/>
      <c r="DB16" s="67"/>
      <c r="DC16" s="84"/>
      <c r="DD16" s="67"/>
      <c r="DE16" s="84"/>
      <c r="DF16" s="67"/>
      <c r="DG16" s="84"/>
      <c r="DH16" s="67"/>
      <c r="DI16" s="84"/>
      <c r="DJ16" s="67"/>
      <c r="DK16" s="84"/>
      <c r="DL16" s="67"/>
      <c r="DM16" s="84"/>
      <c r="DN16" s="67"/>
      <c r="DO16" s="84"/>
      <c r="DP16" s="67"/>
      <c r="DQ16" s="84"/>
      <c r="DR16" s="67"/>
      <c r="DS16" s="84"/>
      <c r="DT16" s="67"/>
      <c r="DU16" s="84"/>
      <c r="DV16" s="67"/>
      <c r="DW16" s="84"/>
      <c r="DX16" s="67"/>
    </row>
    <row r="17" customFormat="false" ht="15" hidden="false" customHeight="true" outlineLevel="0" collapsed="false">
      <c r="A17" s="63" t="s">
        <v>70</v>
      </c>
      <c r="B17" s="64"/>
      <c r="C17" s="64"/>
      <c r="D17" s="63" t="s">
        <v>36</v>
      </c>
      <c r="E17" s="65"/>
      <c r="F17" s="6" t="s">
        <v>71</v>
      </c>
      <c r="G17" s="66" t="n">
        <v>0.15</v>
      </c>
      <c r="H17" s="70" t="s">
        <v>72</v>
      </c>
      <c r="I17" s="71"/>
      <c r="J17" s="72"/>
      <c r="K17" s="71"/>
      <c r="L17" s="72"/>
      <c r="M17" s="71"/>
      <c r="N17" s="72"/>
      <c r="O17" s="71"/>
      <c r="P17" s="72"/>
      <c r="Q17" s="71"/>
      <c r="R17" s="72"/>
      <c r="S17" s="71"/>
      <c r="T17" s="72"/>
      <c r="U17" s="71"/>
      <c r="V17" s="72"/>
      <c r="W17" s="71"/>
      <c r="X17" s="72"/>
      <c r="Y17" s="71"/>
      <c r="Z17" s="72"/>
      <c r="AA17" s="71"/>
      <c r="AB17" s="72"/>
      <c r="AC17" s="71"/>
      <c r="AD17" s="72"/>
      <c r="AE17" s="71"/>
      <c r="AF17" s="72"/>
      <c r="AG17" s="71"/>
      <c r="AH17" s="72"/>
      <c r="AI17" s="71"/>
      <c r="AJ17" s="72"/>
      <c r="AK17" s="71"/>
      <c r="AL17" s="72"/>
      <c r="AM17" s="71"/>
      <c r="AN17" s="72"/>
      <c r="AO17" s="71"/>
      <c r="AP17" s="72"/>
      <c r="AQ17" s="71"/>
      <c r="AR17" s="72"/>
      <c r="AS17" s="71"/>
      <c r="AT17" s="72"/>
      <c r="AU17" s="71"/>
      <c r="AV17" s="72"/>
      <c r="AW17" s="71"/>
      <c r="AX17" s="72"/>
      <c r="AY17" s="71"/>
      <c r="AZ17" s="72"/>
      <c r="BA17" s="71"/>
      <c r="BB17" s="72"/>
      <c r="BC17" s="71"/>
      <c r="BD17" s="72"/>
      <c r="BE17" s="71"/>
      <c r="BF17" s="72"/>
      <c r="BG17" s="71"/>
      <c r="BH17" s="72"/>
      <c r="BI17" s="71"/>
      <c r="BJ17" s="72"/>
      <c r="BK17" s="71"/>
      <c r="BL17" s="72"/>
      <c r="BM17" s="71"/>
      <c r="BN17" s="72"/>
      <c r="BO17" s="71"/>
      <c r="BP17" s="72"/>
      <c r="BQ17" s="71"/>
      <c r="BR17" s="72"/>
      <c r="BS17" s="71"/>
      <c r="BT17" s="72"/>
      <c r="BU17" s="71"/>
      <c r="BV17" s="72"/>
      <c r="BW17" s="71"/>
      <c r="BX17" s="72"/>
      <c r="BY17" s="71"/>
      <c r="BZ17" s="72"/>
      <c r="CA17" s="71"/>
      <c r="CB17" s="72"/>
      <c r="CC17" s="71"/>
      <c r="CD17" s="72"/>
      <c r="CE17" s="71"/>
      <c r="CF17" s="72"/>
      <c r="CG17" s="71"/>
      <c r="CH17" s="72"/>
      <c r="CI17" s="71"/>
      <c r="CJ17" s="72"/>
      <c r="CK17" s="71"/>
      <c r="CL17" s="72"/>
      <c r="CM17" s="71"/>
      <c r="CN17" s="72"/>
      <c r="CO17" s="71"/>
      <c r="CP17" s="72"/>
      <c r="CQ17" s="71"/>
      <c r="CR17" s="72"/>
      <c r="CS17" s="71"/>
      <c r="CT17" s="72"/>
      <c r="CU17" s="71"/>
      <c r="CV17" s="72"/>
      <c r="CW17" s="71"/>
      <c r="CX17" s="72"/>
      <c r="CY17" s="71"/>
      <c r="CZ17" s="72"/>
      <c r="DA17" s="71"/>
      <c r="DB17" s="72"/>
      <c r="DC17" s="71"/>
      <c r="DD17" s="72"/>
      <c r="DE17" s="71"/>
      <c r="DF17" s="72"/>
      <c r="DG17" s="71"/>
      <c r="DH17" s="72"/>
      <c r="DI17" s="71"/>
      <c r="DJ17" s="72"/>
      <c r="DK17" s="71"/>
      <c r="DL17" s="72"/>
      <c r="DM17" s="71"/>
      <c r="DN17" s="72"/>
      <c r="DO17" s="71"/>
      <c r="DP17" s="72"/>
      <c r="DQ17" s="71"/>
      <c r="DR17" s="72"/>
      <c r="DS17" s="71"/>
      <c r="DT17" s="72"/>
      <c r="DU17" s="71"/>
      <c r="DV17" s="72"/>
      <c r="DW17" s="71"/>
      <c r="DX17" s="72"/>
    </row>
    <row r="18" customFormat="false" ht="15" hidden="false" customHeight="true" outlineLevel="0" collapsed="false">
      <c r="A18" s="57" t="s">
        <v>73</v>
      </c>
      <c r="B18" s="58"/>
      <c r="C18" s="58"/>
      <c r="D18" s="57" t="s">
        <v>36</v>
      </c>
      <c r="E18" s="59"/>
      <c r="F18" s="6" t="s">
        <v>74</v>
      </c>
      <c r="G18" s="66" t="n">
        <v>0.3</v>
      </c>
      <c r="H18" s="13" t="s">
        <v>75</v>
      </c>
      <c r="I18" s="74" t="s">
        <v>76</v>
      </c>
      <c r="J18" s="13" t="s">
        <v>77</v>
      </c>
      <c r="K18" s="74" t="s">
        <v>76</v>
      </c>
      <c r="L18" s="13" t="s">
        <v>77</v>
      </c>
      <c r="M18" s="74" t="s">
        <v>76</v>
      </c>
      <c r="N18" s="13" t="s">
        <v>77</v>
      </c>
      <c r="O18" s="74" t="s">
        <v>76</v>
      </c>
      <c r="P18" s="13" t="s">
        <v>77</v>
      </c>
      <c r="Q18" s="74" t="s">
        <v>76</v>
      </c>
      <c r="R18" s="13" t="s">
        <v>77</v>
      </c>
      <c r="S18" s="74" t="s">
        <v>76</v>
      </c>
      <c r="T18" s="13" t="s">
        <v>77</v>
      </c>
      <c r="U18" s="74" t="s">
        <v>76</v>
      </c>
      <c r="V18" s="13" t="s">
        <v>77</v>
      </c>
      <c r="W18" s="74" t="s">
        <v>76</v>
      </c>
      <c r="X18" s="13" t="s">
        <v>77</v>
      </c>
      <c r="Y18" s="74" t="s">
        <v>76</v>
      </c>
      <c r="Z18" s="13" t="s">
        <v>77</v>
      </c>
      <c r="AA18" s="74" t="s">
        <v>76</v>
      </c>
      <c r="AB18" s="13" t="s">
        <v>77</v>
      </c>
      <c r="AC18" s="74" t="s">
        <v>76</v>
      </c>
      <c r="AD18" s="13" t="s">
        <v>77</v>
      </c>
      <c r="AE18" s="74" t="s">
        <v>76</v>
      </c>
      <c r="AF18" s="13" t="s">
        <v>77</v>
      </c>
      <c r="AG18" s="74" t="s">
        <v>76</v>
      </c>
      <c r="AH18" s="13" t="s">
        <v>77</v>
      </c>
      <c r="AI18" s="74" t="s">
        <v>76</v>
      </c>
      <c r="AJ18" s="13" t="s">
        <v>77</v>
      </c>
      <c r="AK18" s="74" t="s">
        <v>76</v>
      </c>
      <c r="AL18" s="13" t="s">
        <v>77</v>
      </c>
      <c r="AM18" s="74" t="s">
        <v>76</v>
      </c>
      <c r="AN18" s="13" t="s">
        <v>77</v>
      </c>
      <c r="AO18" s="74" t="s">
        <v>76</v>
      </c>
      <c r="AP18" s="13" t="s">
        <v>77</v>
      </c>
      <c r="AQ18" s="74" t="s">
        <v>76</v>
      </c>
      <c r="AR18" s="13" t="s">
        <v>77</v>
      </c>
      <c r="AS18" s="74" t="s">
        <v>76</v>
      </c>
      <c r="AT18" s="13" t="s">
        <v>77</v>
      </c>
      <c r="AU18" s="74" t="s">
        <v>76</v>
      </c>
      <c r="AV18" s="13" t="s">
        <v>77</v>
      </c>
      <c r="AW18" s="74" t="s">
        <v>76</v>
      </c>
      <c r="AX18" s="13" t="s">
        <v>77</v>
      </c>
      <c r="AY18" s="74" t="s">
        <v>76</v>
      </c>
      <c r="AZ18" s="13" t="s">
        <v>77</v>
      </c>
      <c r="BA18" s="74" t="s">
        <v>76</v>
      </c>
      <c r="BB18" s="13" t="s">
        <v>77</v>
      </c>
      <c r="BC18" s="74" t="s">
        <v>76</v>
      </c>
      <c r="BD18" s="13" t="s">
        <v>77</v>
      </c>
      <c r="BE18" s="74" t="s">
        <v>76</v>
      </c>
      <c r="BF18" s="13" t="s">
        <v>77</v>
      </c>
      <c r="BG18" s="74" t="s">
        <v>76</v>
      </c>
      <c r="BH18" s="13" t="s">
        <v>77</v>
      </c>
      <c r="BI18" s="74" t="s">
        <v>76</v>
      </c>
      <c r="BJ18" s="13" t="s">
        <v>77</v>
      </c>
      <c r="BK18" s="74" t="s">
        <v>76</v>
      </c>
      <c r="BL18" s="13" t="s">
        <v>77</v>
      </c>
      <c r="BM18" s="74" t="s">
        <v>76</v>
      </c>
      <c r="BN18" s="13" t="s">
        <v>77</v>
      </c>
      <c r="BO18" s="74" t="s">
        <v>76</v>
      </c>
      <c r="BP18" s="13" t="s">
        <v>77</v>
      </c>
      <c r="BQ18" s="74" t="s">
        <v>76</v>
      </c>
      <c r="BR18" s="13" t="s">
        <v>77</v>
      </c>
      <c r="BS18" s="74" t="s">
        <v>76</v>
      </c>
      <c r="BT18" s="13" t="s">
        <v>77</v>
      </c>
      <c r="BU18" s="74" t="s">
        <v>76</v>
      </c>
      <c r="BV18" s="13" t="s">
        <v>77</v>
      </c>
      <c r="BW18" s="74" t="s">
        <v>76</v>
      </c>
      <c r="BX18" s="13" t="s">
        <v>77</v>
      </c>
      <c r="BY18" s="74" t="s">
        <v>76</v>
      </c>
      <c r="BZ18" s="13" t="s">
        <v>77</v>
      </c>
      <c r="CA18" s="74" t="s">
        <v>76</v>
      </c>
      <c r="CB18" s="13" t="s">
        <v>77</v>
      </c>
      <c r="CC18" s="74" t="s">
        <v>76</v>
      </c>
      <c r="CD18" s="13" t="s">
        <v>77</v>
      </c>
      <c r="CE18" s="74" t="s">
        <v>76</v>
      </c>
      <c r="CF18" s="13" t="s">
        <v>77</v>
      </c>
      <c r="CG18" s="74" t="s">
        <v>76</v>
      </c>
      <c r="CH18" s="13" t="s">
        <v>77</v>
      </c>
      <c r="CI18" s="74" t="s">
        <v>76</v>
      </c>
      <c r="CJ18" s="13" t="s">
        <v>77</v>
      </c>
      <c r="CK18" s="74" t="s">
        <v>76</v>
      </c>
      <c r="CL18" s="13" t="s">
        <v>77</v>
      </c>
      <c r="CM18" s="74" t="s">
        <v>76</v>
      </c>
      <c r="CN18" s="13" t="s">
        <v>77</v>
      </c>
      <c r="CO18" s="74" t="s">
        <v>76</v>
      </c>
      <c r="CP18" s="13" t="s">
        <v>77</v>
      </c>
      <c r="CQ18" s="74" t="s">
        <v>76</v>
      </c>
      <c r="CR18" s="13" t="s">
        <v>77</v>
      </c>
      <c r="CS18" s="74" t="s">
        <v>76</v>
      </c>
      <c r="CT18" s="13" t="s">
        <v>77</v>
      </c>
      <c r="CU18" s="74" t="s">
        <v>76</v>
      </c>
      <c r="CV18" s="13" t="s">
        <v>77</v>
      </c>
      <c r="CW18" s="74" t="s">
        <v>76</v>
      </c>
      <c r="CX18" s="13" t="s">
        <v>77</v>
      </c>
      <c r="CY18" s="74" t="s">
        <v>76</v>
      </c>
      <c r="CZ18" s="13" t="s">
        <v>77</v>
      </c>
      <c r="DA18" s="74" t="s">
        <v>76</v>
      </c>
      <c r="DB18" s="13" t="s">
        <v>77</v>
      </c>
      <c r="DC18" s="74" t="s">
        <v>76</v>
      </c>
      <c r="DD18" s="13" t="s">
        <v>77</v>
      </c>
      <c r="DE18" s="74" t="s">
        <v>76</v>
      </c>
      <c r="DF18" s="13" t="s">
        <v>77</v>
      </c>
      <c r="DG18" s="74" t="s">
        <v>76</v>
      </c>
      <c r="DH18" s="13" t="s">
        <v>77</v>
      </c>
      <c r="DI18" s="74" t="s">
        <v>76</v>
      </c>
      <c r="DJ18" s="13" t="s">
        <v>77</v>
      </c>
      <c r="DK18" s="74" t="s">
        <v>76</v>
      </c>
      <c r="DL18" s="13" t="s">
        <v>77</v>
      </c>
      <c r="DM18" s="74" t="s">
        <v>76</v>
      </c>
      <c r="DN18" s="13" t="s">
        <v>77</v>
      </c>
      <c r="DO18" s="74" t="s">
        <v>76</v>
      </c>
      <c r="DP18" s="13" t="s">
        <v>77</v>
      </c>
      <c r="DQ18" s="74" t="s">
        <v>76</v>
      </c>
      <c r="DR18" s="13" t="s">
        <v>77</v>
      </c>
      <c r="DS18" s="74" t="s">
        <v>76</v>
      </c>
      <c r="DT18" s="13" t="s">
        <v>77</v>
      </c>
      <c r="DU18" s="74" t="s">
        <v>76</v>
      </c>
      <c r="DV18" s="13" t="s">
        <v>77</v>
      </c>
      <c r="DW18" s="74" t="s">
        <v>76</v>
      </c>
      <c r="DX18" s="13" t="s">
        <v>77</v>
      </c>
    </row>
    <row r="19" customFormat="false" ht="15" hidden="false" customHeight="true" outlineLevel="0" collapsed="false">
      <c r="A19" s="63" t="s">
        <v>78</v>
      </c>
      <c r="B19" s="64"/>
      <c r="C19" s="64"/>
      <c r="D19" s="63" t="s">
        <v>36</v>
      </c>
      <c r="E19" s="65"/>
      <c r="F19" s="6" t="s">
        <v>79</v>
      </c>
      <c r="G19" s="66" t="n">
        <v>0.7</v>
      </c>
      <c r="H19" s="85" t="s">
        <v>80</v>
      </c>
      <c r="I19" s="37" t="n">
        <f aca="false">IF(OR(I13="",I12=""),"",I13-I12)</f>
        <v>1570</v>
      </c>
      <c r="J19" s="86" t="n">
        <f aca="false">IF(OR(I13="",I12="",I12=0),"",I13/I12-1)</f>
        <v>0.283905967450271</v>
      </c>
      <c r="K19" s="37" t="n">
        <f aca="false">IF(OR(K13="",K12=""),"",K13-K12)</f>
        <v>2260</v>
      </c>
      <c r="L19" s="86" t="n">
        <f aca="false">IF(OR(K13="",K12="",K12=0),"",K13/K12-1)</f>
        <v>0.316526610644258</v>
      </c>
      <c r="M19" s="37" t="n">
        <f aca="false">IF(OR(M13="",M12=""),"",M13-M12)</f>
        <v>1582</v>
      </c>
      <c r="N19" s="86" t="n">
        <f aca="false">IF(OR(M13="",M12="",M12=0),"",M13/M12-1)</f>
        <v>0.316526610644258</v>
      </c>
      <c r="O19" s="37" t="n">
        <f aca="false">IF(OR(O13="",O12=""),"",O13-O12)</f>
        <v>1695</v>
      </c>
      <c r="P19" s="86" t="n">
        <f aca="false">IF(OR(O13="",O12="",O12=0),"",O13/O12-1)</f>
        <v>0.316526610644258</v>
      </c>
      <c r="Q19" s="37" t="n">
        <f aca="false">IF(OR(Q13="",Q12=""),"",Q13-Q12)</f>
        <v>1700</v>
      </c>
      <c r="R19" s="86" t="n">
        <f aca="false">IF(OR(Q13="",Q12="",Q12=0),"",Q13/Q12-1)</f>
        <v>0.314814814814815</v>
      </c>
      <c r="S19" s="37" t="str">
        <f aca="false">IF(OR(S13="",S12=""),"",S13-S12)</f>
        <v/>
      </c>
      <c r="T19" s="86" t="str">
        <f aca="false">IF(OR(S13="",S12="",S12=0),"",S13/S12-1)</f>
        <v/>
      </c>
      <c r="U19" s="37" t="n">
        <f aca="false">IF(OR(U13="",U12=""),"",U13-U12)</f>
        <v>1820</v>
      </c>
      <c r="V19" s="86" t="n">
        <f aca="false">IF(OR(U13="",U12="",U12=0),"",U13/U12-1)</f>
        <v>0.319298245614035</v>
      </c>
      <c r="W19" s="37" t="str">
        <f aca="false">IF(OR(W13="",W12=""),"",W13-W12)</f>
        <v/>
      </c>
      <c r="X19" s="86" t="str">
        <f aca="false">IF(OR(W13="",W12="",W12=0),"",W13/W12-1)</f>
        <v/>
      </c>
      <c r="Y19" s="37" t="str">
        <f aca="false">IF(OR(Y13="",Y12=""),"",Y13-Y12)</f>
        <v/>
      </c>
      <c r="Z19" s="86" t="str">
        <f aca="false">IF(OR(Y13="",Y12="",Y12=0),"",Y13/Y12-1)</f>
        <v/>
      </c>
      <c r="AA19" s="37" t="str">
        <f aca="false">IF(OR(AA13="",AA12=""),"",AA13-AA12)</f>
        <v/>
      </c>
      <c r="AB19" s="86" t="str">
        <f aca="false">IF(OR(AA13="",AA12="",AA12=0),"",AA13/AA12-1)</f>
        <v/>
      </c>
      <c r="AC19" s="37" t="str">
        <f aca="false">IF(OR(AC13="",AC12=""),"",AC13-AC12)</f>
        <v/>
      </c>
      <c r="AD19" s="86" t="str">
        <f aca="false">IF(OR(AC13="",AC12="",AC12=0),"",AC13/AC12-1)</f>
        <v/>
      </c>
      <c r="AE19" s="37" t="str">
        <f aca="false">IF(OR(AE13="",AE12=""),"",AE13-AE12)</f>
        <v/>
      </c>
      <c r="AF19" s="86" t="str">
        <f aca="false">IF(OR(AE13="",AE12="",AE12=0),"",AE13/AE12-1)</f>
        <v/>
      </c>
      <c r="AG19" s="37" t="str">
        <f aca="false">IF(OR(AG13="",AG12=""),"",AG13-AG12)</f>
        <v/>
      </c>
      <c r="AH19" s="86" t="str">
        <f aca="false">IF(OR(AG13="",AG12="",AG12=0),"",AG13/AG12-1)</f>
        <v/>
      </c>
      <c r="AI19" s="37" t="str">
        <f aca="false">IF(OR(AI13="",AI12=""),"",AI13-AI12)</f>
        <v/>
      </c>
      <c r="AJ19" s="86" t="str">
        <f aca="false">IF(OR(AI13="",AI12="",AI12=0),"",AI13/AI12-1)</f>
        <v/>
      </c>
      <c r="AK19" s="37" t="str">
        <f aca="false">IF(OR(AK13="",AK12=""),"",AK13-AK12)</f>
        <v/>
      </c>
      <c r="AL19" s="86" t="str">
        <f aca="false">IF(OR(AK13="",AK12="",AK12=0),"",AK13/AK12-1)</f>
        <v/>
      </c>
      <c r="AM19" s="37" t="str">
        <f aca="false">IF(OR(AM13="",AM12=""),"",AM13-AM12)</f>
        <v/>
      </c>
      <c r="AN19" s="86" t="str">
        <f aca="false">IF(OR(AM13="",AM12="",AM12=0),"",AM13/AM12-1)</f>
        <v/>
      </c>
      <c r="AO19" s="37" t="str">
        <f aca="false">IF(OR(AO13="",AO12=""),"",AO13-AO12)</f>
        <v/>
      </c>
      <c r="AP19" s="86" t="str">
        <f aca="false">IF(OR(AO13="",AO12="",AO12=0),"",AO13/AO12-1)</f>
        <v/>
      </c>
      <c r="AQ19" s="37" t="str">
        <f aca="false">IF(OR(AQ13="",AQ12=""),"",AQ13-AQ12)</f>
        <v/>
      </c>
      <c r="AR19" s="86" t="str">
        <f aca="false">IF(OR(AQ13="",AQ12="",AQ12=0),"",AQ13/AQ12-1)</f>
        <v/>
      </c>
      <c r="AS19" s="37" t="str">
        <f aca="false">IF(OR(AS13="",AS12=""),"",AS13-AS12)</f>
        <v/>
      </c>
      <c r="AT19" s="86" t="str">
        <f aca="false">IF(OR(AS13="",AS12="",AS12=0),"",AS13/AS12-1)</f>
        <v/>
      </c>
      <c r="AU19" s="37" t="str">
        <f aca="false">IF(OR(AU13="",AU12=""),"",AU13-AU12)</f>
        <v/>
      </c>
      <c r="AV19" s="86" t="str">
        <f aca="false">IF(OR(AU13="",AU12="",AU12=0),"",AU13/AU12-1)</f>
        <v/>
      </c>
      <c r="AW19" s="37" t="n">
        <f aca="false">IF(OR(AW13="",AW12=""),"",AW13-AW12)</f>
        <v>1200</v>
      </c>
      <c r="AX19" s="86" t="n">
        <f aca="false">IF(OR(AW13="",AW12="",AW12=0),"",AW13/AW12-1)</f>
        <v>0.203389830508474</v>
      </c>
      <c r="AY19" s="37" t="n">
        <f aca="false">IF(OR(AY13="",AY12=""),"",AY13-AY12)</f>
        <v>1350</v>
      </c>
      <c r="AZ19" s="86" t="n">
        <f aca="false">IF(OR(AY13="",AY12="",AY12=0),"",AY13/AY12-1)</f>
        <v>0.2</v>
      </c>
      <c r="BA19" s="37" t="n">
        <f aca="false">IF(OR(BA13="",BA12=""),"",BA13-BA12)</f>
        <v>1915</v>
      </c>
      <c r="BB19" s="86" t="n">
        <f aca="false">IF(OR(BA13="",BA12="",BA12=0),"",BA13/BA12-1)</f>
        <v>0.23641975308642</v>
      </c>
      <c r="BC19" s="37" t="n">
        <f aca="false">IF(OR(BC13="",BC12=""),"",BC13-BC12)</f>
        <v>2700</v>
      </c>
      <c r="BD19" s="86" t="n">
        <f aca="false">IF(OR(BC13="",BC12="",BC12=0),"",BC13/BC12-1)</f>
        <v>0.2</v>
      </c>
      <c r="BE19" s="37" t="n">
        <f aca="false">IF(OR(BE13="",BE12=""),"",BE13-BE12)</f>
        <v>1300</v>
      </c>
      <c r="BF19" s="86" t="n">
        <f aca="false">IF(OR(BE13="",BE12="",BE12=0),"",BE13/BE12-1)</f>
        <v>0.196969696969697</v>
      </c>
      <c r="BG19" s="37" t="n">
        <f aca="false">IF(OR(BG13="",BG12=""),"",BG13-BG12)</f>
        <v>1600</v>
      </c>
      <c r="BH19" s="86" t="n">
        <f aca="false">IF(OR(BG13="",BG12="",BG12=0),"",BG13/BG12-1)</f>
        <v>0.207792207792208</v>
      </c>
      <c r="BI19" s="37" t="n">
        <f aca="false">IF(OR(BI13="",BI12=""),"",BI13-BI12)</f>
        <v>2000</v>
      </c>
      <c r="BJ19" s="86" t="n">
        <f aca="false">IF(OR(BI13="",BI12="",BI12=0),"",BI13/BI12-1)</f>
        <v>0.222222222222222</v>
      </c>
      <c r="BK19" s="37" t="n">
        <f aca="false">IF(OR(BK13="",BK12=""),"",BK13-BK12)</f>
        <v>3300</v>
      </c>
      <c r="BL19" s="86" t="n">
        <f aca="false">IF(OR(BK13="",BK12="",BK12=0),"",BK13/BK12-1)</f>
        <v>0.211538461538461</v>
      </c>
      <c r="BM19" s="37" t="str">
        <f aca="false">IF(OR(BM13="",BM12=""),"",BM13-BM12)</f>
        <v/>
      </c>
      <c r="BN19" s="86" t="str">
        <f aca="false">IF(OR(BM13="",BM12="",BM12=0),"",BM13/BM12-1)</f>
        <v/>
      </c>
      <c r="BO19" s="37" t="str">
        <f aca="false">IF(OR(BO13="",BO12=""),"",BO13-BO12)</f>
        <v/>
      </c>
      <c r="BP19" s="86" t="str">
        <f aca="false">IF(OR(BO13="",BO12="",BO12=0),"",BO13/BO12-1)</f>
        <v/>
      </c>
      <c r="BQ19" s="37" t="str">
        <f aca="false">IF(OR(BQ13="",BQ12=""),"",BQ13-BQ12)</f>
        <v/>
      </c>
      <c r="BR19" s="86" t="str">
        <f aca="false">IF(OR(BQ13="",BQ12="",BQ12=0),"",BQ13/BQ12-1)</f>
        <v/>
      </c>
      <c r="BS19" s="37" t="str">
        <f aca="false">IF(OR(BS13="",BS12=""),"",BS13-BS12)</f>
        <v/>
      </c>
      <c r="BT19" s="86" t="str">
        <f aca="false">IF(OR(BS13="",BS12="",BS12=0),"",BS13/BS12-1)</f>
        <v/>
      </c>
      <c r="BU19" s="37" t="str">
        <f aca="false">IF(OR(BU13="",BU12=""),"",BU13-BU12)</f>
        <v/>
      </c>
      <c r="BV19" s="86" t="str">
        <f aca="false">IF(OR(BU13="",BU12="",BU12=0),"",BU13/BU12-1)</f>
        <v/>
      </c>
      <c r="BW19" s="37" t="str">
        <f aca="false">IF(OR(BW13="",BW12=""),"",BW13-BW12)</f>
        <v/>
      </c>
      <c r="BX19" s="86" t="str">
        <f aca="false">IF(OR(BW13="",BW12="",BW12=0),"",BW13/BW12-1)</f>
        <v/>
      </c>
      <c r="BY19" s="37" t="str">
        <f aca="false">IF(OR(BY13="",BY12=""),"",BY13-BY12)</f>
        <v/>
      </c>
      <c r="BZ19" s="86" t="str">
        <f aca="false">IF(OR(BY13="",BY12="",BY12=0),"",BY13/BY12-1)</f>
        <v/>
      </c>
      <c r="CA19" s="37" t="str">
        <f aca="false">IF(OR(CA13="",CA12=""),"",CA13-CA12)</f>
        <v/>
      </c>
      <c r="CB19" s="86" t="str">
        <f aca="false">IF(OR(CA13="",CA12="",CA12=0),"",CA13/CA12-1)</f>
        <v/>
      </c>
      <c r="CC19" s="37" t="str">
        <f aca="false">IF(OR(CC13="",CC12=""),"",CC13-CC12)</f>
        <v/>
      </c>
      <c r="CD19" s="86" t="str">
        <f aca="false">IF(OR(CC13="",CC12="",CC12=0),"",CC13/CC12-1)</f>
        <v/>
      </c>
      <c r="CE19" s="37" t="str">
        <f aca="false">IF(OR(CE13="",CE12=""),"",CE13-CE12)</f>
        <v/>
      </c>
      <c r="CF19" s="86" t="str">
        <f aca="false">IF(OR(CE13="",CE12="",CE12=0),"",CE13/CE12-1)</f>
        <v/>
      </c>
      <c r="CG19" s="37" t="str">
        <f aca="false">IF(OR(CG13="",CG12=""),"",CG13-CG12)</f>
        <v/>
      </c>
      <c r="CH19" s="86" t="str">
        <f aca="false">IF(OR(CG13="",CG12="",CG12=0),"",CG13/CG12-1)</f>
        <v/>
      </c>
      <c r="CI19" s="37" t="str">
        <f aca="false">IF(OR(CI13="",CI12=""),"",CI13-CI12)</f>
        <v/>
      </c>
      <c r="CJ19" s="86" t="str">
        <f aca="false">IF(OR(CI13="",CI12="",CI12=0),"",CI13/CI12-1)</f>
        <v/>
      </c>
      <c r="CK19" s="37" t="str">
        <f aca="false">IF(OR(CK13="",CK12=""),"",CK13-CK12)</f>
        <v/>
      </c>
      <c r="CL19" s="86" t="str">
        <f aca="false">IF(OR(CK13="",CK12="",CK12=0),"",CK13/CK12-1)</f>
        <v/>
      </c>
      <c r="CM19" s="37" t="str">
        <f aca="false">IF(OR(CM13="",CM12=""),"",CM13-CM12)</f>
        <v/>
      </c>
      <c r="CN19" s="86" t="str">
        <f aca="false">IF(OR(CM13="",CM12="",CM12=0),"",CM13/CM12-1)</f>
        <v/>
      </c>
      <c r="CO19" s="37" t="str">
        <f aca="false">IF(OR(CO13="",CO12=""),"",CO13-CO12)</f>
        <v/>
      </c>
      <c r="CP19" s="86" t="str">
        <f aca="false">IF(OR(CO13="",CO12="",CO12=0),"",CO13/CO12-1)</f>
        <v/>
      </c>
      <c r="CQ19" s="37" t="str">
        <f aca="false">IF(OR(CQ13="",CQ12=""),"",CQ13-CQ12)</f>
        <v/>
      </c>
      <c r="CR19" s="86" t="str">
        <f aca="false">IF(OR(CQ13="",CQ12="",CQ12=0),"",CQ13/CQ12-1)</f>
        <v/>
      </c>
      <c r="CS19" s="37" t="str">
        <f aca="false">IF(OR(CS13="",CS12=""),"",CS13-CS12)</f>
        <v/>
      </c>
      <c r="CT19" s="86" t="str">
        <f aca="false">IF(OR(CS13="",CS12="",CS12=0),"",CS13/CS12-1)</f>
        <v/>
      </c>
      <c r="CU19" s="37" t="str">
        <f aca="false">IF(OR(CU13="",CU12=""),"",CU13-CU12)</f>
        <v/>
      </c>
      <c r="CV19" s="86" t="str">
        <f aca="false">IF(OR(CU13="",CU12="",CU12=0),"",CU13/CU12-1)</f>
        <v/>
      </c>
      <c r="CW19" s="37" t="str">
        <f aca="false">IF(OR(CW13="",CW12=""),"",CW13-CW12)</f>
        <v/>
      </c>
      <c r="CX19" s="86" t="str">
        <f aca="false">IF(OR(CW13="",CW12="",CW12=0),"",CW13/CW12-1)</f>
        <v/>
      </c>
      <c r="CY19" s="37" t="str">
        <f aca="false">IF(OR(CY13="",CY12=""),"",CY13-CY12)</f>
        <v/>
      </c>
      <c r="CZ19" s="86" t="str">
        <f aca="false">IF(OR(CY13="",CY12="",CY12=0),"",CY13/CY12-1)</f>
        <v/>
      </c>
      <c r="DA19" s="37" t="str">
        <f aca="false">IF(OR(DA13="",DA12=""),"",DA13-DA12)</f>
        <v/>
      </c>
      <c r="DB19" s="86" t="str">
        <f aca="false">IF(OR(DA13="",DA12="",DA12=0),"",DA13/DA12-1)</f>
        <v/>
      </c>
      <c r="DC19" s="37" t="str">
        <f aca="false">IF(OR(DC13="",DC12=""),"",DC13-DC12)</f>
        <v/>
      </c>
      <c r="DD19" s="86" t="str">
        <f aca="false">IF(OR(DC13="",DC12="",DC12=0),"",DC13/DC12-1)</f>
        <v/>
      </c>
      <c r="DE19" s="37" t="str">
        <f aca="false">IF(OR(DE13="",DE12=""),"",DE13-DE12)</f>
        <v/>
      </c>
      <c r="DF19" s="86" t="str">
        <f aca="false">IF(OR(DE13="",DE12="",DE12=0),"",DE13/DE12-1)</f>
        <v/>
      </c>
      <c r="DG19" s="37" t="str">
        <f aca="false">IF(OR(DG13="",DG12=""),"",DG13-DG12)</f>
        <v/>
      </c>
      <c r="DH19" s="86" t="str">
        <f aca="false">IF(OR(DG13="",DG12="",DG12=0),"",DG13/DG12-1)</f>
        <v/>
      </c>
      <c r="DI19" s="37" t="str">
        <f aca="false">IF(OR(DI13="",DI12=""),"",DI13-DI12)</f>
        <v/>
      </c>
      <c r="DJ19" s="86" t="str">
        <f aca="false">IF(OR(DI13="",DI12="",DI12=0),"",DI13/DI12-1)</f>
        <v/>
      </c>
      <c r="DK19" s="37" t="str">
        <f aca="false">IF(OR(DK13="",DK12=""),"",DK13-DK12)</f>
        <v/>
      </c>
      <c r="DL19" s="86" t="str">
        <f aca="false">IF(OR(DK13="",DK12="",DK12=0),"",DK13/DK12-1)</f>
        <v/>
      </c>
      <c r="DM19" s="37" t="str">
        <f aca="false">IF(OR(DM13="",DM12=""),"",DM13-DM12)</f>
        <v/>
      </c>
      <c r="DN19" s="86" t="str">
        <f aca="false">IF(OR(DM13="",DM12="",DM12=0),"",DM13/DM12-1)</f>
        <v/>
      </c>
      <c r="DO19" s="37" t="str">
        <f aca="false">IF(OR(DO13="",DO12=""),"",DO13-DO12)</f>
        <v/>
      </c>
      <c r="DP19" s="86" t="str">
        <f aca="false">IF(OR(DO13="",DO12="",DO12=0),"",DO13/DO12-1)</f>
        <v/>
      </c>
      <c r="DQ19" s="37" t="str">
        <f aca="false">IF(OR(DQ13="",DQ12=""),"",DQ13-DQ12)</f>
        <v/>
      </c>
      <c r="DR19" s="86" t="str">
        <f aca="false">IF(OR(DQ13="",DQ12="",DQ12=0),"",DQ13/DQ12-1)</f>
        <v/>
      </c>
      <c r="DS19" s="37" t="str">
        <f aca="false">IF(OR(DS13="",DS12=""),"",DS13-DS12)</f>
        <v/>
      </c>
      <c r="DT19" s="86" t="str">
        <f aca="false">IF(OR(DS13="",DS12="",DS12=0),"",DS13/DS12-1)</f>
        <v/>
      </c>
      <c r="DU19" s="37" t="str">
        <f aca="false">IF(OR(DU13="",DU12=""),"",DU13-DU12)</f>
        <v/>
      </c>
      <c r="DV19" s="86" t="str">
        <f aca="false">IF(OR(DU13="",DU12="",DU12=0),"",DU13/DU12-1)</f>
        <v/>
      </c>
      <c r="DW19" s="37" t="str">
        <f aca="false">IF(OR(DW13="",DW12=""),"",DW13-DW12)</f>
        <v/>
      </c>
      <c r="DX19" s="86" t="str">
        <f aca="false">IF(OR(DW13="",DW12="",DW12=0),"",DW13/DW12-1)</f>
        <v/>
      </c>
    </row>
    <row r="20" customFormat="false" ht="15" hidden="false" customHeight="true" outlineLevel="0" collapsed="false">
      <c r="A20" s="6"/>
      <c r="B20" s="87"/>
      <c r="C20" s="87"/>
      <c r="D20" s="6"/>
      <c r="E20" s="88"/>
      <c r="F20" s="6" t="s">
        <v>81</v>
      </c>
      <c r="G20" s="66" t="n">
        <v>0.15</v>
      </c>
      <c r="H20" s="85" t="s">
        <v>82</v>
      </c>
      <c r="I20" s="37" t="n">
        <f aca="false">IF(OR(I14="",I12=""),"",I14-I12)</f>
        <v>-2630</v>
      </c>
      <c r="J20" s="86" t="n">
        <f aca="false">IF(OR(I14="",I12="",I12=0),"",I14/I12-1)</f>
        <v>-0.475587703435805</v>
      </c>
      <c r="K20" s="37" t="n">
        <f aca="false">IF(OR(K14="",K12=""),"",K14-K12)</f>
        <v>-3755</v>
      </c>
      <c r="L20" s="86" t="n">
        <f aca="false">IF(OR(K14="",K12="",K12=0),"",K14/K12-1)</f>
        <v>-0.525910364145658</v>
      </c>
      <c r="M20" s="37" t="n">
        <f aca="false">IF(OR(M14="",M12=""),"",M14-M12)</f>
        <v>-2628</v>
      </c>
      <c r="N20" s="86" t="n">
        <f aca="false">IF(OR(M14="",M12="",M12=0),"",M14/M12-1)</f>
        <v>-0.525810324129652</v>
      </c>
      <c r="O20" s="37" t="n">
        <f aca="false">IF(OR(O14="",O12=""),"",O14-O12)</f>
        <v>-2816</v>
      </c>
      <c r="P20" s="86" t="n">
        <f aca="false">IF(OR(O14="",O12="",O12=0),"",O14/O12-1)</f>
        <v>-0.525863678804855</v>
      </c>
      <c r="Q20" s="37" t="n">
        <f aca="false">IF(OR(Q14="",Q12=""),"",Q14-Q12)</f>
        <v>-2800</v>
      </c>
      <c r="R20" s="86" t="n">
        <f aca="false">IF(OR(Q14="",Q12="",Q12=0),"",Q14/Q12-1)</f>
        <v>-0.518518518518519</v>
      </c>
      <c r="S20" s="37" t="str">
        <f aca="false">IF(OR(S14="",S12=""),"",S14-S12)</f>
        <v/>
      </c>
      <c r="T20" s="86" t="str">
        <f aca="false">IF(OR(S14="",S12="",S12=0),"",S14/S12-1)</f>
        <v/>
      </c>
      <c r="U20" s="37" t="n">
        <f aca="false">IF(OR(U14="",U12=""),"",U14-U12)</f>
        <v>-3000</v>
      </c>
      <c r="V20" s="86" t="n">
        <f aca="false">IF(OR(U14="",U12="",U12=0),"",U14/U12-1)</f>
        <v>-0.526315789473684</v>
      </c>
      <c r="W20" s="37" t="str">
        <f aca="false">IF(OR(W14="",W12=""),"",W14-W12)</f>
        <v/>
      </c>
      <c r="X20" s="86" t="str">
        <f aca="false">IF(OR(W14="",W12="",W12=0),"",W14/W12-1)</f>
        <v/>
      </c>
      <c r="Y20" s="37" t="str">
        <f aca="false">IF(OR(Y14="",Y12=""),"",Y14-Y12)</f>
        <v/>
      </c>
      <c r="Z20" s="86" t="str">
        <f aca="false">IF(OR(Y14="",Y12="",Y12=0),"",Y14/Y12-1)</f>
        <v/>
      </c>
      <c r="AA20" s="37" t="str">
        <f aca="false">IF(OR(AA14="",AA12=""),"",AA14-AA12)</f>
        <v/>
      </c>
      <c r="AB20" s="86" t="str">
        <f aca="false">IF(OR(AA14="",AA12="",AA12=0),"",AA14/AA12-1)</f>
        <v/>
      </c>
      <c r="AC20" s="37" t="str">
        <f aca="false">IF(OR(AC14="",AC12=""),"",AC14-AC12)</f>
        <v/>
      </c>
      <c r="AD20" s="86" t="str">
        <f aca="false">IF(OR(AC14="",AC12="",AC12=0),"",AC14/AC12-1)</f>
        <v/>
      </c>
      <c r="AE20" s="37" t="str">
        <f aca="false">IF(OR(AE14="",AE12=""),"",AE14-AE12)</f>
        <v/>
      </c>
      <c r="AF20" s="86" t="str">
        <f aca="false">IF(OR(AE14="",AE12="",AE12=0),"",AE14/AE12-1)</f>
        <v/>
      </c>
      <c r="AG20" s="37" t="str">
        <f aca="false">IF(OR(AG14="",AG12=""),"",AG14-AG12)</f>
        <v/>
      </c>
      <c r="AH20" s="86" t="str">
        <f aca="false">IF(OR(AG14="",AG12="",AG12=0),"",AG14/AG12-1)</f>
        <v/>
      </c>
      <c r="AI20" s="37" t="str">
        <f aca="false">IF(OR(AI14="",AI12=""),"",AI14-AI12)</f>
        <v/>
      </c>
      <c r="AJ20" s="86" t="str">
        <f aca="false">IF(OR(AI14="",AI12="",AI12=0),"",AI14/AI12-1)</f>
        <v/>
      </c>
      <c r="AK20" s="37" t="str">
        <f aca="false">IF(OR(AK14="",AK12=""),"",AK14-AK12)</f>
        <v/>
      </c>
      <c r="AL20" s="86" t="str">
        <f aca="false">IF(OR(AK14="",AK12="",AK12=0),"",AK14/AK12-1)</f>
        <v/>
      </c>
      <c r="AM20" s="37" t="str">
        <f aca="false">IF(OR(AM14="",AM12=""),"",AM14-AM12)</f>
        <v/>
      </c>
      <c r="AN20" s="86" t="str">
        <f aca="false">IF(OR(AM14="",AM12="",AM12=0),"",AM14/AM12-1)</f>
        <v/>
      </c>
      <c r="AO20" s="37" t="str">
        <f aca="false">IF(OR(AO14="",AO12=""),"",AO14-AO12)</f>
        <v/>
      </c>
      <c r="AP20" s="86" t="str">
        <f aca="false">IF(OR(AO14="",AO12="",AO12=0),"",AO14/AO12-1)</f>
        <v/>
      </c>
      <c r="AQ20" s="37" t="str">
        <f aca="false">IF(OR(AQ14="",AQ12=""),"",AQ14-AQ12)</f>
        <v/>
      </c>
      <c r="AR20" s="86" t="str">
        <f aca="false">IF(OR(AQ14="",AQ12="",AQ12=0),"",AQ14/AQ12-1)</f>
        <v/>
      </c>
      <c r="AS20" s="37" t="str">
        <f aca="false">IF(OR(AS14="",AS12=""),"",AS14-AS12)</f>
        <v/>
      </c>
      <c r="AT20" s="86" t="str">
        <f aca="false">IF(OR(AS14="",AS12="",AS12=0),"",AS14/AS12-1)</f>
        <v/>
      </c>
      <c r="AU20" s="37" t="str">
        <f aca="false">IF(OR(AU14="",AU12=""),"",AU14-AU12)</f>
        <v/>
      </c>
      <c r="AV20" s="86" t="str">
        <f aca="false">IF(OR(AU14="",AU12="",AU12=0),"",AU14/AU12-1)</f>
        <v/>
      </c>
      <c r="AW20" s="37" t="n">
        <f aca="false">IF(OR(AW14="",AW12=""),"",AW14-AW12)</f>
        <v>-3000</v>
      </c>
      <c r="AX20" s="86" t="n">
        <f aca="false">IF(OR(AW14="",AW12="",AW12=0),"",AW14/AW12-1)</f>
        <v>-0.508474576271186</v>
      </c>
      <c r="AY20" s="37" t="n">
        <f aca="false">IF(OR(AY14="",AY12=""),"",AY14-AY12)</f>
        <v>-3450</v>
      </c>
      <c r="AZ20" s="86" t="n">
        <f aca="false">IF(OR(AY14="",AY12="",AY12=0),"",AY14/AY12-1)</f>
        <v>-0.511111111111111</v>
      </c>
      <c r="BA20" s="37" t="n">
        <f aca="false">IF(OR(BA14="",BA12=""),"",BA14-BA12)</f>
        <v>-4005</v>
      </c>
      <c r="BB20" s="86" t="n">
        <f aca="false">IF(OR(BA14="",BA12="",BA12=0),"",BA14/BA12-1)</f>
        <v>-0.494444444444444</v>
      </c>
      <c r="BC20" s="37" t="n">
        <f aca="false">IF(OR(BC14="",BC12=""),"",BC14-BC12)</f>
        <v>-6100</v>
      </c>
      <c r="BD20" s="86" t="n">
        <f aca="false">IF(OR(BC14="",BC12="",BC12=0),"",BC14/BC12-1)</f>
        <v>-0.451851851851852</v>
      </c>
      <c r="BE20" s="37" t="n">
        <f aca="false">IF(OR(BE14="",BE12=""),"",BE14-BE12)</f>
        <v>-3300</v>
      </c>
      <c r="BF20" s="86" t="n">
        <f aca="false">IF(OR(BE14="",BE12="",BE12=0),"",BE14/BE12-1)</f>
        <v>-0.5</v>
      </c>
      <c r="BG20" s="37" t="n">
        <f aca="false">IF(OR(BG14="",BG12=""),"",BG14-BG12)</f>
        <v>-3900</v>
      </c>
      <c r="BH20" s="86" t="n">
        <f aca="false">IF(OR(BG14="",BG12="",BG12=0),"",BG14/BG12-1)</f>
        <v>-0.506493506493507</v>
      </c>
      <c r="BI20" s="37" t="n">
        <f aca="false">IF(OR(BI14="",BI12=""),"",BI14-BI12)</f>
        <v>-4400</v>
      </c>
      <c r="BJ20" s="86" t="n">
        <f aca="false">IF(OR(BI14="",BI12="",BI12=0),"",BI14/BI12-1)</f>
        <v>-0.488888888888889</v>
      </c>
      <c r="BK20" s="37" t="n">
        <f aca="false">IF(OR(BK14="",BK12=""),"",BK14-BK12)</f>
        <v>-7400</v>
      </c>
      <c r="BL20" s="86" t="n">
        <f aca="false">IF(OR(BK14="",BK12="",BK12=0),"",BK14/BK12-1)</f>
        <v>-0.474358974358974</v>
      </c>
      <c r="BM20" s="37" t="str">
        <f aca="false">IF(OR(BM14="",BM12=""),"",BM14-BM12)</f>
        <v/>
      </c>
      <c r="BN20" s="86" t="str">
        <f aca="false">IF(OR(BM14="",BM12="",BM12=0),"",BM14/BM12-1)</f>
        <v/>
      </c>
      <c r="BO20" s="37" t="str">
        <f aca="false">IF(OR(BO14="",BO12=""),"",BO14-BO12)</f>
        <v/>
      </c>
      <c r="BP20" s="86" t="str">
        <f aca="false">IF(OR(BO14="",BO12="",BO12=0),"",BO14/BO12-1)</f>
        <v/>
      </c>
      <c r="BQ20" s="37" t="str">
        <f aca="false">IF(OR(BQ14="",BQ12=""),"",BQ14-BQ12)</f>
        <v/>
      </c>
      <c r="BR20" s="86" t="str">
        <f aca="false">IF(OR(BQ14="",BQ12="",BQ12=0),"",BQ14/BQ12-1)</f>
        <v/>
      </c>
      <c r="BS20" s="37" t="str">
        <f aca="false">IF(OR(BS14="",BS12=""),"",BS14-BS12)</f>
        <v/>
      </c>
      <c r="BT20" s="86" t="str">
        <f aca="false">IF(OR(BS14="",BS12="",BS12=0),"",BS14/BS12-1)</f>
        <v/>
      </c>
      <c r="BU20" s="37" t="str">
        <f aca="false">IF(OR(BU14="",BU12=""),"",BU14-BU12)</f>
        <v/>
      </c>
      <c r="BV20" s="86" t="str">
        <f aca="false">IF(OR(BU14="",BU12="",BU12=0),"",BU14/BU12-1)</f>
        <v/>
      </c>
      <c r="BW20" s="37" t="str">
        <f aca="false">IF(OR(BW14="",BW12=""),"",BW14-BW12)</f>
        <v/>
      </c>
      <c r="BX20" s="86" t="str">
        <f aca="false">IF(OR(BW14="",BW12="",BW12=0),"",BW14/BW12-1)</f>
        <v/>
      </c>
      <c r="BY20" s="37" t="str">
        <f aca="false">IF(OR(BY14="",BY12=""),"",BY14-BY12)</f>
        <v/>
      </c>
      <c r="BZ20" s="86" t="str">
        <f aca="false">IF(OR(BY14="",BY12="",BY12=0),"",BY14/BY12-1)</f>
        <v/>
      </c>
      <c r="CA20" s="37" t="str">
        <f aca="false">IF(OR(CA14="",CA12=""),"",CA14-CA12)</f>
        <v/>
      </c>
      <c r="CB20" s="86" t="str">
        <f aca="false">IF(OR(CA14="",CA12="",CA12=0),"",CA14/CA12-1)</f>
        <v/>
      </c>
      <c r="CC20" s="37" t="str">
        <f aca="false">IF(OR(CC14="",CC12=""),"",CC14-CC12)</f>
        <v/>
      </c>
      <c r="CD20" s="86" t="str">
        <f aca="false">IF(OR(CC14="",CC12="",CC12=0),"",CC14/CC12-1)</f>
        <v/>
      </c>
      <c r="CE20" s="37" t="str">
        <f aca="false">IF(OR(CE14="",CE12=""),"",CE14-CE12)</f>
        <v/>
      </c>
      <c r="CF20" s="86" t="str">
        <f aca="false">IF(OR(CE14="",CE12="",CE12=0),"",CE14/CE12-1)</f>
        <v/>
      </c>
      <c r="CG20" s="37" t="str">
        <f aca="false">IF(OR(CG14="",CG12=""),"",CG14-CG12)</f>
        <v/>
      </c>
      <c r="CH20" s="86" t="str">
        <f aca="false">IF(OR(CG14="",CG12="",CG12=0),"",CG14/CG12-1)</f>
        <v/>
      </c>
      <c r="CI20" s="37" t="str">
        <f aca="false">IF(OR(CI14="",CI12=""),"",CI14-CI12)</f>
        <v/>
      </c>
      <c r="CJ20" s="86" t="str">
        <f aca="false">IF(OR(CI14="",CI12="",CI12=0),"",CI14/CI12-1)</f>
        <v/>
      </c>
      <c r="CK20" s="37" t="str">
        <f aca="false">IF(OR(CK14="",CK12=""),"",CK14-CK12)</f>
        <v/>
      </c>
      <c r="CL20" s="86" t="str">
        <f aca="false">IF(OR(CK14="",CK12="",CK12=0),"",CK14/CK12-1)</f>
        <v/>
      </c>
      <c r="CM20" s="37" t="str">
        <f aca="false">IF(OR(CM14="",CM12=""),"",CM14-CM12)</f>
        <v/>
      </c>
      <c r="CN20" s="86" t="str">
        <f aca="false">IF(OR(CM14="",CM12="",CM12=0),"",CM14/CM12-1)</f>
        <v/>
      </c>
      <c r="CO20" s="37" t="str">
        <f aca="false">IF(OR(CO14="",CO12=""),"",CO14-CO12)</f>
        <v/>
      </c>
      <c r="CP20" s="86" t="str">
        <f aca="false">IF(OR(CO14="",CO12="",CO12=0),"",CO14/CO12-1)</f>
        <v/>
      </c>
      <c r="CQ20" s="37" t="str">
        <f aca="false">IF(OR(CQ14="",CQ12=""),"",CQ14-CQ12)</f>
        <v/>
      </c>
      <c r="CR20" s="86" t="str">
        <f aca="false">IF(OR(CQ14="",CQ12="",CQ12=0),"",CQ14/CQ12-1)</f>
        <v/>
      </c>
      <c r="CS20" s="37" t="str">
        <f aca="false">IF(OR(CS14="",CS12=""),"",CS14-CS12)</f>
        <v/>
      </c>
      <c r="CT20" s="86" t="str">
        <f aca="false">IF(OR(CS14="",CS12="",CS12=0),"",CS14/CS12-1)</f>
        <v/>
      </c>
      <c r="CU20" s="37" t="str">
        <f aca="false">IF(OR(CU14="",CU12=""),"",CU14-CU12)</f>
        <v/>
      </c>
      <c r="CV20" s="86" t="str">
        <f aca="false">IF(OR(CU14="",CU12="",CU12=0),"",CU14/CU12-1)</f>
        <v/>
      </c>
      <c r="CW20" s="37" t="str">
        <f aca="false">IF(OR(CW14="",CW12=""),"",CW14-CW12)</f>
        <v/>
      </c>
      <c r="CX20" s="86" t="str">
        <f aca="false">IF(OR(CW14="",CW12="",CW12=0),"",CW14/CW12-1)</f>
        <v/>
      </c>
      <c r="CY20" s="37" t="str">
        <f aca="false">IF(OR(CY14="",CY12=""),"",CY14-CY12)</f>
        <v/>
      </c>
      <c r="CZ20" s="86" t="str">
        <f aca="false">IF(OR(CY14="",CY12="",CY12=0),"",CY14/CY12-1)</f>
        <v/>
      </c>
      <c r="DA20" s="37" t="str">
        <f aca="false">IF(OR(DA14="",DA12=""),"",DA14-DA12)</f>
        <v/>
      </c>
      <c r="DB20" s="86" t="str">
        <f aca="false">IF(OR(DA14="",DA12="",DA12=0),"",DA14/DA12-1)</f>
        <v/>
      </c>
      <c r="DC20" s="37" t="str">
        <f aca="false">IF(OR(DC14="",DC12=""),"",DC14-DC12)</f>
        <v/>
      </c>
      <c r="DD20" s="86" t="str">
        <f aca="false">IF(OR(DC14="",DC12="",DC12=0),"",DC14/DC12-1)</f>
        <v/>
      </c>
      <c r="DE20" s="37" t="str">
        <f aca="false">IF(OR(DE14="",DE12=""),"",DE14-DE12)</f>
        <v/>
      </c>
      <c r="DF20" s="86" t="str">
        <f aca="false">IF(OR(DE14="",DE12="",DE12=0),"",DE14/DE12-1)</f>
        <v/>
      </c>
      <c r="DG20" s="37" t="str">
        <f aca="false">IF(OR(DG14="",DG12=""),"",DG14-DG12)</f>
        <v/>
      </c>
      <c r="DH20" s="86" t="str">
        <f aca="false">IF(OR(DG14="",DG12="",DG12=0),"",DG14/DG12-1)</f>
        <v/>
      </c>
      <c r="DI20" s="37" t="str">
        <f aca="false">IF(OR(DI14="",DI12=""),"",DI14-DI12)</f>
        <v/>
      </c>
      <c r="DJ20" s="86" t="str">
        <f aca="false">IF(OR(DI14="",DI12="",DI12=0),"",DI14/DI12-1)</f>
        <v/>
      </c>
      <c r="DK20" s="37" t="str">
        <f aca="false">IF(OR(DK14="",DK12=""),"",DK14-DK12)</f>
        <v/>
      </c>
      <c r="DL20" s="86" t="str">
        <f aca="false">IF(OR(DK14="",DK12="",DK12=0),"",DK14/DK12-1)</f>
        <v/>
      </c>
      <c r="DM20" s="37" t="str">
        <f aca="false">IF(OR(DM14="",DM12=""),"",DM14-DM12)</f>
        <v/>
      </c>
      <c r="DN20" s="86" t="str">
        <f aca="false">IF(OR(DM14="",DM12="",DM12=0),"",DM14/DM12-1)</f>
        <v/>
      </c>
      <c r="DO20" s="37" t="str">
        <f aca="false">IF(OR(DO14="",DO12=""),"",DO14-DO12)</f>
        <v/>
      </c>
      <c r="DP20" s="86" t="str">
        <f aca="false">IF(OR(DO14="",DO12="",DO12=0),"",DO14/DO12-1)</f>
        <v/>
      </c>
      <c r="DQ20" s="37" t="str">
        <f aca="false">IF(OR(DQ14="",DQ12=""),"",DQ14-DQ12)</f>
        <v/>
      </c>
      <c r="DR20" s="86" t="str">
        <f aca="false">IF(OR(DQ14="",DQ12="",DQ12=0),"",DQ14/DQ12-1)</f>
        <v/>
      </c>
      <c r="DS20" s="37" t="str">
        <f aca="false">IF(OR(DS14="",DS12=""),"",DS14-DS12)</f>
        <v/>
      </c>
      <c r="DT20" s="86" t="str">
        <f aca="false">IF(OR(DS14="",DS12="",DS12=0),"",DS14/DS12-1)</f>
        <v/>
      </c>
      <c r="DU20" s="37" t="str">
        <f aca="false">IF(OR(DU14="",DU12=""),"",DU14-DU12)</f>
        <v/>
      </c>
      <c r="DV20" s="86" t="str">
        <f aca="false">IF(OR(DU14="",DU12="",DU12=0),"",DU14/DU12-1)</f>
        <v/>
      </c>
      <c r="DW20" s="37" t="str">
        <f aca="false">IF(OR(DW14="",DW12=""),"",DW14-DW12)</f>
        <v/>
      </c>
      <c r="DX20" s="86" t="str">
        <f aca="false">IF(OR(DW14="",DW12="",DW12=0),"",DW14/DW12-1)</f>
        <v/>
      </c>
    </row>
    <row r="21" customFormat="false" ht="15.75" hidden="false" customHeight="true" outlineLevel="0" collapsed="false">
      <c r="A21" s="89"/>
      <c r="B21" s="90"/>
      <c r="C21" s="90"/>
      <c r="D21" s="89"/>
      <c r="E21" s="91"/>
      <c r="F21" s="69"/>
      <c r="G21" s="92"/>
      <c r="H21" s="85" t="s">
        <v>83</v>
      </c>
      <c r="I21" s="37" t="n">
        <f aca="false">IF(OR(I15="",I14=""),"",I15-I14)</f>
        <v>1300</v>
      </c>
      <c r="J21" s="86" t="n">
        <f aca="false">IF(OR(I15="",I14="",I14=0),"",I15/I14-1)</f>
        <v>0.448275862068966</v>
      </c>
      <c r="K21" s="37" t="n">
        <f aca="false">IF(OR(K15="",K14=""),"",K15-K14)</f>
        <v>800</v>
      </c>
      <c r="L21" s="86" t="n">
        <f aca="false">IF(OR(K15="",K14="",K14=0),"",K15/K14-1)</f>
        <v>0.236336779911374</v>
      </c>
      <c r="M21" s="37" t="n">
        <f aca="false">IF(OR(M15="",M14=""),"",M15-M14)</f>
        <v>560</v>
      </c>
      <c r="N21" s="86" t="n">
        <f aca="false">IF(OR(M15="",M14="",M14=0),"",M15/M14-1)</f>
        <v>0.236286919831224</v>
      </c>
      <c r="O21" s="37" t="n">
        <f aca="false">IF(OR(O15="",O14=""),"",O15-O14)</f>
        <v>809</v>
      </c>
      <c r="P21" s="86" t="n">
        <f aca="false">IF(OR(O15="",O14="",O14=0),"",O15/O14-1)</f>
        <v>0.318629381646318</v>
      </c>
      <c r="Q21" s="37" t="n">
        <f aca="false">IF(OR(Q15="",Q14=""),"",Q15-Q14)</f>
        <v>800</v>
      </c>
      <c r="R21" s="86" t="n">
        <f aca="false">IF(OR(Q15="",Q14="",Q14=0),"",Q15/Q14-1)</f>
        <v>0.307692307692308</v>
      </c>
      <c r="S21" s="37" t="str">
        <f aca="false">IF(OR(S15="",S14=""),"",S15-S14)</f>
        <v/>
      </c>
      <c r="T21" s="86" t="str">
        <f aca="false">IF(OR(S15="",S14="",S14=0),"",S15/S14-1)</f>
        <v/>
      </c>
      <c r="U21" s="37" t="n">
        <f aca="false">IF(OR(U15="",U14=""),"",U15-U14)</f>
        <v>700</v>
      </c>
      <c r="V21" s="86" t="n">
        <f aca="false">IF(OR(U15="",U14="",U14=0),"",U15/U14-1)</f>
        <v>0.259259259259259</v>
      </c>
      <c r="W21" s="37" t="str">
        <f aca="false">IF(OR(W15="",W14=""),"",W15-W14)</f>
        <v/>
      </c>
      <c r="X21" s="86" t="str">
        <f aca="false">IF(OR(W15="",W14="",W14=0),"",W15/W14-1)</f>
        <v/>
      </c>
      <c r="Y21" s="37" t="str">
        <f aca="false">IF(OR(Y15="",Y14=""),"",Y15-Y14)</f>
        <v/>
      </c>
      <c r="Z21" s="86" t="str">
        <f aca="false">IF(OR(Y15="",Y14="",Y14=0),"",Y15/Y14-1)</f>
        <v/>
      </c>
      <c r="AA21" s="37" t="str">
        <f aca="false">IF(OR(AA15="",AA14=""),"",AA15-AA14)</f>
        <v/>
      </c>
      <c r="AB21" s="86" t="str">
        <f aca="false">IF(OR(AA15="",AA14="",AA14=0),"",AA15/AA14-1)</f>
        <v/>
      </c>
      <c r="AC21" s="37" t="str">
        <f aca="false">IF(OR(AC15="",AC14=""),"",AC15-AC14)</f>
        <v/>
      </c>
      <c r="AD21" s="86" t="str">
        <f aca="false">IF(OR(AC15="",AC14="",AC14=0),"",AC15/AC14-1)</f>
        <v/>
      </c>
      <c r="AE21" s="37" t="str">
        <f aca="false">IF(OR(AE15="",AE14=""),"",AE15-AE14)</f>
        <v/>
      </c>
      <c r="AF21" s="86" t="str">
        <f aca="false">IF(OR(AE15="",AE14="",AE14=0),"",AE15/AE14-1)</f>
        <v/>
      </c>
      <c r="AG21" s="37" t="str">
        <f aca="false">IF(OR(AG15="",AG14=""),"",AG15-AG14)</f>
        <v/>
      </c>
      <c r="AH21" s="86" t="str">
        <f aca="false">IF(OR(AG15="",AG14="",AG14=0),"",AG15/AG14-1)</f>
        <v/>
      </c>
      <c r="AI21" s="37" t="str">
        <f aca="false">IF(OR(AI15="",AI14=""),"",AI15-AI14)</f>
        <v/>
      </c>
      <c r="AJ21" s="86" t="str">
        <f aca="false">IF(OR(AI15="",AI14="",AI14=0),"",AI15/AI14-1)</f>
        <v/>
      </c>
      <c r="AK21" s="37" t="str">
        <f aca="false">IF(OR(AK15="",AK14=""),"",AK15-AK14)</f>
        <v/>
      </c>
      <c r="AL21" s="86" t="str">
        <f aca="false">IF(OR(AK15="",AK14="",AK14=0),"",AK15/AK14-1)</f>
        <v/>
      </c>
      <c r="AM21" s="37" t="str">
        <f aca="false">IF(OR(AM15="",AM14=""),"",AM15-AM14)</f>
        <v/>
      </c>
      <c r="AN21" s="86" t="str">
        <f aca="false">IF(OR(AM15="",AM14="",AM14=0),"",AM15/AM14-1)</f>
        <v/>
      </c>
      <c r="AO21" s="37" t="str">
        <f aca="false">IF(OR(AO15="",AO14=""),"",AO15-AO14)</f>
        <v/>
      </c>
      <c r="AP21" s="86" t="str">
        <f aca="false">IF(OR(AO15="",AO14="",AO14=0),"",AO15/AO14-1)</f>
        <v/>
      </c>
      <c r="AQ21" s="37" t="str">
        <f aca="false">IF(OR(AQ15="",AQ14=""),"",AQ15-AQ14)</f>
        <v/>
      </c>
      <c r="AR21" s="86" t="str">
        <f aca="false">IF(OR(AQ15="",AQ14="",AQ14=0),"",AQ15/AQ14-1)</f>
        <v/>
      </c>
      <c r="AS21" s="37" t="str">
        <f aca="false">IF(OR(AS15="",AS14=""),"",AS15-AS14)</f>
        <v/>
      </c>
      <c r="AT21" s="86" t="str">
        <f aca="false">IF(OR(AS15="",AS14="",AS14=0),"",AS15/AS14-1)</f>
        <v/>
      </c>
      <c r="AU21" s="37" t="str">
        <f aca="false">IF(OR(AU15="",AU14=""),"",AU15-AU14)</f>
        <v/>
      </c>
      <c r="AV21" s="86" t="str">
        <f aca="false">IF(OR(AU15="",AU14="",AU14=0),"",AU15/AU14-1)</f>
        <v/>
      </c>
      <c r="AW21" s="37" t="n">
        <f aca="false">IF(OR(AW15="",AW14=""),"",AW15-AW14)</f>
        <v>1300</v>
      </c>
      <c r="AX21" s="86" t="n">
        <f aca="false">IF(OR(AW15="",AW14="",AW14=0),"",AW15/AW14-1)</f>
        <v>0.448275862068966</v>
      </c>
      <c r="AY21" s="37" t="n">
        <f aca="false">IF(OR(AY15="",AY14=""),"",AY15-AY14)</f>
        <v>1400</v>
      </c>
      <c r="AZ21" s="86" t="n">
        <f aca="false">IF(OR(AY15="",AY14="",AY14=0),"",AY15/AY14-1)</f>
        <v>0.424242424242424</v>
      </c>
      <c r="BA21" s="37" t="n">
        <f aca="false">IF(OR(BA15="",BA14=""),"",BA15-BA14)</f>
        <v>1612</v>
      </c>
      <c r="BB21" s="86" t="n">
        <f aca="false">IF(OR(BA15="",BA14="",BA14=0),"",BA15/BA14-1)</f>
        <v>0.393650793650794</v>
      </c>
      <c r="BC21" s="37" t="n">
        <f aca="false">IF(OR(BC15="",BC14=""),"",BC15-BC14)</f>
        <v>2000</v>
      </c>
      <c r="BD21" s="86" t="n">
        <f aca="false">IF(OR(BC15="",BC14="",BC14=0),"",BC15/BC14-1)</f>
        <v>0.27027027027027</v>
      </c>
      <c r="BE21" s="37" t="n">
        <f aca="false">IF(OR(BE15="",BE14=""),"",BE15-BE14)</f>
        <v>1200</v>
      </c>
      <c r="BF21" s="86" t="n">
        <f aca="false">IF(OR(BE15="",BE14="",BE14=0),"",BE15/BE14-1)</f>
        <v>0.363636363636364</v>
      </c>
      <c r="BG21" s="37" t="n">
        <f aca="false">IF(OR(BG15="",BG14=""),"",BG15-BG14)</f>
        <v>1500</v>
      </c>
      <c r="BH21" s="86" t="n">
        <f aca="false">IF(OR(BG15="",BG14="",BG14=0),"",BG15/BG14-1)</f>
        <v>0.394736842105263</v>
      </c>
      <c r="BI21" s="37" t="n">
        <f aca="false">IF(OR(BI15="",BI14=""),"",BI15-BI14)</f>
        <v>1600</v>
      </c>
      <c r="BJ21" s="86" t="n">
        <f aca="false">IF(OR(BI15="",BI14="",BI14=0),"",BI15/BI14-1)</f>
        <v>0.347826086956522</v>
      </c>
      <c r="BK21" s="37" t="n">
        <f aca="false">IF(OR(BK15="",BK14=""),"",BK15-BK14)</f>
        <v>2500</v>
      </c>
      <c r="BL21" s="86" t="n">
        <f aca="false">IF(OR(BK15="",BK14="",BK14=0),"",BK15/BK14-1)</f>
        <v>0.304878048780488</v>
      </c>
      <c r="BM21" s="37" t="str">
        <f aca="false">IF(OR(BM15="",BM14=""),"",BM15-BM14)</f>
        <v/>
      </c>
      <c r="BN21" s="86" t="str">
        <f aca="false">IF(OR(BM15="",BM14="",BM14=0),"",BM15/BM14-1)</f>
        <v/>
      </c>
      <c r="BO21" s="37" t="str">
        <f aca="false">IF(OR(BO15="",BO14=""),"",BO15-BO14)</f>
        <v/>
      </c>
      <c r="BP21" s="86" t="str">
        <f aca="false">IF(OR(BO15="",BO14="",BO14=0),"",BO15/BO14-1)</f>
        <v/>
      </c>
      <c r="BQ21" s="37" t="str">
        <f aca="false">IF(OR(BQ15="",BQ14=""),"",BQ15-BQ14)</f>
        <v/>
      </c>
      <c r="BR21" s="86" t="str">
        <f aca="false">IF(OR(BQ15="",BQ14="",BQ14=0),"",BQ15/BQ14-1)</f>
        <v/>
      </c>
      <c r="BS21" s="37" t="str">
        <f aca="false">IF(OR(BS15="",BS14=""),"",BS15-BS14)</f>
        <v/>
      </c>
      <c r="BT21" s="86" t="str">
        <f aca="false">IF(OR(BS15="",BS14="",BS14=0),"",BS15/BS14-1)</f>
        <v/>
      </c>
      <c r="BU21" s="37" t="str">
        <f aca="false">IF(OR(BU15="",BU14=""),"",BU15-BU14)</f>
        <v/>
      </c>
      <c r="BV21" s="86" t="str">
        <f aca="false">IF(OR(BU15="",BU14="",BU14=0),"",BU15/BU14-1)</f>
        <v/>
      </c>
      <c r="BW21" s="37" t="str">
        <f aca="false">IF(OR(BW15="",BW14=""),"",BW15-BW14)</f>
        <v/>
      </c>
      <c r="BX21" s="86" t="str">
        <f aca="false">IF(OR(BW15="",BW14="",BW14=0),"",BW15/BW14-1)</f>
        <v/>
      </c>
      <c r="BY21" s="37" t="str">
        <f aca="false">IF(OR(BY15="",BY14=""),"",BY15-BY14)</f>
        <v/>
      </c>
      <c r="BZ21" s="86" t="str">
        <f aca="false">IF(OR(BY15="",BY14="",BY14=0),"",BY15/BY14-1)</f>
        <v/>
      </c>
      <c r="CA21" s="37" t="str">
        <f aca="false">IF(OR(CA15="",CA14=""),"",CA15-CA14)</f>
        <v/>
      </c>
      <c r="CB21" s="86" t="str">
        <f aca="false">IF(OR(CA15="",CA14="",CA14=0),"",CA15/CA14-1)</f>
        <v/>
      </c>
      <c r="CC21" s="37" t="str">
        <f aca="false">IF(OR(CC15="",CC14=""),"",CC15-CC14)</f>
        <v/>
      </c>
      <c r="CD21" s="86" t="str">
        <f aca="false">IF(OR(CC15="",CC14="",CC14=0),"",CC15/CC14-1)</f>
        <v/>
      </c>
      <c r="CE21" s="37" t="str">
        <f aca="false">IF(OR(CE15="",CE14=""),"",CE15-CE14)</f>
        <v/>
      </c>
      <c r="CF21" s="86" t="str">
        <f aca="false">IF(OR(CE15="",CE14="",CE14=0),"",CE15/CE14-1)</f>
        <v/>
      </c>
      <c r="CG21" s="37" t="str">
        <f aca="false">IF(OR(CG15="",CG14=""),"",CG15-CG14)</f>
        <v/>
      </c>
      <c r="CH21" s="86" t="str">
        <f aca="false">IF(OR(CG15="",CG14="",CG14=0),"",CG15/CG14-1)</f>
        <v/>
      </c>
      <c r="CI21" s="37" t="str">
        <f aca="false">IF(OR(CI15="",CI14=""),"",CI15-CI14)</f>
        <v/>
      </c>
      <c r="CJ21" s="86" t="str">
        <f aca="false">IF(OR(CI15="",CI14="",CI14=0),"",CI15/CI14-1)</f>
        <v/>
      </c>
      <c r="CK21" s="37" t="str">
        <f aca="false">IF(OR(CK15="",CK14=""),"",CK15-CK14)</f>
        <v/>
      </c>
      <c r="CL21" s="86" t="str">
        <f aca="false">IF(OR(CK15="",CK14="",CK14=0),"",CK15/CK14-1)</f>
        <v/>
      </c>
      <c r="CM21" s="37" t="str">
        <f aca="false">IF(OR(CM15="",CM14=""),"",CM15-CM14)</f>
        <v/>
      </c>
      <c r="CN21" s="86" t="str">
        <f aca="false">IF(OR(CM15="",CM14="",CM14=0),"",CM15/CM14-1)</f>
        <v/>
      </c>
      <c r="CO21" s="37" t="str">
        <f aca="false">IF(OR(CO15="",CO14=""),"",CO15-CO14)</f>
        <v/>
      </c>
      <c r="CP21" s="86" t="str">
        <f aca="false">IF(OR(CO15="",CO14="",CO14=0),"",CO15/CO14-1)</f>
        <v/>
      </c>
      <c r="CQ21" s="37" t="str">
        <f aca="false">IF(OR(CQ15="",CQ14=""),"",CQ15-CQ14)</f>
        <v/>
      </c>
      <c r="CR21" s="86" t="str">
        <f aca="false">IF(OR(CQ15="",CQ14="",CQ14=0),"",CQ15/CQ14-1)</f>
        <v/>
      </c>
      <c r="CS21" s="37" t="str">
        <f aca="false">IF(OR(CS15="",CS14=""),"",CS15-CS14)</f>
        <v/>
      </c>
      <c r="CT21" s="86" t="str">
        <f aca="false">IF(OR(CS15="",CS14="",CS14=0),"",CS15/CS14-1)</f>
        <v/>
      </c>
      <c r="CU21" s="37" t="str">
        <f aca="false">IF(OR(CU15="",CU14=""),"",CU15-CU14)</f>
        <v/>
      </c>
      <c r="CV21" s="86" t="str">
        <f aca="false">IF(OR(CU15="",CU14="",CU14=0),"",CU15/CU14-1)</f>
        <v/>
      </c>
      <c r="CW21" s="37" t="str">
        <f aca="false">IF(OR(CW15="",CW14=""),"",CW15-CW14)</f>
        <v/>
      </c>
      <c r="CX21" s="86" t="str">
        <f aca="false">IF(OR(CW15="",CW14="",CW14=0),"",CW15/CW14-1)</f>
        <v/>
      </c>
      <c r="CY21" s="37" t="str">
        <f aca="false">IF(OR(CY15="",CY14=""),"",CY15-CY14)</f>
        <v/>
      </c>
      <c r="CZ21" s="86" t="str">
        <f aca="false">IF(OR(CY15="",CY14="",CY14=0),"",CY15/CY14-1)</f>
        <v/>
      </c>
      <c r="DA21" s="37" t="str">
        <f aca="false">IF(OR(DA15="",DA14=""),"",DA15-DA14)</f>
        <v/>
      </c>
      <c r="DB21" s="86" t="str">
        <f aca="false">IF(OR(DA15="",DA14="",DA14=0),"",DA15/DA14-1)</f>
        <v/>
      </c>
      <c r="DC21" s="37" t="str">
        <f aca="false">IF(OR(DC15="",DC14=""),"",DC15-DC14)</f>
        <v/>
      </c>
      <c r="DD21" s="86" t="str">
        <f aca="false">IF(OR(DC15="",DC14="",DC14=0),"",DC15/DC14-1)</f>
        <v/>
      </c>
      <c r="DE21" s="37" t="str">
        <f aca="false">IF(OR(DE15="",DE14=""),"",DE15-DE14)</f>
        <v/>
      </c>
      <c r="DF21" s="86" t="str">
        <f aca="false">IF(OR(DE15="",DE14="",DE14=0),"",DE15/DE14-1)</f>
        <v/>
      </c>
      <c r="DG21" s="37" t="str">
        <f aca="false">IF(OR(DG15="",DG14=""),"",DG15-DG14)</f>
        <v/>
      </c>
      <c r="DH21" s="86" t="str">
        <f aca="false">IF(OR(DG15="",DG14="",DG14=0),"",DG15/DG14-1)</f>
        <v/>
      </c>
      <c r="DI21" s="37" t="str">
        <f aca="false">IF(OR(DI15="",DI14=""),"",DI15-DI14)</f>
        <v/>
      </c>
      <c r="DJ21" s="86" t="str">
        <f aca="false">IF(OR(DI15="",DI14="",DI14=0),"",DI15/DI14-1)</f>
        <v/>
      </c>
      <c r="DK21" s="37" t="str">
        <f aca="false">IF(OR(DK15="",DK14=""),"",DK15-DK14)</f>
        <v/>
      </c>
      <c r="DL21" s="86" t="str">
        <f aca="false">IF(OR(DK15="",DK14="",DK14=0),"",DK15/DK14-1)</f>
        <v/>
      </c>
      <c r="DM21" s="37" t="str">
        <f aca="false">IF(OR(DM15="",DM14=""),"",DM15-DM14)</f>
        <v/>
      </c>
      <c r="DN21" s="86" t="str">
        <f aca="false">IF(OR(DM15="",DM14="",DM14=0),"",DM15/DM14-1)</f>
        <v/>
      </c>
      <c r="DO21" s="37" t="str">
        <f aca="false">IF(OR(DO15="",DO14=""),"",DO15-DO14)</f>
        <v/>
      </c>
      <c r="DP21" s="86" t="str">
        <f aca="false">IF(OR(DO15="",DO14="",DO14=0),"",DO15/DO14-1)</f>
        <v/>
      </c>
      <c r="DQ21" s="37" t="str">
        <f aca="false">IF(OR(DQ15="",DQ14=""),"",DQ15-DQ14)</f>
        <v/>
      </c>
      <c r="DR21" s="86" t="str">
        <f aca="false">IF(OR(DQ15="",DQ14="",DQ14=0),"",DQ15/DQ14-1)</f>
        <v/>
      </c>
      <c r="DS21" s="37" t="str">
        <f aca="false">IF(OR(DS15="",DS14=""),"",DS15-DS14)</f>
        <v/>
      </c>
      <c r="DT21" s="86" t="str">
        <f aca="false">IF(OR(DS15="",DS14="",DS14=0),"",DS15/DS14-1)</f>
        <v/>
      </c>
      <c r="DU21" s="37" t="str">
        <f aca="false">IF(OR(DU15="",DU14=""),"",DU15-DU14)</f>
        <v/>
      </c>
      <c r="DV21" s="86" t="str">
        <f aca="false">IF(OR(DU15="",DU14="",DU14=0),"",DU15/DU14-1)</f>
        <v/>
      </c>
      <c r="DW21" s="37" t="str">
        <f aca="false">IF(OR(DW15="",DW14=""),"",DW15-DW14)</f>
        <v/>
      </c>
      <c r="DX21" s="86" t="str">
        <f aca="false">IF(OR(DW15="",DW14="",DW14=0),"",DW15/DW14-1)</f>
        <v/>
      </c>
    </row>
    <row r="22" customFormat="false" ht="15.75" hidden="false" customHeight="true" outlineLevel="0" collapsed="false">
      <c r="A22" s="6"/>
      <c r="B22" s="87"/>
      <c r="C22" s="87"/>
      <c r="D22" s="6"/>
      <c r="E22" s="88"/>
      <c r="F22" s="4"/>
      <c r="G22" s="4"/>
      <c r="H22" s="67"/>
      <c r="I22" s="84"/>
      <c r="J22" s="67"/>
      <c r="K22" s="84"/>
      <c r="L22" s="67"/>
      <c r="M22" s="84"/>
      <c r="N22" s="67"/>
      <c r="O22" s="84"/>
      <c r="P22" s="67"/>
      <c r="Q22" s="84"/>
      <c r="R22" s="67"/>
      <c r="S22" s="84"/>
      <c r="T22" s="67"/>
      <c r="U22" s="84"/>
      <c r="V22" s="67"/>
      <c r="W22" s="84"/>
      <c r="X22" s="67"/>
      <c r="Y22" s="84"/>
      <c r="Z22" s="67"/>
      <c r="AA22" s="84"/>
      <c r="AB22" s="67"/>
      <c r="AC22" s="84"/>
      <c r="AD22" s="67"/>
      <c r="AE22" s="84"/>
      <c r="AF22" s="67"/>
      <c r="AG22" s="84"/>
      <c r="AH22" s="67"/>
      <c r="AI22" s="84"/>
      <c r="AJ22" s="67"/>
      <c r="AK22" s="84"/>
      <c r="AL22" s="67"/>
      <c r="AM22" s="84"/>
      <c r="AN22" s="67"/>
      <c r="AO22" s="84"/>
      <c r="AP22" s="67"/>
      <c r="AQ22" s="84"/>
      <c r="AR22" s="67"/>
      <c r="AS22" s="84"/>
      <c r="AT22" s="67"/>
      <c r="AU22" s="84"/>
      <c r="AV22" s="67"/>
      <c r="AW22" s="84"/>
      <c r="AX22" s="67"/>
      <c r="AY22" s="84"/>
      <c r="AZ22" s="67"/>
      <c r="BA22" s="84"/>
      <c r="BB22" s="67"/>
      <c r="BC22" s="84"/>
      <c r="BD22" s="67"/>
      <c r="BE22" s="84"/>
      <c r="BF22" s="67"/>
      <c r="BG22" s="84"/>
      <c r="BH22" s="67"/>
      <c r="BI22" s="84"/>
      <c r="BJ22" s="67"/>
      <c r="BK22" s="84"/>
      <c r="BL22" s="67"/>
      <c r="BM22" s="84"/>
      <c r="BN22" s="67"/>
      <c r="BO22" s="84"/>
      <c r="BP22" s="67"/>
      <c r="BQ22" s="84"/>
      <c r="BR22" s="67"/>
      <c r="BS22" s="84"/>
      <c r="BT22" s="67"/>
      <c r="BU22" s="84"/>
      <c r="BV22" s="67"/>
      <c r="BW22" s="84"/>
      <c r="BX22" s="67"/>
      <c r="BY22" s="84"/>
      <c r="BZ22" s="67"/>
      <c r="CA22" s="84"/>
      <c r="CB22" s="67"/>
      <c r="CC22" s="84"/>
      <c r="CD22" s="67"/>
      <c r="CE22" s="84"/>
      <c r="CF22" s="67"/>
      <c r="CG22" s="84"/>
      <c r="CH22" s="67"/>
      <c r="CI22" s="84"/>
      <c r="CJ22" s="67"/>
      <c r="CK22" s="84"/>
      <c r="CL22" s="67"/>
      <c r="CM22" s="84"/>
      <c r="CN22" s="67"/>
      <c r="CO22" s="84"/>
      <c r="CP22" s="67"/>
      <c r="CQ22" s="84"/>
      <c r="CR22" s="67"/>
      <c r="CS22" s="84"/>
      <c r="CT22" s="67"/>
      <c r="CU22" s="84"/>
      <c r="CV22" s="67"/>
      <c r="CW22" s="84"/>
      <c r="CX22" s="67"/>
      <c r="CY22" s="84"/>
      <c r="CZ22" s="67"/>
      <c r="DA22" s="84"/>
      <c r="DB22" s="67"/>
      <c r="DC22" s="84"/>
      <c r="DD22" s="67"/>
      <c r="DE22" s="84"/>
      <c r="DF22" s="67"/>
      <c r="DG22" s="84"/>
      <c r="DH22" s="67"/>
      <c r="DI22" s="84"/>
      <c r="DJ22" s="67"/>
      <c r="DK22" s="84"/>
      <c r="DL22" s="67"/>
      <c r="DM22" s="84"/>
      <c r="DN22" s="67"/>
      <c r="DO22" s="84"/>
      <c r="DP22" s="67"/>
      <c r="DQ22" s="84"/>
      <c r="DR22" s="67"/>
      <c r="DS22" s="84"/>
      <c r="DT22" s="67"/>
      <c r="DU22" s="84"/>
      <c r="DV22" s="67"/>
      <c r="DW22" s="84"/>
      <c r="DX22" s="67"/>
    </row>
    <row r="23" customFormat="false" ht="15.75" hidden="false" customHeight="true" outlineLevel="0" collapsed="false">
      <c r="A23" s="89"/>
      <c r="B23" s="90"/>
      <c r="C23" s="90"/>
      <c r="D23" s="89"/>
      <c r="E23" s="91"/>
      <c r="F23" s="75" t="s">
        <v>84</v>
      </c>
      <c r="G23" s="4"/>
      <c r="H23" s="70" t="s">
        <v>85</v>
      </c>
      <c r="I23" s="71"/>
      <c r="J23" s="72"/>
      <c r="K23" s="71"/>
      <c r="L23" s="72"/>
      <c r="M23" s="71"/>
      <c r="N23" s="72"/>
      <c r="O23" s="71"/>
      <c r="P23" s="72"/>
      <c r="Q23" s="71"/>
      <c r="R23" s="72"/>
      <c r="S23" s="71"/>
      <c r="T23" s="72"/>
      <c r="U23" s="71"/>
      <c r="V23" s="72"/>
      <c r="W23" s="71"/>
      <c r="X23" s="72"/>
      <c r="Y23" s="71"/>
      <c r="Z23" s="72"/>
      <c r="AA23" s="71"/>
      <c r="AB23" s="72"/>
      <c r="AC23" s="71"/>
      <c r="AD23" s="72"/>
      <c r="AE23" s="71"/>
      <c r="AF23" s="72"/>
      <c r="AG23" s="71"/>
      <c r="AH23" s="72"/>
      <c r="AI23" s="71"/>
      <c r="AJ23" s="72"/>
      <c r="AK23" s="71"/>
      <c r="AL23" s="72"/>
      <c r="AM23" s="71"/>
      <c r="AN23" s="72"/>
      <c r="AO23" s="71"/>
      <c r="AP23" s="72"/>
      <c r="AQ23" s="71"/>
      <c r="AR23" s="72"/>
      <c r="AS23" s="71"/>
      <c r="AT23" s="72"/>
      <c r="AU23" s="71"/>
      <c r="AV23" s="72"/>
      <c r="AW23" s="71"/>
      <c r="AX23" s="72"/>
      <c r="AY23" s="71"/>
      <c r="AZ23" s="72"/>
      <c r="BA23" s="71"/>
      <c r="BB23" s="72"/>
      <c r="BC23" s="71"/>
      <c r="BD23" s="72"/>
      <c r="BE23" s="71"/>
      <c r="BF23" s="72"/>
      <c r="BG23" s="71"/>
      <c r="BH23" s="72"/>
      <c r="BI23" s="71"/>
      <c r="BJ23" s="72"/>
      <c r="BK23" s="71"/>
      <c r="BL23" s="72"/>
      <c r="BM23" s="71"/>
      <c r="BN23" s="72"/>
      <c r="BO23" s="71"/>
      <c r="BP23" s="72"/>
      <c r="BQ23" s="71"/>
      <c r="BR23" s="72"/>
      <c r="BS23" s="71"/>
      <c r="BT23" s="72"/>
      <c r="BU23" s="71"/>
      <c r="BV23" s="72"/>
      <c r="BW23" s="71"/>
      <c r="BX23" s="72"/>
      <c r="BY23" s="71"/>
      <c r="BZ23" s="72"/>
      <c r="CA23" s="71"/>
      <c r="CB23" s="72"/>
      <c r="CC23" s="71"/>
      <c r="CD23" s="72"/>
      <c r="CE23" s="71"/>
      <c r="CF23" s="72"/>
      <c r="CG23" s="71"/>
      <c r="CH23" s="72"/>
      <c r="CI23" s="71"/>
      <c r="CJ23" s="72"/>
      <c r="CK23" s="71"/>
      <c r="CL23" s="72"/>
      <c r="CM23" s="71"/>
      <c r="CN23" s="72"/>
      <c r="CO23" s="71"/>
      <c r="CP23" s="72"/>
      <c r="CQ23" s="71"/>
      <c r="CR23" s="72"/>
      <c r="CS23" s="71"/>
      <c r="CT23" s="72"/>
      <c r="CU23" s="71"/>
      <c r="CV23" s="72"/>
      <c r="CW23" s="71"/>
      <c r="CX23" s="72"/>
      <c r="CY23" s="71"/>
      <c r="CZ23" s="72"/>
      <c r="DA23" s="71"/>
      <c r="DB23" s="72"/>
      <c r="DC23" s="71"/>
      <c r="DD23" s="72"/>
      <c r="DE23" s="71"/>
      <c r="DF23" s="72"/>
      <c r="DG23" s="71"/>
      <c r="DH23" s="72"/>
      <c r="DI23" s="71"/>
      <c r="DJ23" s="72"/>
      <c r="DK23" s="71"/>
      <c r="DL23" s="72"/>
      <c r="DM23" s="71"/>
      <c r="DN23" s="72"/>
      <c r="DO23" s="71"/>
      <c r="DP23" s="72"/>
      <c r="DQ23" s="71"/>
      <c r="DR23" s="72"/>
      <c r="DS23" s="71"/>
      <c r="DT23" s="72"/>
      <c r="DU23" s="71"/>
      <c r="DV23" s="72"/>
      <c r="DW23" s="71"/>
      <c r="DX23" s="72"/>
    </row>
    <row r="24" customFormat="false" ht="15.75" hidden="false" customHeight="true" outlineLevel="0" collapsed="false">
      <c r="A24" s="6"/>
      <c r="B24" s="87"/>
      <c r="C24" s="87"/>
      <c r="D24" s="6"/>
      <c r="E24" s="88"/>
      <c r="F24" s="13" t="s">
        <v>86</v>
      </c>
      <c r="G24" s="4"/>
      <c r="H24" s="93" t="str">
        <f aca="false">IF(ЕТАЛОН_ПЛ="","еталон не обрано — задайте G10","Еталон: "&amp;ЕТАЛОН_ПЛ)</f>
        <v>Еталон: Різдво 2026</v>
      </c>
      <c r="I24" s="48"/>
      <c r="J24" s="4"/>
      <c r="K24" s="48"/>
      <c r="L24" s="4"/>
      <c r="M24" s="48"/>
      <c r="N24" s="4"/>
      <c r="O24" s="48"/>
      <c r="P24" s="4"/>
      <c r="Q24" s="48"/>
      <c r="R24" s="4"/>
      <c r="S24" s="48"/>
      <c r="T24" s="4"/>
      <c r="U24" s="48"/>
      <c r="V24" s="4"/>
      <c r="W24" s="48"/>
      <c r="X24" s="4"/>
      <c r="Y24" s="48"/>
      <c r="Z24" s="4"/>
      <c r="AA24" s="48"/>
      <c r="AB24" s="4"/>
      <c r="AC24" s="48"/>
      <c r="AD24" s="4"/>
      <c r="AE24" s="48"/>
      <c r="AF24" s="4"/>
      <c r="AG24" s="48"/>
      <c r="AH24" s="4"/>
      <c r="AI24" s="48"/>
      <c r="AJ24" s="4"/>
      <c r="AK24" s="48"/>
      <c r="AL24" s="4"/>
      <c r="AM24" s="48"/>
      <c r="AN24" s="4"/>
      <c r="AO24" s="48"/>
      <c r="AP24" s="4"/>
      <c r="AQ24" s="48"/>
      <c r="AR24" s="4"/>
      <c r="AS24" s="48"/>
      <c r="AT24" s="4"/>
      <c r="AU24" s="48"/>
      <c r="AV24" s="4"/>
      <c r="AW24" s="48"/>
      <c r="AX24" s="4"/>
      <c r="AY24" s="48"/>
      <c r="AZ24" s="4"/>
      <c r="BA24" s="48"/>
      <c r="BB24" s="4"/>
      <c r="BC24" s="48"/>
      <c r="BD24" s="4"/>
      <c r="BE24" s="48"/>
      <c r="BF24" s="4"/>
      <c r="BG24" s="48"/>
      <c r="BH24" s="4"/>
      <c r="BI24" s="48"/>
      <c r="BJ24" s="4"/>
      <c r="BK24" s="48"/>
      <c r="BL24" s="4"/>
      <c r="BM24" s="48"/>
      <c r="BN24" s="4"/>
      <c r="BO24" s="48"/>
      <c r="BP24" s="4"/>
      <c r="BQ24" s="48"/>
      <c r="BR24" s="4"/>
      <c r="BS24" s="48"/>
      <c r="BT24" s="4"/>
      <c r="BU24" s="48"/>
      <c r="BV24" s="4"/>
      <c r="BW24" s="48"/>
      <c r="BX24" s="4"/>
      <c r="BY24" s="48"/>
      <c r="BZ24" s="4"/>
      <c r="CA24" s="48"/>
      <c r="CB24" s="4"/>
      <c r="CC24" s="48"/>
      <c r="CD24" s="4"/>
      <c r="CE24" s="48"/>
      <c r="CF24" s="4"/>
      <c r="CG24" s="48"/>
      <c r="CH24" s="4"/>
      <c r="CI24" s="48"/>
      <c r="CJ24" s="4"/>
      <c r="CK24" s="48"/>
      <c r="CL24" s="4"/>
      <c r="CM24" s="48"/>
      <c r="CN24" s="4"/>
      <c r="CO24" s="48"/>
      <c r="CP24" s="4"/>
      <c r="CQ24" s="48"/>
      <c r="CR24" s="4"/>
      <c r="CS24" s="48"/>
      <c r="CT24" s="4"/>
      <c r="CU24" s="48"/>
      <c r="CV24" s="4"/>
      <c r="CW24" s="48"/>
      <c r="CX24" s="4"/>
      <c r="CY24" s="48"/>
      <c r="CZ24" s="4"/>
      <c r="DA24" s="48"/>
      <c r="DB24" s="4"/>
      <c r="DC24" s="48"/>
      <c r="DD24" s="4"/>
      <c r="DE24" s="48"/>
      <c r="DF24" s="4"/>
      <c r="DG24" s="48"/>
      <c r="DH24" s="4"/>
      <c r="DI24" s="48"/>
      <c r="DJ24" s="4"/>
      <c r="DK24" s="48"/>
      <c r="DL24" s="4"/>
      <c r="DM24" s="48"/>
      <c r="DN24" s="4"/>
      <c r="DO24" s="48"/>
      <c r="DP24" s="4"/>
      <c r="DQ24" s="48"/>
      <c r="DR24" s="4"/>
      <c r="DS24" s="48"/>
      <c r="DT24" s="4"/>
      <c r="DU24" s="48"/>
      <c r="DV24" s="4"/>
      <c r="DW24" s="48"/>
      <c r="DX24" s="4"/>
    </row>
    <row r="25" customFormat="false" ht="15.75" hidden="false" customHeight="true" outlineLevel="0" collapsed="false">
      <c r="A25" s="94"/>
      <c r="B25" s="95"/>
      <c r="C25" s="95"/>
      <c r="D25" s="94"/>
      <c r="E25" s="96"/>
      <c r="F25" s="97" t="s">
        <v>8</v>
      </c>
      <c r="G25" s="4"/>
      <c r="H25" s="13" t="s">
        <v>53</v>
      </c>
      <c r="I25" s="74" t="s">
        <v>76</v>
      </c>
      <c r="J25" s="13" t="s">
        <v>77</v>
      </c>
      <c r="K25" s="74" t="s">
        <v>76</v>
      </c>
      <c r="L25" s="13" t="s">
        <v>77</v>
      </c>
      <c r="M25" s="74" t="s">
        <v>76</v>
      </c>
      <c r="N25" s="13" t="s">
        <v>77</v>
      </c>
      <c r="O25" s="74" t="s">
        <v>76</v>
      </c>
      <c r="P25" s="13" t="s">
        <v>77</v>
      </c>
      <c r="Q25" s="74" t="s">
        <v>76</v>
      </c>
      <c r="R25" s="13" t="s">
        <v>77</v>
      </c>
      <c r="S25" s="74" t="s">
        <v>76</v>
      </c>
      <c r="T25" s="13" t="s">
        <v>77</v>
      </c>
      <c r="U25" s="74" t="s">
        <v>76</v>
      </c>
      <c r="V25" s="13" t="s">
        <v>77</v>
      </c>
      <c r="W25" s="74" t="s">
        <v>76</v>
      </c>
      <c r="X25" s="13" t="s">
        <v>77</v>
      </c>
      <c r="Y25" s="74" t="s">
        <v>76</v>
      </c>
      <c r="Z25" s="13" t="s">
        <v>77</v>
      </c>
      <c r="AA25" s="74" t="s">
        <v>76</v>
      </c>
      <c r="AB25" s="13" t="s">
        <v>77</v>
      </c>
      <c r="AC25" s="74" t="s">
        <v>76</v>
      </c>
      <c r="AD25" s="13" t="s">
        <v>77</v>
      </c>
      <c r="AE25" s="74" t="s">
        <v>76</v>
      </c>
      <c r="AF25" s="13" t="s">
        <v>77</v>
      </c>
      <c r="AG25" s="74" t="s">
        <v>76</v>
      </c>
      <c r="AH25" s="13" t="s">
        <v>77</v>
      </c>
      <c r="AI25" s="74" t="s">
        <v>76</v>
      </c>
      <c r="AJ25" s="13" t="s">
        <v>77</v>
      </c>
      <c r="AK25" s="74" t="s">
        <v>76</v>
      </c>
      <c r="AL25" s="13" t="s">
        <v>77</v>
      </c>
      <c r="AM25" s="74" t="s">
        <v>76</v>
      </c>
      <c r="AN25" s="13" t="s">
        <v>77</v>
      </c>
      <c r="AO25" s="74" t="s">
        <v>76</v>
      </c>
      <c r="AP25" s="13" t="s">
        <v>77</v>
      </c>
      <c r="AQ25" s="74" t="s">
        <v>76</v>
      </c>
      <c r="AR25" s="13" t="s">
        <v>77</v>
      </c>
      <c r="AS25" s="74" t="s">
        <v>76</v>
      </c>
      <c r="AT25" s="13" t="s">
        <v>77</v>
      </c>
      <c r="AU25" s="74" t="s">
        <v>76</v>
      </c>
      <c r="AV25" s="13" t="s">
        <v>77</v>
      </c>
      <c r="AW25" s="74" t="s">
        <v>76</v>
      </c>
      <c r="AX25" s="13" t="s">
        <v>77</v>
      </c>
      <c r="AY25" s="74" t="s">
        <v>76</v>
      </c>
      <c r="AZ25" s="13" t="s">
        <v>77</v>
      </c>
      <c r="BA25" s="74" t="s">
        <v>76</v>
      </c>
      <c r="BB25" s="13" t="s">
        <v>77</v>
      </c>
      <c r="BC25" s="74" t="s">
        <v>76</v>
      </c>
      <c r="BD25" s="13" t="s">
        <v>77</v>
      </c>
      <c r="BE25" s="74" t="s">
        <v>76</v>
      </c>
      <c r="BF25" s="13" t="s">
        <v>77</v>
      </c>
      <c r="BG25" s="74" t="s">
        <v>76</v>
      </c>
      <c r="BH25" s="13" t="s">
        <v>77</v>
      </c>
      <c r="BI25" s="74" t="s">
        <v>76</v>
      </c>
      <c r="BJ25" s="13" t="s">
        <v>77</v>
      </c>
      <c r="BK25" s="74" t="s">
        <v>76</v>
      </c>
      <c r="BL25" s="13" t="s">
        <v>77</v>
      </c>
      <c r="BM25" s="74" t="s">
        <v>76</v>
      </c>
      <c r="BN25" s="13" t="s">
        <v>77</v>
      </c>
      <c r="BO25" s="74" t="s">
        <v>76</v>
      </c>
      <c r="BP25" s="13" t="s">
        <v>77</v>
      </c>
      <c r="BQ25" s="74" t="s">
        <v>76</v>
      </c>
      <c r="BR25" s="13" t="s">
        <v>77</v>
      </c>
      <c r="BS25" s="74" t="s">
        <v>76</v>
      </c>
      <c r="BT25" s="13" t="s">
        <v>77</v>
      </c>
      <c r="BU25" s="74" t="s">
        <v>76</v>
      </c>
      <c r="BV25" s="13" t="s">
        <v>77</v>
      </c>
      <c r="BW25" s="74" t="s">
        <v>76</v>
      </c>
      <c r="BX25" s="13" t="s">
        <v>77</v>
      </c>
      <c r="BY25" s="74" t="s">
        <v>76</v>
      </c>
      <c r="BZ25" s="13" t="s">
        <v>77</v>
      </c>
      <c r="CA25" s="74" t="s">
        <v>76</v>
      </c>
      <c r="CB25" s="13" t="s">
        <v>77</v>
      </c>
      <c r="CC25" s="74" t="s">
        <v>76</v>
      </c>
      <c r="CD25" s="13" t="s">
        <v>77</v>
      </c>
      <c r="CE25" s="74" t="s">
        <v>76</v>
      </c>
      <c r="CF25" s="13" t="s">
        <v>77</v>
      </c>
      <c r="CG25" s="74" t="s">
        <v>76</v>
      </c>
      <c r="CH25" s="13" t="s">
        <v>77</v>
      </c>
      <c r="CI25" s="74" t="s">
        <v>76</v>
      </c>
      <c r="CJ25" s="13" t="s">
        <v>77</v>
      </c>
      <c r="CK25" s="74" t="s">
        <v>76</v>
      </c>
      <c r="CL25" s="13" t="s">
        <v>77</v>
      </c>
      <c r="CM25" s="74" t="s">
        <v>76</v>
      </c>
      <c r="CN25" s="13" t="s">
        <v>77</v>
      </c>
      <c r="CO25" s="74" t="s">
        <v>76</v>
      </c>
      <c r="CP25" s="13" t="s">
        <v>77</v>
      </c>
      <c r="CQ25" s="74" t="s">
        <v>76</v>
      </c>
      <c r="CR25" s="13" t="s">
        <v>77</v>
      </c>
      <c r="CS25" s="74" t="s">
        <v>76</v>
      </c>
      <c r="CT25" s="13" t="s">
        <v>77</v>
      </c>
      <c r="CU25" s="74" t="s">
        <v>76</v>
      </c>
      <c r="CV25" s="13" t="s">
        <v>77</v>
      </c>
      <c r="CW25" s="74" t="s">
        <v>76</v>
      </c>
      <c r="CX25" s="13" t="s">
        <v>77</v>
      </c>
      <c r="CY25" s="74" t="s">
        <v>76</v>
      </c>
      <c r="CZ25" s="13" t="s">
        <v>77</v>
      </c>
      <c r="DA25" s="74" t="s">
        <v>76</v>
      </c>
      <c r="DB25" s="13" t="s">
        <v>77</v>
      </c>
      <c r="DC25" s="74" t="s">
        <v>76</v>
      </c>
      <c r="DD25" s="13" t="s">
        <v>77</v>
      </c>
      <c r="DE25" s="74" t="s">
        <v>76</v>
      </c>
      <c r="DF25" s="13" t="s">
        <v>77</v>
      </c>
      <c r="DG25" s="74" t="s">
        <v>76</v>
      </c>
      <c r="DH25" s="13" t="s">
        <v>77</v>
      </c>
      <c r="DI25" s="74" t="s">
        <v>76</v>
      </c>
      <c r="DJ25" s="13" t="s">
        <v>77</v>
      </c>
      <c r="DK25" s="74" t="s">
        <v>76</v>
      </c>
      <c r="DL25" s="13" t="s">
        <v>77</v>
      </c>
      <c r="DM25" s="74" t="s">
        <v>76</v>
      </c>
      <c r="DN25" s="13" t="s">
        <v>77</v>
      </c>
      <c r="DO25" s="74" t="s">
        <v>76</v>
      </c>
      <c r="DP25" s="13" t="s">
        <v>77</v>
      </c>
      <c r="DQ25" s="74" t="s">
        <v>76</v>
      </c>
      <c r="DR25" s="13" t="s">
        <v>77</v>
      </c>
      <c r="DS25" s="74" t="s">
        <v>76</v>
      </c>
      <c r="DT25" s="13" t="s">
        <v>77</v>
      </c>
      <c r="DU25" s="74" t="s">
        <v>76</v>
      </c>
      <c r="DV25" s="13" t="s">
        <v>77</v>
      </c>
      <c r="DW25" s="74" t="s">
        <v>76</v>
      </c>
      <c r="DX25" s="13" t="s">
        <v>77</v>
      </c>
    </row>
    <row r="26" customFormat="false" ht="15.75" hidden="false" customHeight="true" outlineLevel="0" collapsed="false">
      <c r="A26" s="6" t="s">
        <v>87</v>
      </c>
      <c r="B26" s="87"/>
      <c r="C26" s="87"/>
      <c r="D26" s="6"/>
      <c r="E26" s="88"/>
      <c r="F26" s="97" t="s">
        <v>88</v>
      </c>
      <c r="G26" s="4"/>
      <c r="H26" s="76" t="s">
        <v>58</v>
      </c>
      <c r="I26" s="37" t="n">
        <f aca="false" t="array" ref="I26:I26">IF(OR(I12="",ЕТАЛОН_ПЛ="",IFERROR(INDEX(БАЗА_RO,1,IFERROR(MATCH(ЕТАЛОН_ПЛ,ПЛ_РЯДОК,0),0)),"")=""),"",I12-IFERROR(INDEX(БАЗА_RO,1,IFERROR(MATCH(ЕТАЛОН_ПЛ,ПЛ_РЯДОК,0),0)),""))</f>
        <v>-3470</v>
      </c>
      <c r="J26" s="86" t="n">
        <f aca="false" t="array" ref="J26:J26">IF(OR(I12="",ЕТАЛОН_ПЛ="",IFERROR(INDEX(БАЗА_RO,1,IFERROR(MATCH(ЕТАЛОН_ПЛ,ПЛ_РЯДОК,0),0)),"")="",IFERROR(INDEX(БАЗА_RO,1,IFERROR(MATCH(ЕТАЛОН_ПЛ,ПЛ_РЯДОК,0),0)),"")=0),"",I12/IFERROR(INDEX(БАЗА_RO,1,IFERROR(MATCH(ЕТАЛОН_ПЛ,ПЛ_РЯДОК,0),0)),"")-1)</f>
        <v>-0.385555555555556</v>
      </c>
      <c r="K26" s="37" t="n">
        <f aca="false" t="array" ref="K26:K26">IF(OR(K12="",ЕТАЛОН_ПЛ="",IFERROR(INDEX(БАЗА_RO,1,IFERROR(MATCH(ЕТАЛОН_ПЛ,ПЛ_РЯДОК,0),0)),"")=""),"",K12-IFERROR(INDEX(БАЗА_RO,1,IFERROR(MATCH(ЕТАЛОН_ПЛ,ПЛ_РЯДОК,0),0)),""))</f>
        <v>-1860</v>
      </c>
      <c r="L26" s="86" t="n">
        <f aca="false" t="array" ref="L26:L26">IF(OR(K12="",ЕТАЛОН_ПЛ="",IFERROR(INDEX(БАЗА_RO,1,IFERROR(MATCH(ЕТАЛОН_ПЛ,ПЛ_РЯДОК,0),0)),"")="",IFERROR(INDEX(БАЗА_RO,1,IFERROR(MATCH(ЕТАЛОН_ПЛ,ПЛ_РЯДОК,0),0)),"")=0),"",K12/IFERROR(INDEX(БАЗА_RO,1,IFERROR(MATCH(ЕТАЛОН_ПЛ,ПЛ_РЯДОК,0),0)),"")-1)</f>
        <v>-0.206666666666667</v>
      </c>
      <c r="M26" s="37" t="n">
        <f aca="false" t="array" ref="M26:M26">IF(OR(M12="",ЕТАЛОН_ПЛ="",IFERROR(INDEX(БАЗА_RO,1,IFERROR(MATCH(ЕТАЛОН_ПЛ,ПЛ_РЯДОК,0),0)),"")=""),"",M12-IFERROR(INDEX(БАЗА_RO,1,IFERROR(MATCH(ЕТАЛОН_ПЛ,ПЛ_РЯДОК,0),0)),""))</f>
        <v>-4002</v>
      </c>
      <c r="N26" s="86" t="n">
        <f aca="false" t="array" ref="N26:N26">IF(OR(M12="",ЕТАЛОН_ПЛ="",IFERROR(INDEX(БАЗА_RO,1,IFERROR(MATCH(ЕТАЛОН_ПЛ,ПЛ_РЯДОК,0),0)),"")="",IFERROR(INDEX(БАЗА_RO,1,IFERROR(MATCH(ЕТАЛОН_ПЛ,ПЛ_РЯДОК,0),0)),"")=0),"",M12/IFERROR(INDEX(БАЗА_RO,1,IFERROR(MATCH(ЕТАЛОН_ПЛ,ПЛ_РЯДОК,0),0)),"")-1)</f>
        <v>-0.444666666666667</v>
      </c>
      <c r="O26" s="37" t="n">
        <f aca="false" t="array" ref="O26:O26">IF(OR(O12="",ЕТАЛОН_ПЛ="",IFERROR(INDEX(БАЗА_RO,1,IFERROR(MATCH(ЕТАЛОН_ПЛ,ПЛ_РЯДОК,0),0)),"")=""),"",O12-IFERROR(INDEX(БАЗА_RO,1,IFERROR(MATCH(ЕТАЛОН_ПЛ,ПЛ_РЯДОК,0),0)),""))</f>
        <v>-3645</v>
      </c>
      <c r="P26" s="86" t="n">
        <f aca="false" t="array" ref="P26:P26">IF(OR(O12="",ЕТАЛОН_ПЛ="",IFERROR(INDEX(БАЗА_RO,1,IFERROR(MATCH(ЕТАЛОН_ПЛ,ПЛ_РЯДОК,0),0)),"")="",IFERROR(INDEX(БАЗА_RO,1,IFERROR(MATCH(ЕТАЛОН_ПЛ,ПЛ_РЯДОК,0),0)),"")=0),"",O12/IFERROR(INDEX(БАЗА_RO,1,IFERROR(MATCH(ЕТАЛОН_ПЛ,ПЛ_РЯДОК,0),0)),"")-1)</f>
        <v>-0.405</v>
      </c>
      <c r="Q26" s="37" t="n">
        <f aca="false" t="array" ref="Q26:Q26">IF(OR(Q12="",ЕТАЛОН_ПЛ="",IFERROR(INDEX(БАЗА_RO,1,IFERROR(MATCH(ЕТАЛОН_ПЛ,ПЛ_РЯДОК,0),0)),"")=""),"",Q12-IFERROR(INDEX(БАЗА_RO,1,IFERROR(MATCH(ЕТАЛОН_ПЛ,ПЛ_РЯДОК,0),0)),""))</f>
        <v>-3600</v>
      </c>
      <c r="R26" s="86" t="n">
        <f aca="false" t="array" ref="R26:R26">IF(OR(Q12="",ЕТАЛОН_ПЛ="",IFERROR(INDEX(БАЗА_RO,1,IFERROR(MATCH(ЕТАЛОН_ПЛ,ПЛ_РЯДОК,0),0)),"")="",IFERROR(INDEX(БАЗА_RO,1,IFERROR(MATCH(ЕТАЛОН_ПЛ,ПЛ_РЯДОК,0),0)),"")=0),"",Q12/IFERROR(INDEX(БАЗА_RO,1,IFERROR(MATCH(ЕТАЛОН_ПЛ,ПЛ_РЯДОК,0),0)),"")-1)</f>
        <v>-0.4</v>
      </c>
      <c r="S26" s="37" t="str">
        <f aca="false" t="array" ref="S26:S26">IF(OR(S12="",ЕТАЛОН_ПЛ="",IFERROR(INDEX(БАЗА_RO,1,IFERROR(MATCH(ЕТАЛОН_ПЛ,ПЛ_РЯДОК,0),0)),"")=""),"",S12-IFERROR(INDEX(БАЗА_RO,1,IFERROR(MATCH(ЕТАЛОН_ПЛ,ПЛ_РЯДОК,0),0)),""))</f>
        <v/>
      </c>
      <c r="T26" s="86" t="str">
        <f aca="false" t="array" ref="T26:T26">IF(OR(S12="",ЕТАЛОН_ПЛ="",IFERROR(INDEX(БАЗА_RO,1,IFERROR(MATCH(ЕТАЛОН_ПЛ,ПЛ_РЯДОК,0),0)),"")="",IFERROR(INDEX(БАЗА_RO,1,IFERROR(MATCH(ЕТАЛОН_ПЛ,ПЛ_РЯДОК,0),0)),"")=0),"",S12/IFERROR(INDEX(БАЗА_RO,1,IFERROR(MATCH(ЕТАЛОН_ПЛ,ПЛ_РЯДОК,0),0)),"")-1)</f>
        <v/>
      </c>
      <c r="U26" s="37" t="n">
        <f aca="false" t="array" ref="U26:U26">IF(OR(U12="",ЕТАЛОН_ПЛ="",IFERROR(INDEX(БАЗА_RO,1,IFERROR(MATCH(ЕТАЛОН_ПЛ,ПЛ_РЯДОК,0),0)),"")=""),"",U12-IFERROR(INDEX(БАЗА_RO,1,IFERROR(MATCH(ЕТАЛОН_ПЛ,ПЛ_РЯДОК,0),0)),""))</f>
        <v>-3300</v>
      </c>
      <c r="V26" s="86" t="n">
        <f aca="false" t="array" ref="V26:V26">IF(OR(U12="",ЕТАЛОН_ПЛ="",IFERROR(INDEX(БАЗА_RO,1,IFERROR(MATCH(ЕТАЛОН_ПЛ,ПЛ_РЯДОК,0),0)),"")="",IFERROR(INDEX(БАЗА_RO,1,IFERROR(MATCH(ЕТАЛОН_ПЛ,ПЛ_РЯДОК,0),0)),"")=0),"",U12/IFERROR(INDEX(БАЗА_RO,1,IFERROR(MATCH(ЕТАЛОН_ПЛ,ПЛ_РЯДОК,0),0)),"")-1)</f>
        <v>-0.366666666666667</v>
      </c>
      <c r="W26" s="37" t="str">
        <f aca="false" t="array" ref="W26:W26">IF(OR(W12="",ЕТАЛОН_ПЛ="",IFERROR(INDEX(БАЗА_RO,1,IFERROR(MATCH(ЕТАЛОН_ПЛ,ПЛ_РЯДОК,0),0)),"")=""),"",W12-IFERROR(INDEX(БАЗА_RO,1,IFERROR(MATCH(ЕТАЛОН_ПЛ,ПЛ_РЯДОК,0),0)),""))</f>
        <v/>
      </c>
      <c r="X26" s="86" t="str">
        <f aca="false" t="array" ref="X26:X26">IF(OR(W12="",ЕТАЛОН_ПЛ="",IFERROR(INDEX(БАЗА_RO,1,IFERROR(MATCH(ЕТАЛОН_ПЛ,ПЛ_РЯДОК,0),0)),"")="",IFERROR(INDEX(БАЗА_RO,1,IFERROR(MATCH(ЕТАЛОН_ПЛ,ПЛ_РЯДОК,0),0)),"")=0),"",W12/IFERROR(INDEX(БАЗА_RO,1,IFERROR(MATCH(ЕТАЛОН_ПЛ,ПЛ_РЯДОК,0),0)),"")-1)</f>
        <v/>
      </c>
      <c r="Y26" s="37" t="str">
        <f aca="false" t="array" ref="Y26:Y26">IF(OR(Y12="",ЕТАЛОН_ПЛ="",IFERROR(INDEX(БАЗА_RO,1,IFERROR(MATCH(ЕТАЛОН_ПЛ,ПЛ_РЯДОК,0),0)),"")=""),"",Y12-IFERROR(INDEX(БАЗА_RO,1,IFERROR(MATCH(ЕТАЛОН_ПЛ,ПЛ_РЯДОК,0),0)),""))</f>
        <v/>
      </c>
      <c r="Z26" s="86" t="str">
        <f aca="false" t="array" ref="Z26:Z26">IF(OR(Y12="",ЕТАЛОН_ПЛ="",IFERROR(INDEX(БАЗА_RO,1,IFERROR(MATCH(ЕТАЛОН_ПЛ,ПЛ_РЯДОК,0),0)),"")="",IFERROR(INDEX(БАЗА_RO,1,IFERROR(MATCH(ЕТАЛОН_ПЛ,ПЛ_РЯДОК,0),0)),"")=0),"",Y12/IFERROR(INDEX(БАЗА_RO,1,IFERROR(MATCH(ЕТАЛОН_ПЛ,ПЛ_РЯДОК,0),0)),"")-1)</f>
        <v/>
      </c>
      <c r="AA26" s="37" t="str">
        <f aca="false" t="array" ref="AA26:AA26">IF(OR(AA12="",ЕТАЛОН_ПЛ="",IFERROR(INDEX(БАЗА_RO,1,IFERROR(MATCH(ЕТАЛОН_ПЛ,ПЛ_РЯДОК,0),0)),"")=""),"",AA12-IFERROR(INDEX(БАЗА_RO,1,IFERROR(MATCH(ЕТАЛОН_ПЛ,ПЛ_РЯДОК,0),0)),""))</f>
        <v/>
      </c>
      <c r="AB26" s="86" t="str">
        <f aca="false" t="array" ref="AB26:AB26">IF(OR(AA12="",ЕТАЛОН_ПЛ="",IFERROR(INDEX(БАЗА_RO,1,IFERROR(MATCH(ЕТАЛОН_ПЛ,ПЛ_РЯДОК,0),0)),"")="",IFERROR(INDEX(БАЗА_RO,1,IFERROR(MATCH(ЕТАЛОН_ПЛ,ПЛ_РЯДОК,0),0)),"")=0),"",AA12/IFERROR(INDEX(БАЗА_RO,1,IFERROR(MATCH(ЕТАЛОН_ПЛ,ПЛ_РЯДОК,0),0)),"")-1)</f>
        <v/>
      </c>
      <c r="AC26" s="37" t="str">
        <f aca="false" t="array" ref="AC26:AC26">IF(OR(AC12="",ЕТАЛОН_ПЛ="",IFERROR(INDEX(БАЗА_RO,1,IFERROR(MATCH(ЕТАЛОН_ПЛ,ПЛ_РЯДОК,0),0)),"")=""),"",AC12-IFERROR(INDEX(БАЗА_RO,1,IFERROR(MATCH(ЕТАЛОН_ПЛ,ПЛ_РЯДОК,0),0)),""))</f>
        <v/>
      </c>
      <c r="AD26" s="86" t="str">
        <f aca="false" t="array" ref="AD26:AD26">IF(OR(AC12="",ЕТАЛОН_ПЛ="",IFERROR(INDEX(БАЗА_RO,1,IFERROR(MATCH(ЕТАЛОН_ПЛ,ПЛ_РЯДОК,0),0)),"")="",IFERROR(INDEX(БАЗА_RO,1,IFERROR(MATCH(ЕТАЛОН_ПЛ,ПЛ_РЯДОК,0),0)),"")=0),"",AC12/IFERROR(INDEX(БАЗА_RO,1,IFERROR(MATCH(ЕТАЛОН_ПЛ,ПЛ_РЯДОК,0),0)),"")-1)</f>
        <v/>
      </c>
      <c r="AE26" s="37" t="str">
        <f aca="false" t="array" ref="AE26:AE26">IF(OR(AE12="",ЕТАЛОН_ПЛ="",IFERROR(INDEX(БАЗА_RO,1,IFERROR(MATCH(ЕТАЛОН_ПЛ,ПЛ_РЯДОК,0),0)),"")=""),"",AE12-IFERROR(INDEX(БАЗА_RO,1,IFERROR(MATCH(ЕТАЛОН_ПЛ,ПЛ_РЯДОК,0),0)),""))</f>
        <v/>
      </c>
      <c r="AF26" s="86" t="str">
        <f aca="false" t="array" ref="AF26:AF26">IF(OR(AE12="",ЕТАЛОН_ПЛ="",IFERROR(INDEX(БАЗА_RO,1,IFERROR(MATCH(ЕТАЛОН_ПЛ,ПЛ_РЯДОК,0),0)),"")="",IFERROR(INDEX(БАЗА_RO,1,IFERROR(MATCH(ЕТАЛОН_ПЛ,ПЛ_РЯДОК,0),0)),"")=0),"",AE12/IFERROR(INDEX(БАЗА_RO,1,IFERROR(MATCH(ЕТАЛОН_ПЛ,ПЛ_РЯДОК,0),0)),"")-1)</f>
        <v/>
      </c>
      <c r="AG26" s="37" t="str">
        <f aca="false" t="array" ref="AG26:AG26">IF(OR(AG12="",ЕТАЛОН_ПЛ="",IFERROR(INDEX(БАЗА_RO,1,IFERROR(MATCH(ЕТАЛОН_ПЛ,ПЛ_РЯДОК,0),0)),"")=""),"",AG12-IFERROR(INDEX(БАЗА_RO,1,IFERROR(MATCH(ЕТАЛОН_ПЛ,ПЛ_РЯДОК,0),0)),""))</f>
        <v/>
      </c>
      <c r="AH26" s="86" t="str">
        <f aca="false" t="array" ref="AH26:AH26">IF(OR(AG12="",ЕТАЛОН_ПЛ="",IFERROR(INDEX(БАЗА_RO,1,IFERROR(MATCH(ЕТАЛОН_ПЛ,ПЛ_РЯДОК,0),0)),"")="",IFERROR(INDEX(БАЗА_RO,1,IFERROR(MATCH(ЕТАЛОН_ПЛ,ПЛ_РЯДОК,0),0)),"")=0),"",AG12/IFERROR(INDEX(БАЗА_RO,1,IFERROR(MATCH(ЕТАЛОН_ПЛ,ПЛ_РЯДОК,0),0)),"")-1)</f>
        <v/>
      </c>
      <c r="AI26" s="37" t="str">
        <f aca="false" t="array" ref="AI26:AI26">IF(OR(AI12="",ЕТАЛОН_ПЛ="",IFERROR(INDEX(БАЗА_RO,1,IFERROR(MATCH(ЕТАЛОН_ПЛ,ПЛ_РЯДОК,0),0)),"")=""),"",AI12-IFERROR(INDEX(БАЗА_RO,1,IFERROR(MATCH(ЕТАЛОН_ПЛ,ПЛ_РЯДОК,0),0)),""))</f>
        <v/>
      </c>
      <c r="AJ26" s="86" t="str">
        <f aca="false" t="array" ref="AJ26:AJ26">IF(OR(AI12="",ЕТАЛОН_ПЛ="",IFERROR(INDEX(БАЗА_RO,1,IFERROR(MATCH(ЕТАЛОН_ПЛ,ПЛ_РЯДОК,0),0)),"")="",IFERROR(INDEX(БАЗА_RO,1,IFERROR(MATCH(ЕТАЛОН_ПЛ,ПЛ_РЯДОК,0),0)),"")=0),"",AI12/IFERROR(INDEX(БАЗА_RO,1,IFERROR(MATCH(ЕТАЛОН_ПЛ,ПЛ_РЯДОК,0),0)),"")-1)</f>
        <v/>
      </c>
      <c r="AK26" s="37" t="str">
        <f aca="false" t="array" ref="AK26:AK26">IF(OR(AK12="",ЕТАЛОН_ПЛ="",IFERROR(INDEX(БАЗА_RO,1,IFERROR(MATCH(ЕТАЛОН_ПЛ,ПЛ_РЯДОК,0),0)),"")=""),"",AK12-IFERROR(INDEX(БАЗА_RO,1,IFERROR(MATCH(ЕТАЛОН_ПЛ,ПЛ_РЯДОК,0),0)),""))</f>
        <v/>
      </c>
      <c r="AL26" s="86" t="str">
        <f aca="false" t="array" ref="AL26:AL26">IF(OR(AK12="",ЕТАЛОН_ПЛ="",IFERROR(INDEX(БАЗА_RO,1,IFERROR(MATCH(ЕТАЛОН_ПЛ,ПЛ_РЯДОК,0),0)),"")="",IFERROR(INDEX(БАЗА_RO,1,IFERROR(MATCH(ЕТАЛОН_ПЛ,ПЛ_РЯДОК,0),0)),"")=0),"",AK12/IFERROR(INDEX(БАЗА_RO,1,IFERROR(MATCH(ЕТАЛОН_ПЛ,ПЛ_РЯДОК,0),0)),"")-1)</f>
        <v/>
      </c>
      <c r="AM26" s="37" t="str">
        <f aca="false" t="array" ref="AM26:AM26">IF(OR(AM12="",ЕТАЛОН_ПЛ="",IFERROR(INDEX(БАЗА_RO,1,IFERROR(MATCH(ЕТАЛОН_ПЛ,ПЛ_РЯДОК,0),0)),"")=""),"",AM12-IFERROR(INDEX(БАЗА_RO,1,IFERROR(MATCH(ЕТАЛОН_ПЛ,ПЛ_РЯДОК,0),0)),""))</f>
        <v/>
      </c>
      <c r="AN26" s="86" t="str">
        <f aca="false" t="array" ref="AN26:AN26">IF(OR(AM12="",ЕТАЛОН_ПЛ="",IFERROR(INDEX(БАЗА_RO,1,IFERROR(MATCH(ЕТАЛОН_ПЛ,ПЛ_РЯДОК,0),0)),"")="",IFERROR(INDEX(БАЗА_RO,1,IFERROR(MATCH(ЕТАЛОН_ПЛ,ПЛ_РЯДОК,0),0)),"")=0),"",AM12/IFERROR(INDEX(БАЗА_RO,1,IFERROR(MATCH(ЕТАЛОН_ПЛ,ПЛ_РЯДОК,0),0)),"")-1)</f>
        <v/>
      </c>
      <c r="AO26" s="37" t="str">
        <f aca="false" t="array" ref="AO26:AO26">IF(OR(AO12="",ЕТАЛОН_ПЛ="",IFERROR(INDEX(БАЗА_RO,1,IFERROR(MATCH(ЕТАЛОН_ПЛ,ПЛ_РЯДОК,0),0)),"")=""),"",AO12-IFERROR(INDEX(БАЗА_RO,1,IFERROR(MATCH(ЕТАЛОН_ПЛ,ПЛ_РЯДОК,0),0)),""))</f>
        <v/>
      </c>
      <c r="AP26" s="86" t="str">
        <f aca="false" t="array" ref="AP26:AP26">IF(OR(AO12="",ЕТАЛОН_ПЛ="",IFERROR(INDEX(БАЗА_RO,1,IFERROR(MATCH(ЕТАЛОН_ПЛ,ПЛ_РЯДОК,0),0)),"")="",IFERROR(INDEX(БАЗА_RO,1,IFERROR(MATCH(ЕТАЛОН_ПЛ,ПЛ_РЯДОК,0),0)),"")=0),"",AO12/IFERROR(INDEX(БАЗА_RO,1,IFERROR(MATCH(ЕТАЛОН_ПЛ,ПЛ_РЯДОК,0),0)),"")-1)</f>
        <v/>
      </c>
      <c r="AQ26" s="37" t="str">
        <f aca="false" t="array" ref="AQ26:AQ26">IF(OR(AQ12="",ЕТАЛОН_ПЛ="",IFERROR(INDEX(БАЗА_RO,1,IFERROR(MATCH(ЕТАЛОН_ПЛ,ПЛ_РЯДОК,0),0)),"")=""),"",AQ12-IFERROR(INDEX(БАЗА_RO,1,IFERROR(MATCH(ЕТАЛОН_ПЛ,ПЛ_РЯДОК,0),0)),""))</f>
        <v/>
      </c>
      <c r="AR26" s="86" t="str">
        <f aca="false" t="array" ref="AR26:AR26">IF(OR(AQ12="",ЕТАЛОН_ПЛ="",IFERROR(INDEX(БАЗА_RO,1,IFERROR(MATCH(ЕТАЛОН_ПЛ,ПЛ_РЯДОК,0),0)),"")="",IFERROR(INDEX(БАЗА_RO,1,IFERROR(MATCH(ЕТАЛОН_ПЛ,ПЛ_РЯДОК,0),0)),"")=0),"",AQ12/IFERROR(INDEX(БАЗА_RO,1,IFERROR(MATCH(ЕТАЛОН_ПЛ,ПЛ_РЯДОК,0),0)),"")-1)</f>
        <v/>
      </c>
      <c r="AS26" s="37" t="str">
        <f aca="false" t="array" ref="AS26:AS26">IF(OR(AS12="",ЕТАЛОН_ПЛ="",IFERROR(INDEX(БАЗА_RO,1,IFERROR(MATCH(ЕТАЛОН_ПЛ,ПЛ_РЯДОК,0),0)),"")=""),"",AS12-IFERROR(INDEX(БАЗА_RO,1,IFERROR(MATCH(ЕТАЛОН_ПЛ,ПЛ_РЯДОК,0),0)),""))</f>
        <v/>
      </c>
      <c r="AT26" s="86" t="str">
        <f aca="false" t="array" ref="AT26:AT26">IF(OR(AS12="",ЕТАЛОН_ПЛ="",IFERROR(INDEX(БАЗА_RO,1,IFERROR(MATCH(ЕТАЛОН_ПЛ,ПЛ_РЯДОК,0),0)),"")="",IFERROR(INDEX(БАЗА_RO,1,IFERROR(MATCH(ЕТАЛОН_ПЛ,ПЛ_РЯДОК,0),0)),"")=0),"",AS12/IFERROR(INDEX(БАЗА_RO,1,IFERROR(MATCH(ЕТАЛОН_ПЛ,ПЛ_РЯДОК,0),0)),"")-1)</f>
        <v/>
      </c>
      <c r="AU26" s="37" t="str">
        <f aca="false" t="array" ref="AU26:AU26">IF(OR(AU12="",ЕТАЛОН_ПЛ="",IFERROR(INDEX(БАЗА_RO,1,IFERROR(MATCH(ЕТАЛОН_ПЛ,ПЛ_РЯДОК,0),0)),"")=""),"",AU12-IFERROR(INDEX(БАЗА_RO,1,IFERROR(MATCH(ЕТАЛОН_ПЛ,ПЛ_РЯДОК,0),0)),""))</f>
        <v/>
      </c>
      <c r="AV26" s="86" t="str">
        <f aca="false" t="array" ref="AV26:AV26">IF(OR(AU12="",ЕТАЛОН_ПЛ="",IFERROR(INDEX(БАЗА_RO,1,IFERROR(MATCH(ЕТАЛОН_ПЛ,ПЛ_РЯДОК,0),0)),"")="",IFERROR(INDEX(БАЗА_RO,1,IFERROR(MATCH(ЕТАЛОН_ПЛ,ПЛ_РЯДОК,0),0)),"")=0),"",AU12/IFERROR(INDEX(БАЗА_RO,1,IFERROR(MATCH(ЕТАЛОН_ПЛ,ПЛ_РЯДОК,0),0)),"")-1)</f>
        <v/>
      </c>
      <c r="AW26" s="37" t="n">
        <f aca="false" t="array" ref="AW26:AW26">IF(OR(AW12="",ЕТАЛОН_ПЛ="",IFERROR(INDEX(БАЗА_RO,1,IFERROR(MATCH(ЕТАЛОН_ПЛ,ПЛ_РЯДОК,0),0)),"")=""),"",AW12-IFERROR(INDEX(БАЗА_RO,1,IFERROR(MATCH(ЕТАЛОН_ПЛ,ПЛ_РЯДОК,0),0)),""))</f>
        <v>-3100</v>
      </c>
      <c r="AX26" s="86" t="n">
        <f aca="false" t="array" ref="AX26:AX26">IF(OR(AW12="",ЕТАЛОН_ПЛ="",IFERROR(INDEX(БАЗА_RO,1,IFERROR(MATCH(ЕТАЛОН_ПЛ,ПЛ_РЯДОК,0),0)),"")="",IFERROR(INDEX(БАЗА_RO,1,IFERROR(MATCH(ЕТАЛОН_ПЛ,ПЛ_РЯДОК,0),0)),"")=0),"",AW12/IFERROR(INDEX(БАЗА_RO,1,IFERROR(MATCH(ЕТАЛОН_ПЛ,ПЛ_РЯДОК,0),0)),"")-1)</f>
        <v>-0.344444444444444</v>
      </c>
      <c r="AY26" s="37" t="n">
        <f aca="false" t="array" ref="AY26:AY26">IF(OR(AY12="",ЕТАЛОН_ПЛ="",IFERROR(INDEX(БАЗА_RO,1,IFERROR(MATCH(ЕТАЛОН_ПЛ,ПЛ_РЯДОК,0),0)),"")=""),"",AY12-IFERROR(INDEX(БАЗА_RO,1,IFERROR(MATCH(ЕТАЛОН_ПЛ,ПЛ_РЯДОК,0),0)),""))</f>
        <v>-2250</v>
      </c>
      <c r="AZ26" s="86" t="n">
        <f aca="false" t="array" ref="AZ26:AZ26">IF(OR(AY12="",ЕТАЛОН_ПЛ="",IFERROR(INDEX(БАЗА_RO,1,IFERROR(MATCH(ЕТАЛОН_ПЛ,ПЛ_РЯДОК,0),0)),"")="",IFERROR(INDEX(БАЗА_RO,1,IFERROR(MATCH(ЕТАЛОН_ПЛ,ПЛ_РЯДОК,0),0)),"")=0),"",AY12/IFERROR(INDEX(БАЗА_RO,1,IFERROR(MATCH(ЕТАЛОН_ПЛ,ПЛ_РЯДОК,0),0)),"")-1)</f>
        <v>-0.25</v>
      </c>
      <c r="BA26" s="37" t="n">
        <f aca="false" t="array" ref="BA26:BA26">IF(OR(BA12="",ЕТАЛОН_ПЛ="",IFERROR(INDEX(БАЗА_RO,1,IFERROR(MATCH(ЕТАЛОН_ПЛ,ПЛ_РЯДОК,0),0)),"")=""),"",BA12-IFERROR(INDEX(БАЗА_RO,1,IFERROR(MATCH(ЕТАЛОН_ПЛ,ПЛ_РЯДОК,0),0)),""))</f>
        <v>-900</v>
      </c>
      <c r="BB26" s="86" t="n">
        <f aca="false" t="array" ref="BB26:BB26">IF(OR(BA12="",ЕТАЛОН_ПЛ="",IFERROR(INDEX(БАЗА_RO,1,IFERROR(MATCH(ЕТАЛОН_ПЛ,ПЛ_РЯДОК,0),0)),"")="",IFERROR(INDEX(БАЗА_RO,1,IFERROR(MATCH(ЕТАЛОН_ПЛ,ПЛ_РЯДОК,0),0)),"")=0),"",BA12/IFERROR(INDEX(БАЗА_RO,1,IFERROR(MATCH(ЕТАЛОН_ПЛ,ПЛ_РЯДОК,0),0)),"")-1)</f>
        <v>-0.1</v>
      </c>
      <c r="BC26" s="37" t="n">
        <f aca="false" t="array" ref="BC26:BC26">IF(OR(BC12="",ЕТАЛОН_ПЛ="",IFERROR(INDEX(БАЗА_RO,1,IFERROR(MATCH(ЕТАЛОН_ПЛ,ПЛ_РЯДОК,0),0)),"")=""),"",BC12-IFERROR(INDEX(БАЗА_RO,1,IFERROR(MATCH(ЕТАЛОН_ПЛ,ПЛ_РЯДОК,0),0)),""))</f>
        <v>4500</v>
      </c>
      <c r="BD26" s="86" t="n">
        <f aca="false" t="array" ref="BD26:BD26">IF(OR(BC12="",ЕТАЛОН_ПЛ="",IFERROR(INDEX(БАЗА_RO,1,IFERROR(MATCH(ЕТАЛОН_ПЛ,ПЛ_РЯДОК,0),0)),"")="",IFERROR(INDEX(БАЗА_RO,1,IFERROR(MATCH(ЕТАЛОН_ПЛ,ПЛ_РЯДОК,0),0)),"")=0),"",BC12/IFERROR(INDEX(БАЗА_RO,1,IFERROR(MATCH(ЕТАЛОН_ПЛ,ПЛ_РЯДОК,0),0)),"")-1)</f>
        <v>0.5</v>
      </c>
      <c r="BE26" s="37" t="n">
        <f aca="false" t="array" ref="BE26:BE26">IF(OR(BE12="",ЕТАЛОН_ПЛ="",IFERROR(INDEX(БАЗА_RO,1,IFERROR(MATCH(ЕТАЛОН_ПЛ,ПЛ_РЯДОК,0),0)),"")=""),"",BE12-IFERROR(INDEX(БАЗА_RO,1,IFERROR(MATCH(ЕТАЛОН_ПЛ,ПЛ_РЯДОК,0),0)),""))</f>
        <v>-2400</v>
      </c>
      <c r="BF26" s="86" t="n">
        <f aca="false" t="array" ref="BF26:BF26">IF(OR(BE12="",ЕТАЛОН_ПЛ="",IFERROR(INDEX(БАЗА_RO,1,IFERROR(MATCH(ЕТАЛОН_ПЛ,ПЛ_РЯДОК,0),0)),"")="",IFERROR(INDEX(БАЗА_RO,1,IFERROR(MATCH(ЕТАЛОН_ПЛ,ПЛ_РЯДОК,0),0)),"")=0),"",BE12/IFERROR(INDEX(БАЗА_RO,1,IFERROR(MATCH(ЕТАЛОН_ПЛ,ПЛ_РЯДОК,0),0)),"")-1)</f>
        <v>-0.266666666666667</v>
      </c>
      <c r="BG26" s="37" t="n">
        <f aca="false" t="array" ref="BG26:BG26">IF(OR(BG12="",ЕТАЛОН_ПЛ="",IFERROR(INDEX(БАЗА_RO,1,IFERROR(MATCH(ЕТАЛОН_ПЛ,ПЛ_РЯДОК,0),0)),"")=""),"",BG12-IFERROR(INDEX(БАЗА_RO,1,IFERROR(MATCH(ЕТАЛОН_ПЛ,ПЛ_РЯДОК,0),0)),""))</f>
        <v>-1300</v>
      </c>
      <c r="BH26" s="86" t="n">
        <f aca="false" t="array" ref="BH26:BH26">IF(OR(BG12="",ЕТАЛОН_ПЛ="",IFERROR(INDEX(БАЗА_RO,1,IFERROR(MATCH(ЕТАЛОН_ПЛ,ПЛ_РЯДОК,0),0)),"")="",IFERROR(INDEX(БАЗА_RO,1,IFERROR(MATCH(ЕТАЛОН_ПЛ,ПЛ_РЯДОК,0),0)),"")=0),"",BG12/IFERROR(INDEX(БАЗА_RO,1,IFERROR(MATCH(ЕТАЛОН_ПЛ,ПЛ_РЯДОК,0),0)),"")-1)</f>
        <v>-0.144444444444445</v>
      </c>
      <c r="BI26" s="37" t="n">
        <f aca="false" t="array" ref="BI26:BI26">IF(OR(BI12="",ЕТАЛОН_ПЛ="",IFERROR(INDEX(БАЗА_RO,1,IFERROR(MATCH(ЕТАЛОН_ПЛ,ПЛ_РЯДОК,0),0)),"")=""),"",BI12-IFERROR(INDEX(БАЗА_RO,1,IFERROR(MATCH(ЕТАЛОН_ПЛ,ПЛ_РЯДОК,0),0)),""))</f>
        <v>0</v>
      </c>
      <c r="BJ26" s="86" t="n">
        <f aca="false" t="array" ref="BJ26:BJ26">IF(OR(BI12="",ЕТАЛОН_ПЛ="",IFERROR(INDEX(БАЗА_RO,1,IFERROR(MATCH(ЕТАЛОН_ПЛ,ПЛ_РЯДОК,0),0)),"")="",IFERROR(INDEX(БАЗА_RO,1,IFERROR(MATCH(ЕТАЛОН_ПЛ,ПЛ_РЯДОК,0),0)),"")=0),"",BI12/IFERROR(INDEX(БАЗА_RO,1,IFERROR(MATCH(ЕТАЛОН_ПЛ,ПЛ_РЯДОК,0),0)),"")-1)</f>
        <v>0</v>
      </c>
      <c r="BK26" s="37" t="n">
        <f aca="false" t="array" ref="BK26:BK26">IF(OR(BK12="",ЕТАЛОН_ПЛ="",IFERROR(INDEX(БАЗА_RO,1,IFERROR(MATCH(ЕТАЛОН_ПЛ,ПЛ_РЯДОК,0),0)),"")=""),"",BK12-IFERROR(INDEX(БАЗА_RO,1,IFERROR(MATCH(ЕТАЛОН_ПЛ,ПЛ_РЯДОК,0),0)),""))</f>
        <v>6600</v>
      </c>
      <c r="BL26" s="86" t="n">
        <f aca="false" t="array" ref="BL26:BL26">IF(OR(BK12="",ЕТАЛОН_ПЛ="",IFERROR(INDEX(БАЗА_RO,1,IFERROR(MATCH(ЕТАЛОН_ПЛ,ПЛ_РЯДОК,0),0)),"")="",IFERROR(INDEX(БАЗА_RO,1,IFERROR(MATCH(ЕТАЛОН_ПЛ,ПЛ_РЯДОК,0),0)),"")=0),"",BK12/IFERROR(INDEX(БАЗА_RO,1,IFERROR(MATCH(ЕТАЛОН_ПЛ,ПЛ_РЯДОК,0),0)),"")-1)</f>
        <v>0.733333333333333</v>
      </c>
      <c r="BM26" s="37" t="str">
        <f aca="false" t="array" ref="BM26:BM26">IF(OR(BM12="",ЕТАЛОН_ПЛ="",IFERROR(INDEX(БАЗА_RO,1,IFERROR(MATCH(ЕТАЛОН_ПЛ,ПЛ_РЯДОК,0),0)),"")=""),"",BM12-IFERROR(INDEX(БАЗА_RO,1,IFERROR(MATCH(ЕТАЛОН_ПЛ,ПЛ_РЯДОК,0),0)),""))</f>
        <v/>
      </c>
      <c r="BN26" s="86" t="str">
        <f aca="false" t="array" ref="BN26:BN26">IF(OR(BM12="",ЕТАЛОН_ПЛ="",IFERROR(INDEX(БАЗА_RO,1,IFERROR(MATCH(ЕТАЛОН_ПЛ,ПЛ_РЯДОК,0),0)),"")="",IFERROR(INDEX(БАЗА_RO,1,IFERROR(MATCH(ЕТАЛОН_ПЛ,ПЛ_РЯДОК,0),0)),"")=0),"",BM12/IFERROR(INDEX(БАЗА_RO,1,IFERROR(MATCH(ЕТАЛОН_ПЛ,ПЛ_РЯДОК,0),0)),"")-1)</f>
        <v/>
      </c>
      <c r="BO26" s="37" t="str">
        <f aca="false" t="array" ref="BO26:BO26">IF(OR(BO12="",ЕТАЛОН_ПЛ="",IFERROR(INDEX(БАЗА_RO,1,IFERROR(MATCH(ЕТАЛОН_ПЛ,ПЛ_РЯДОК,0),0)),"")=""),"",BO12-IFERROR(INDEX(БАЗА_RO,1,IFERROR(MATCH(ЕТАЛОН_ПЛ,ПЛ_РЯДОК,0),0)),""))</f>
        <v/>
      </c>
      <c r="BP26" s="86" t="str">
        <f aca="false" t="array" ref="BP26:BP26">IF(OR(BO12="",ЕТАЛОН_ПЛ="",IFERROR(INDEX(БАЗА_RO,1,IFERROR(MATCH(ЕТАЛОН_ПЛ,ПЛ_РЯДОК,0),0)),"")="",IFERROR(INDEX(БАЗА_RO,1,IFERROR(MATCH(ЕТАЛОН_ПЛ,ПЛ_РЯДОК,0),0)),"")=0),"",BO12/IFERROR(INDEX(БАЗА_RO,1,IFERROR(MATCH(ЕТАЛОН_ПЛ,ПЛ_РЯДОК,0),0)),"")-1)</f>
        <v/>
      </c>
      <c r="BQ26" s="37" t="str">
        <f aca="false" t="array" ref="BQ26:BQ26">IF(OR(BQ12="",ЕТАЛОН_ПЛ="",IFERROR(INDEX(БАЗА_RO,1,IFERROR(MATCH(ЕТАЛОН_ПЛ,ПЛ_РЯДОК,0),0)),"")=""),"",BQ12-IFERROR(INDEX(БАЗА_RO,1,IFERROR(MATCH(ЕТАЛОН_ПЛ,ПЛ_РЯДОК,0),0)),""))</f>
        <v/>
      </c>
      <c r="BR26" s="86" t="str">
        <f aca="false" t="array" ref="BR26:BR26">IF(OR(BQ12="",ЕТАЛОН_ПЛ="",IFERROR(INDEX(БАЗА_RO,1,IFERROR(MATCH(ЕТАЛОН_ПЛ,ПЛ_РЯДОК,0),0)),"")="",IFERROR(INDEX(БАЗА_RO,1,IFERROR(MATCH(ЕТАЛОН_ПЛ,ПЛ_РЯДОК,0),0)),"")=0),"",BQ12/IFERROR(INDEX(БАЗА_RO,1,IFERROR(MATCH(ЕТАЛОН_ПЛ,ПЛ_РЯДОК,0),0)),"")-1)</f>
        <v/>
      </c>
      <c r="BS26" s="37" t="str">
        <f aca="false" t="array" ref="BS26:BS26">IF(OR(BS12="",ЕТАЛОН_ПЛ="",IFERROR(INDEX(БАЗА_RO,1,IFERROR(MATCH(ЕТАЛОН_ПЛ,ПЛ_РЯДОК,0),0)),"")=""),"",BS12-IFERROR(INDEX(БАЗА_RO,1,IFERROR(MATCH(ЕТАЛОН_ПЛ,ПЛ_РЯДОК,0),0)),""))</f>
        <v/>
      </c>
      <c r="BT26" s="86" t="str">
        <f aca="false" t="array" ref="BT26:BT26">IF(OR(BS12="",ЕТАЛОН_ПЛ="",IFERROR(INDEX(БАЗА_RO,1,IFERROR(MATCH(ЕТАЛОН_ПЛ,ПЛ_РЯДОК,0),0)),"")="",IFERROR(INDEX(БАЗА_RO,1,IFERROR(MATCH(ЕТАЛОН_ПЛ,ПЛ_РЯДОК,0),0)),"")=0),"",BS12/IFERROR(INDEX(БАЗА_RO,1,IFERROR(MATCH(ЕТАЛОН_ПЛ,ПЛ_РЯДОК,0),0)),"")-1)</f>
        <v/>
      </c>
      <c r="BU26" s="37" t="str">
        <f aca="false" t="array" ref="BU26:BU26">IF(OR(BU12="",ЕТАЛОН_ПЛ="",IFERROR(INDEX(БАЗА_RO,1,IFERROR(MATCH(ЕТАЛОН_ПЛ,ПЛ_РЯДОК,0),0)),"")=""),"",BU12-IFERROR(INDEX(БАЗА_RO,1,IFERROR(MATCH(ЕТАЛОН_ПЛ,ПЛ_РЯДОК,0),0)),""))</f>
        <v/>
      </c>
      <c r="BV26" s="86" t="str">
        <f aca="false" t="array" ref="BV26:BV26">IF(OR(BU12="",ЕТАЛОН_ПЛ="",IFERROR(INDEX(БАЗА_RO,1,IFERROR(MATCH(ЕТАЛОН_ПЛ,ПЛ_РЯДОК,0),0)),"")="",IFERROR(INDEX(БАЗА_RO,1,IFERROR(MATCH(ЕТАЛОН_ПЛ,ПЛ_РЯДОК,0),0)),"")=0),"",BU12/IFERROR(INDEX(БАЗА_RO,1,IFERROR(MATCH(ЕТАЛОН_ПЛ,ПЛ_РЯДОК,0),0)),"")-1)</f>
        <v/>
      </c>
      <c r="BW26" s="37" t="str">
        <f aca="false" t="array" ref="BW26:BW26">IF(OR(BW12="",ЕТАЛОН_ПЛ="",IFERROR(INDEX(БАЗА_RO,1,IFERROR(MATCH(ЕТАЛОН_ПЛ,ПЛ_РЯДОК,0),0)),"")=""),"",BW12-IFERROR(INDEX(БАЗА_RO,1,IFERROR(MATCH(ЕТАЛОН_ПЛ,ПЛ_РЯДОК,0),0)),""))</f>
        <v/>
      </c>
      <c r="BX26" s="86" t="str">
        <f aca="false" t="array" ref="BX26:BX26">IF(OR(BW12="",ЕТАЛОН_ПЛ="",IFERROR(INDEX(БАЗА_RO,1,IFERROR(MATCH(ЕТАЛОН_ПЛ,ПЛ_РЯДОК,0),0)),"")="",IFERROR(INDEX(БАЗА_RO,1,IFERROR(MATCH(ЕТАЛОН_ПЛ,ПЛ_РЯДОК,0),0)),"")=0),"",BW12/IFERROR(INDEX(БАЗА_RO,1,IFERROR(MATCH(ЕТАЛОН_ПЛ,ПЛ_РЯДОК,0),0)),"")-1)</f>
        <v/>
      </c>
      <c r="BY26" s="37" t="str">
        <f aca="false" t="array" ref="BY26:BY26">IF(OR(BY12="",ЕТАЛОН_ПЛ="",IFERROR(INDEX(БАЗА_RO,1,IFERROR(MATCH(ЕТАЛОН_ПЛ,ПЛ_РЯДОК,0),0)),"")=""),"",BY12-IFERROR(INDEX(БАЗА_RO,1,IFERROR(MATCH(ЕТАЛОН_ПЛ,ПЛ_РЯДОК,0),0)),""))</f>
        <v/>
      </c>
      <c r="BZ26" s="86" t="str">
        <f aca="false" t="array" ref="BZ26:BZ26">IF(OR(BY12="",ЕТАЛОН_ПЛ="",IFERROR(INDEX(БАЗА_RO,1,IFERROR(MATCH(ЕТАЛОН_ПЛ,ПЛ_РЯДОК,0),0)),"")="",IFERROR(INDEX(БАЗА_RO,1,IFERROR(MATCH(ЕТАЛОН_ПЛ,ПЛ_РЯДОК,0),0)),"")=0),"",BY12/IFERROR(INDEX(БАЗА_RO,1,IFERROR(MATCH(ЕТАЛОН_ПЛ,ПЛ_РЯДОК,0),0)),"")-1)</f>
        <v/>
      </c>
      <c r="CA26" s="37" t="str">
        <f aca="false" t="array" ref="CA26:CA26">IF(OR(CA12="",ЕТАЛОН_ПЛ="",IFERROR(INDEX(БАЗА_RO,1,IFERROR(MATCH(ЕТАЛОН_ПЛ,ПЛ_РЯДОК,0),0)),"")=""),"",CA12-IFERROR(INDEX(БАЗА_RO,1,IFERROR(MATCH(ЕТАЛОН_ПЛ,ПЛ_РЯДОК,0),0)),""))</f>
        <v/>
      </c>
      <c r="CB26" s="86" t="str">
        <f aca="false" t="array" ref="CB26:CB26">IF(OR(CA12="",ЕТАЛОН_ПЛ="",IFERROR(INDEX(БАЗА_RO,1,IFERROR(MATCH(ЕТАЛОН_ПЛ,ПЛ_РЯДОК,0),0)),"")="",IFERROR(INDEX(БАЗА_RO,1,IFERROR(MATCH(ЕТАЛОН_ПЛ,ПЛ_РЯДОК,0),0)),"")=0),"",CA12/IFERROR(INDEX(БАЗА_RO,1,IFERROR(MATCH(ЕТАЛОН_ПЛ,ПЛ_РЯДОК,0),0)),"")-1)</f>
        <v/>
      </c>
      <c r="CC26" s="37" t="str">
        <f aca="false" t="array" ref="CC26:CC26">IF(OR(CC12="",ЕТАЛОН_ПЛ="",IFERROR(INDEX(БАЗА_RO,1,IFERROR(MATCH(ЕТАЛОН_ПЛ,ПЛ_РЯДОК,0),0)),"")=""),"",CC12-IFERROR(INDEX(БАЗА_RO,1,IFERROR(MATCH(ЕТАЛОН_ПЛ,ПЛ_РЯДОК,0),0)),""))</f>
        <v/>
      </c>
      <c r="CD26" s="86" t="str">
        <f aca="false" t="array" ref="CD26:CD26">IF(OR(CC12="",ЕТАЛОН_ПЛ="",IFERROR(INDEX(БАЗА_RO,1,IFERROR(MATCH(ЕТАЛОН_ПЛ,ПЛ_РЯДОК,0),0)),"")="",IFERROR(INDEX(БАЗА_RO,1,IFERROR(MATCH(ЕТАЛОН_ПЛ,ПЛ_РЯДОК,0),0)),"")=0),"",CC12/IFERROR(INDEX(БАЗА_RO,1,IFERROR(MATCH(ЕТАЛОН_ПЛ,ПЛ_РЯДОК,0),0)),"")-1)</f>
        <v/>
      </c>
      <c r="CE26" s="37" t="str">
        <f aca="false" t="array" ref="CE26:CE26">IF(OR(CE12="",ЕТАЛОН_ПЛ="",IFERROR(INDEX(БАЗА_RO,1,IFERROR(MATCH(ЕТАЛОН_ПЛ,ПЛ_РЯДОК,0),0)),"")=""),"",CE12-IFERROR(INDEX(БАЗА_RO,1,IFERROR(MATCH(ЕТАЛОН_ПЛ,ПЛ_РЯДОК,0),0)),""))</f>
        <v/>
      </c>
      <c r="CF26" s="86" t="str">
        <f aca="false" t="array" ref="CF26:CF26">IF(OR(CE12="",ЕТАЛОН_ПЛ="",IFERROR(INDEX(БАЗА_RO,1,IFERROR(MATCH(ЕТАЛОН_ПЛ,ПЛ_РЯДОК,0),0)),"")="",IFERROR(INDEX(БАЗА_RO,1,IFERROR(MATCH(ЕТАЛОН_ПЛ,ПЛ_РЯДОК,0),0)),"")=0),"",CE12/IFERROR(INDEX(БАЗА_RO,1,IFERROR(MATCH(ЕТАЛОН_ПЛ,ПЛ_РЯДОК,0),0)),"")-1)</f>
        <v/>
      </c>
      <c r="CG26" s="37" t="str">
        <f aca="false" t="array" ref="CG26:CG26">IF(OR(CG12="",ЕТАЛОН_ПЛ="",IFERROR(INDEX(БАЗА_RO,1,IFERROR(MATCH(ЕТАЛОН_ПЛ,ПЛ_РЯДОК,0),0)),"")=""),"",CG12-IFERROR(INDEX(БАЗА_RO,1,IFERROR(MATCH(ЕТАЛОН_ПЛ,ПЛ_РЯДОК,0),0)),""))</f>
        <v/>
      </c>
      <c r="CH26" s="86" t="str">
        <f aca="false" t="array" ref="CH26:CH26">IF(OR(CG12="",ЕТАЛОН_ПЛ="",IFERROR(INDEX(БАЗА_RO,1,IFERROR(MATCH(ЕТАЛОН_ПЛ,ПЛ_РЯДОК,0),0)),"")="",IFERROR(INDEX(БАЗА_RO,1,IFERROR(MATCH(ЕТАЛОН_ПЛ,ПЛ_РЯДОК,0),0)),"")=0),"",CG12/IFERROR(INDEX(БАЗА_RO,1,IFERROR(MATCH(ЕТАЛОН_ПЛ,ПЛ_РЯДОК,0),0)),"")-1)</f>
        <v/>
      </c>
      <c r="CI26" s="37" t="str">
        <f aca="false" t="array" ref="CI26:CI26">IF(OR(CI12="",ЕТАЛОН_ПЛ="",IFERROR(INDEX(БАЗА_RO,1,IFERROR(MATCH(ЕТАЛОН_ПЛ,ПЛ_РЯДОК,0),0)),"")=""),"",CI12-IFERROR(INDEX(БАЗА_RO,1,IFERROR(MATCH(ЕТАЛОН_ПЛ,ПЛ_РЯДОК,0),0)),""))</f>
        <v/>
      </c>
      <c r="CJ26" s="86" t="str">
        <f aca="false" t="array" ref="CJ26:CJ26">IF(OR(CI12="",ЕТАЛОН_ПЛ="",IFERROR(INDEX(БАЗА_RO,1,IFERROR(MATCH(ЕТАЛОН_ПЛ,ПЛ_РЯДОК,0),0)),"")="",IFERROR(INDEX(БАЗА_RO,1,IFERROR(MATCH(ЕТАЛОН_ПЛ,ПЛ_РЯДОК,0),0)),"")=0),"",CI12/IFERROR(INDEX(БАЗА_RO,1,IFERROR(MATCH(ЕТАЛОН_ПЛ,ПЛ_РЯДОК,0),0)),"")-1)</f>
        <v/>
      </c>
      <c r="CK26" s="37" t="str">
        <f aca="false" t="array" ref="CK26:CK26">IF(OR(CK12="",ЕТАЛОН_ПЛ="",IFERROR(INDEX(БАЗА_RO,1,IFERROR(MATCH(ЕТАЛОН_ПЛ,ПЛ_РЯДОК,0),0)),"")=""),"",CK12-IFERROR(INDEX(БАЗА_RO,1,IFERROR(MATCH(ЕТАЛОН_ПЛ,ПЛ_РЯДОК,0),0)),""))</f>
        <v/>
      </c>
      <c r="CL26" s="86" t="str">
        <f aca="false" t="array" ref="CL26:CL26">IF(OR(CK12="",ЕТАЛОН_ПЛ="",IFERROR(INDEX(БАЗА_RO,1,IFERROR(MATCH(ЕТАЛОН_ПЛ,ПЛ_РЯДОК,0),0)),"")="",IFERROR(INDEX(БАЗА_RO,1,IFERROR(MATCH(ЕТАЛОН_ПЛ,ПЛ_РЯДОК,0),0)),"")=0),"",CK12/IFERROR(INDEX(БАЗА_RO,1,IFERROR(MATCH(ЕТАЛОН_ПЛ,ПЛ_РЯДОК,0),0)),"")-1)</f>
        <v/>
      </c>
      <c r="CM26" s="37" t="str">
        <f aca="false" t="array" ref="CM26:CM26">IF(OR(CM12="",ЕТАЛОН_ПЛ="",IFERROR(INDEX(БАЗА_RO,1,IFERROR(MATCH(ЕТАЛОН_ПЛ,ПЛ_РЯДОК,0),0)),"")=""),"",CM12-IFERROR(INDEX(БАЗА_RO,1,IFERROR(MATCH(ЕТАЛОН_ПЛ,ПЛ_РЯДОК,0),0)),""))</f>
        <v/>
      </c>
      <c r="CN26" s="86" t="str">
        <f aca="false" t="array" ref="CN26:CN26">IF(OR(CM12="",ЕТАЛОН_ПЛ="",IFERROR(INDEX(БАЗА_RO,1,IFERROR(MATCH(ЕТАЛОН_ПЛ,ПЛ_РЯДОК,0),0)),"")="",IFERROR(INDEX(БАЗА_RO,1,IFERROR(MATCH(ЕТАЛОН_ПЛ,ПЛ_РЯДОК,0),0)),"")=0),"",CM12/IFERROR(INDEX(БАЗА_RO,1,IFERROR(MATCH(ЕТАЛОН_ПЛ,ПЛ_РЯДОК,0),0)),"")-1)</f>
        <v/>
      </c>
      <c r="CO26" s="37" t="str">
        <f aca="false" t="array" ref="CO26:CO26">IF(OR(CO12="",ЕТАЛОН_ПЛ="",IFERROR(INDEX(БАЗА_RO,1,IFERROR(MATCH(ЕТАЛОН_ПЛ,ПЛ_РЯДОК,0),0)),"")=""),"",CO12-IFERROR(INDEX(БАЗА_RO,1,IFERROR(MATCH(ЕТАЛОН_ПЛ,ПЛ_РЯДОК,0),0)),""))</f>
        <v/>
      </c>
      <c r="CP26" s="86" t="str">
        <f aca="false" t="array" ref="CP26:CP26">IF(OR(CO12="",ЕТАЛОН_ПЛ="",IFERROR(INDEX(БАЗА_RO,1,IFERROR(MATCH(ЕТАЛОН_ПЛ,ПЛ_РЯДОК,0),0)),"")="",IFERROR(INDEX(БАЗА_RO,1,IFERROR(MATCH(ЕТАЛОН_ПЛ,ПЛ_РЯДОК,0),0)),"")=0),"",CO12/IFERROR(INDEX(БАЗА_RO,1,IFERROR(MATCH(ЕТАЛОН_ПЛ,ПЛ_РЯДОК,0),0)),"")-1)</f>
        <v/>
      </c>
      <c r="CQ26" s="37" t="str">
        <f aca="false" t="array" ref="CQ26:CQ26">IF(OR(CQ12="",ЕТАЛОН_ПЛ="",IFERROR(INDEX(БАЗА_RO,1,IFERROR(MATCH(ЕТАЛОН_ПЛ,ПЛ_РЯДОК,0),0)),"")=""),"",CQ12-IFERROR(INDEX(БАЗА_RO,1,IFERROR(MATCH(ЕТАЛОН_ПЛ,ПЛ_РЯДОК,0),0)),""))</f>
        <v/>
      </c>
      <c r="CR26" s="86" t="str">
        <f aca="false" t="array" ref="CR26:CR26">IF(OR(CQ12="",ЕТАЛОН_ПЛ="",IFERROR(INDEX(БАЗА_RO,1,IFERROR(MATCH(ЕТАЛОН_ПЛ,ПЛ_РЯДОК,0),0)),"")="",IFERROR(INDEX(БАЗА_RO,1,IFERROR(MATCH(ЕТАЛОН_ПЛ,ПЛ_РЯДОК,0),0)),"")=0),"",CQ12/IFERROR(INDEX(БАЗА_RO,1,IFERROR(MATCH(ЕТАЛОН_ПЛ,ПЛ_РЯДОК,0),0)),"")-1)</f>
        <v/>
      </c>
      <c r="CS26" s="37" t="str">
        <f aca="false" t="array" ref="CS26:CS26">IF(OR(CS12="",ЕТАЛОН_ПЛ="",IFERROR(INDEX(БАЗА_RO,1,IFERROR(MATCH(ЕТАЛОН_ПЛ,ПЛ_РЯДОК,0),0)),"")=""),"",CS12-IFERROR(INDEX(БАЗА_RO,1,IFERROR(MATCH(ЕТАЛОН_ПЛ,ПЛ_РЯДОК,0),0)),""))</f>
        <v/>
      </c>
      <c r="CT26" s="86" t="str">
        <f aca="false" t="array" ref="CT26:CT26">IF(OR(CS12="",ЕТАЛОН_ПЛ="",IFERROR(INDEX(БАЗА_RO,1,IFERROR(MATCH(ЕТАЛОН_ПЛ,ПЛ_РЯДОК,0),0)),"")="",IFERROR(INDEX(БАЗА_RO,1,IFERROR(MATCH(ЕТАЛОН_ПЛ,ПЛ_РЯДОК,0),0)),"")=0),"",CS12/IFERROR(INDEX(БАЗА_RO,1,IFERROR(MATCH(ЕТАЛОН_ПЛ,ПЛ_РЯДОК,0),0)),"")-1)</f>
        <v/>
      </c>
      <c r="CU26" s="37" t="str">
        <f aca="false" t="array" ref="CU26:CU26">IF(OR(CU12="",ЕТАЛОН_ПЛ="",IFERROR(INDEX(БАЗА_RO,1,IFERROR(MATCH(ЕТАЛОН_ПЛ,ПЛ_РЯДОК,0),0)),"")=""),"",CU12-IFERROR(INDEX(БАЗА_RO,1,IFERROR(MATCH(ЕТАЛОН_ПЛ,ПЛ_РЯДОК,0),0)),""))</f>
        <v/>
      </c>
      <c r="CV26" s="86" t="str">
        <f aca="false" t="array" ref="CV26:CV26">IF(OR(CU12="",ЕТАЛОН_ПЛ="",IFERROR(INDEX(БАЗА_RO,1,IFERROR(MATCH(ЕТАЛОН_ПЛ,ПЛ_РЯДОК,0),0)),"")="",IFERROR(INDEX(БАЗА_RO,1,IFERROR(MATCH(ЕТАЛОН_ПЛ,ПЛ_РЯДОК,0),0)),"")=0),"",CU12/IFERROR(INDEX(БАЗА_RO,1,IFERROR(MATCH(ЕТАЛОН_ПЛ,ПЛ_РЯДОК,0),0)),"")-1)</f>
        <v/>
      </c>
      <c r="CW26" s="37" t="str">
        <f aca="false" t="array" ref="CW26:CW26">IF(OR(CW12="",ЕТАЛОН_ПЛ="",IFERROR(INDEX(БАЗА_RO,1,IFERROR(MATCH(ЕТАЛОН_ПЛ,ПЛ_РЯДОК,0),0)),"")=""),"",CW12-IFERROR(INDEX(БАЗА_RO,1,IFERROR(MATCH(ЕТАЛОН_ПЛ,ПЛ_РЯДОК,0),0)),""))</f>
        <v/>
      </c>
      <c r="CX26" s="86" t="str">
        <f aca="false" t="array" ref="CX26:CX26">IF(OR(CW12="",ЕТАЛОН_ПЛ="",IFERROR(INDEX(БАЗА_RO,1,IFERROR(MATCH(ЕТАЛОН_ПЛ,ПЛ_РЯДОК,0),0)),"")="",IFERROR(INDEX(БАЗА_RO,1,IFERROR(MATCH(ЕТАЛОН_ПЛ,ПЛ_РЯДОК,0),0)),"")=0),"",CW12/IFERROR(INDEX(БАЗА_RO,1,IFERROR(MATCH(ЕТАЛОН_ПЛ,ПЛ_РЯДОК,0),0)),"")-1)</f>
        <v/>
      </c>
      <c r="CY26" s="37" t="str">
        <f aca="false" t="array" ref="CY26:CY26">IF(OR(CY12="",ЕТАЛОН_ПЛ="",IFERROR(INDEX(БАЗА_RO,1,IFERROR(MATCH(ЕТАЛОН_ПЛ,ПЛ_РЯДОК,0),0)),"")=""),"",CY12-IFERROR(INDEX(БАЗА_RO,1,IFERROR(MATCH(ЕТАЛОН_ПЛ,ПЛ_РЯДОК,0),0)),""))</f>
        <v/>
      </c>
      <c r="CZ26" s="86" t="str">
        <f aca="false" t="array" ref="CZ26:CZ26">IF(OR(CY12="",ЕТАЛОН_ПЛ="",IFERROR(INDEX(БАЗА_RO,1,IFERROR(MATCH(ЕТАЛОН_ПЛ,ПЛ_РЯДОК,0),0)),"")="",IFERROR(INDEX(БАЗА_RO,1,IFERROR(MATCH(ЕТАЛОН_ПЛ,ПЛ_РЯДОК,0),0)),"")=0),"",CY12/IFERROR(INDEX(БАЗА_RO,1,IFERROR(MATCH(ЕТАЛОН_ПЛ,ПЛ_РЯДОК,0),0)),"")-1)</f>
        <v/>
      </c>
      <c r="DA26" s="37" t="str">
        <f aca="false" t="array" ref="DA26:DA26">IF(OR(DA12="",ЕТАЛОН_ПЛ="",IFERROR(INDEX(БАЗА_RO,1,IFERROR(MATCH(ЕТАЛОН_ПЛ,ПЛ_РЯДОК,0),0)),"")=""),"",DA12-IFERROR(INDEX(БАЗА_RO,1,IFERROR(MATCH(ЕТАЛОН_ПЛ,ПЛ_РЯДОК,0),0)),""))</f>
        <v/>
      </c>
      <c r="DB26" s="86" t="str">
        <f aca="false" t="array" ref="DB26:DB26">IF(OR(DA12="",ЕТАЛОН_ПЛ="",IFERROR(INDEX(БАЗА_RO,1,IFERROR(MATCH(ЕТАЛОН_ПЛ,ПЛ_РЯДОК,0),0)),"")="",IFERROR(INDEX(БАЗА_RO,1,IFERROR(MATCH(ЕТАЛОН_ПЛ,ПЛ_РЯДОК,0),0)),"")=0),"",DA12/IFERROR(INDEX(БАЗА_RO,1,IFERROR(MATCH(ЕТАЛОН_ПЛ,ПЛ_РЯДОК,0),0)),"")-1)</f>
        <v/>
      </c>
      <c r="DC26" s="37" t="str">
        <f aca="false" t="array" ref="DC26:DC26">IF(OR(DC12="",ЕТАЛОН_ПЛ="",IFERROR(INDEX(БАЗА_RO,1,IFERROR(MATCH(ЕТАЛОН_ПЛ,ПЛ_РЯДОК,0),0)),"")=""),"",DC12-IFERROR(INDEX(БАЗА_RO,1,IFERROR(MATCH(ЕТАЛОН_ПЛ,ПЛ_РЯДОК,0),0)),""))</f>
        <v/>
      </c>
      <c r="DD26" s="86" t="str">
        <f aca="false" t="array" ref="DD26:DD26">IF(OR(DC12="",ЕТАЛОН_ПЛ="",IFERROR(INDEX(БАЗА_RO,1,IFERROR(MATCH(ЕТАЛОН_ПЛ,ПЛ_РЯДОК,0),0)),"")="",IFERROR(INDEX(БАЗА_RO,1,IFERROR(MATCH(ЕТАЛОН_ПЛ,ПЛ_РЯДОК,0),0)),"")=0),"",DC12/IFERROR(INDEX(БАЗА_RO,1,IFERROR(MATCH(ЕТАЛОН_ПЛ,ПЛ_РЯДОК,0),0)),"")-1)</f>
        <v/>
      </c>
      <c r="DE26" s="37" t="str">
        <f aca="false" t="array" ref="DE26:DE26">IF(OR(DE12="",ЕТАЛОН_ПЛ="",IFERROR(INDEX(БАЗА_RO,1,IFERROR(MATCH(ЕТАЛОН_ПЛ,ПЛ_РЯДОК,0),0)),"")=""),"",DE12-IFERROR(INDEX(БАЗА_RO,1,IFERROR(MATCH(ЕТАЛОН_ПЛ,ПЛ_РЯДОК,0),0)),""))</f>
        <v/>
      </c>
      <c r="DF26" s="86" t="str">
        <f aca="false" t="array" ref="DF26:DF26">IF(OR(DE12="",ЕТАЛОН_ПЛ="",IFERROR(INDEX(БАЗА_RO,1,IFERROR(MATCH(ЕТАЛОН_ПЛ,ПЛ_РЯДОК,0),0)),"")="",IFERROR(INDEX(БАЗА_RO,1,IFERROR(MATCH(ЕТАЛОН_ПЛ,ПЛ_РЯДОК,0),0)),"")=0),"",DE12/IFERROR(INDEX(БАЗА_RO,1,IFERROR(MATCH(ЕТАЛОН_ПЛ,ПЛ_РЯДОК,0),0)),"")-1)</f>
        <v/>
      </c>
      <c r="DG26" s="37" t="str">
        <f aca="false" t="array" ref="DG26:DG26">IF(OR(DG12="",ЕТАЛОН_ПЛ="",IFERROR(INDEX(БАЗА_RO,1,IFERROR(MATCH(ЕТАЛОН_ПЛ,ПЛ_РЯДОК,0),0)),"")=""),"",DG12-IFERROR(INDEX(БАЗА_RO,1,IFERROR(MATCH(ЕТАЛОН_ПЛ,ПЛ_РЯДОК,0),0)),""))</f>
        <v/>
      </c>
      <c r="DH26" s="86" t="str">
        <f aca="false" t="array" ref="DH26:DH26">IF(OR(DG12="",ЕТАЛОН_ПЛ="",IFERROR(INDEX(БАЗА_RO,1,IFERROR(MATCH(ЕТАЛОН_ПЛ,ПЛ_РЯДОК,0),0)),"")="",IFERROR(INDEX(БАЗА_RO,1,IFERROR(MATCH(ЕТАЛОН_ПЛ,ПЛ_РЯДОК,0),0)),"")=0),"",DG12/IFERROR(INDEX(БАЗА_RO,1,IFERROR(MATCH(ЕТАЛОН_ПЛ,ПЛ_РЯДОК,0),0)),"")-1)</f>
        <v/>
      </c>
      <c r="DI26" s="37" t="str">
        <f aca="false" t="array" ref="DI26:DI26">IF(OR(DI12="",ЕТАЛОН_ПЛ="",IFERROR(INDEX(БАЗА_RO,1,IFERROR(MATCH(ЕТАЛОН_ПЛ,ПЛ_РЯДОК,0),0)),"")=""),"",DI12-IFERROR(INDEX(БАЗА_RO,1,IFERROR(MATCH(ЕТАЛОН_ПЛ,ПЛ_РЯДОК,0),0)),""))</f>
        <v/>
      </c>
      <c r="DJ26" s="86" t="str">
        <f aca="false" t="array" ref="DJ26:DJ26">IF(OR(DI12="",ЕТАЛОН_ПЛ="",IFERROR(INDEX(БАЗА_RO,1,IFERROR(MATCH(ЕТАЛОН_ПЛ,ПЛ_РЯДОК,0),0)),"")="",IFERROR(INDEX(БАЗА_RO,1,IFERROR(MATCH(ЕТАЛОН_ПЛ,ПЛ_РЯДОК,0),0)),"")=0),"",DI12/IFERROR(INDEX(БАЗА_RO,1,IFERROR(MATCH(ЕТАЛОН_ПЛ,ПЛ_РЯДОК,0),0)),"")-1)</f>
        <v/>
      </c>
      <c r="DK26" s="37" t="str">
        <f aca="false" t="array" ref="DK26:DK26">IF(OR(DK12="",ЕТАЛОН_ПЛ="",IFERROR(INDEX(БАЗА_RO,1,IFERROR(MATCH(ЕТАЛОН_ПЛ,ПЛ_РЯДОК,0),0)),"")=""),"",DK12-IFERROR(INDEX(БАЗА_RO,1,IFERROR(MATCH(ЕТАЛОН_ПЛ,ПЛ_РЯДОК,0),0)),""))</f>
        <v/>
      </c>
      <c r="DL26" s="86" t="str">
        <f aca="false" t="array" ref="DL26:DL26">IF(OR(DK12="",ЕТАЛОН_ПЛ="",IFERROR(INDEX(БАЗА_RO,1,IFERROR(MATCH(ЕТАЛОН_ПЛ,ПЛ_РЯДОК,0),0)),"")="",IFERROR(INDEX(БАЗА_RO,1,IFERROR(MATCH(ЕТАЛОН_ПЛ,ПЛ_РЯДОК,0),0)),"")=0),"",DK12/IFERROR(INDEX(БАЗА_RO,1,IFERROR(MATCH(ЕТАЛОН_ПЛ,ПЛ_РЯДОК,0),0)),"")-1)</f>
        <v/>
      </c>
      <c r="DM26" s="37" t="str">
        <f aca="false" t="array" ref="DM26:DM26">IF(OR(DM12="",ЕТАЛОН_ПЛ="",IFERROR(INDEX(БАЗА_RO,1,IFERROR(MATCH(ЕТАЛОН_ПЛ,ПЛ_РЯДОК,0),0)),"")=""),"",DM12-IFERROR(INDEX(БАЗА_RO,1,IFERROR(MATCH(ЕТАЛОН_ПЛ,ПЛ_РЯДОК,0),0)),""))</f>
        <v/>
      </c>
      <c r="DN26" s="86" t="str">
        <f aca="false" t="array" ref="DN26:DN26">IF(OR(DM12="",ЕТАЛОН_ПЛ="",IFERROR(INDEX(БАЗА_RO,1,IFERROR(MATCH(ЕТАЛОН_ПЛ,ПЛ_РЯДОК,0),0)),"")="",IFERROR(INDEX(БАЗА_RO,1,IFERROR(MATCH(ЕТАЛОН_ПЛ,ПЛ_РЯДОК,0),0)),"")=0),"",DM12/IFERROR(INDEX(БАЗА_RO,1,IFERROR(MATCH(ЕТАЛОН_ПЛ,ПЛ_РЯДОК,0),0)),"")-1)</f>
        <v/>
      </c>
      <c r="DO26" s="37" t="str">
        <f aca="false" t="array" ref="DO26:DO26">IF(OR(DO12="",ЕТАЛОН_ПЛ="",IFERROR(INDEX(БАЗА_RO,1,IFERROR(MATCH(ЕТАЛОН_ПЛ,ПЛ_РЯДОК,0),0)),"")=""),"",DO12-IFERROR(INDEX(БАЗА_RO,1,IFERROR(MATCH(ЕТАЛОН_ПЛ,ПЛ_РЯДОК,0),0)),""))</f>
        <v/>
      </c>
      <c r="DP26" s="86" t="str">
        <f aca="false" t="array" ref="DP26:DP26">IF(OR(DO12="",ЕТАЛОН_ПЛ="",IFERROR(INDEX(БАЗА_RO,1,IFERROR(MATCH(ЕТАЛОН_ПЛ,ПЛ_РЯДОК,0),0)),"")="",IFERROR(INDEX(БАЗА_RO,1,IFERROR(MATCH(ЕТАЛОН_ПЛ,ПЛ_РЯДОК,0),0)),"")=0),"",DO12/IFERROR(INDEX(БАЗА_RO,1,IFERROR(MATCH(ЕТАЛОН_ПЛ,ПЛ_РЯДОК,0),0)),"")-1)</f>
        <v/>
      </c>
      <c r="DQ26" s="37" t="str">
        <f aca="false" t="array" ref="DQ26:DQ26">IF(OR(DQ12="",ЕТАЛОН_ПЛ="",IFERROR(INDEX(БАЗА_RO,1,IFERROR(MATCH(ЕТАЛОН_ПЛ,ПЛ_РЯДОК,0),0)),"")=""),"",DQ12-IFERROR(INDEX(БАЗА_RO,1,IFERROR(MATCH(ЕТАЛОН_ПЛ,ПЛ_РЯДОК,0),0)),""))</f>
        <v/>
      </c>
      <c r="DR26" s="86" t="str">
        <f aca="false" t="array" ref="DR26:DR26">IF(OR(DQ12="",ЕТАЛОН_ПЛ="",IFERROR(INDEX(БАЗА_RO,1,IFERROR(MATCH(ЕТАЛОН_ПЛ,ПЛ_РЯДОК,0),0)),"")="",IFERROR(INDEX(БАЗА_RO,1,IFERROR(MATCH(ЕТАЛОН_ПЛ,ПЛ_РЯДОК,0),0)),"")=0),"",DQ12/IFERROR(INDEX(БАЗА_RO,1,IFERROR(MATCH(ЕТАЛОН_ПЛ,ПЛ_РЯДОК,0),0)),"")-1)</f>
        <v/>
      </c>
      <c r="DS26" s="37" t="str">
        <f aca="false" t="array" ref="DS26:DS26">IF(OR(DS12="",ЕТАЛОН_ПЛ="",IFERROR(INDEX(БАЗА_RO,1,IFERROR(MATCH(ЕТАЛОН_ПЛ,ПЛ_РЯДОК,0),0)),"")=""),"",DS12-IFERROR(INDEX(БАЗА_RO,1,IFERROR(MATCH(ЕТАЛОН_ПЛ,ПЛ_РЯДОК,0),0)),""))</f>
        <v/>
      </c>
      <c r="DT26" s="86" t="str">
        <f aca="false" t="array" ref="DT26:DT26">IF(OR(DS12="",ЕТАЛОН_ПЛ="",IFERROR(INDEX(БАЗА_RO,1,IFERROR(MATCH(ЕТАЛОН_ПЛ,ПЛ_РЯДОК,0),0)),"")="",IFERROR(INDEX(БАЗА_RO,1,IFERROR(MATCH(ЕТАЛОН_ПЛ,ПЛ_РЯДОК,0),0)),"")=0),"",DS12/IFERROR(INDEX(БАЗА_RO,1,IFERROR(MATCH(ЕТАЛОН_ПЛ,ПЛ_РЯДОК,0),0)),"")-1)</f>
        <v/>
      </c>
      <c r="DU26" s="37" t="str">
        <f aca="false" t="array" ref="DU26:DU26">IF(OR(DU12="",ЕТАЛОН_ПЛ="",IFERROR(INDEX(БАЗА_RO,1,IFERROR(MATCH(ЕТАЛОН_ПЛ,ПЛ_РЯДОК,0),0)),"")=""),"",DU12-IFERROR(INDEX(БАЗА_RO,1,IFERROR(MATCH(ЕТАЛОН_ПЛ,ПЛ_РЯДОК,0),0)),""))</f>
        <v/>
      </c>
      <c r="DV26" s="86" t="str">
        <f aca="false" t="array" ref="DV26:DV26">IF(OR(DU12="",ЕТАЛОН_ПЛ="",IFERROR(INDEX(БАЗА_RO,1,IFERROR(MATCH(ЕТАЛОН_ПЛ,ПЛ_РЯДОК,0),0)),"")="",IFERROR(INDEX(БАЗА_RO,1,IFERROR(MATCH(ЕТАЛОН_ПЛ,ПЛ_РЯДОК,0),0)),"")=0),"",DU12/IFERROR(INDEX(БАЗА_RO,1,IFERROR(MATCH(ЕТАЛОН_ПЛ,ПЛ_РЯДОК,0),0)),"")-1)</f>
        <v/>
      </c>
      <c r="DW26" s="37" t="str">
        <f aca="false" t="array" ref="DW26:DW26">IF(OR(DW12="",ЕТАЛОН_ПЛ="",IFERROR(INDEX(БАЗА_RO,1,IFERROR(MATCH(ЕТАЛОН_ПЛ,ПЛ_РЯДОК,0),0)),"")=""),"",DW12-IFERROR(INDEX(БАЗА_RO,1,IFERROR(MATCH(ЕТАЛОН_ПЛ,ПЛ_РЯДОК,0),0)),""))</f>
        <v/>
      </c>
      <c r="DX26" s="86" t="str">
        <f aca="false" t="array" ref="DX26:DX26">IF(OR(DW12="",ЕТАЛОН_ПЛ="",IFERROR(INDEX(БАЗА_RO,1,IFERROR(MATCH(ЕТАЛОН_ПЛ,ПЛ_РЯДОК,0),0)),"")="",IFERROR(INDEX(БАЗА_RO,1,IFERROR(MATCH(ЕТАЛОН_ПЛ,ПЛ_РЯДОК,0),0)),"")=0),"",DW12/IFERROR(INDEX(БАЗА_RO,1,IFERROR(MATCH(ЕТАЛОН_ПЛ,ПЛ_РЯДОК,0),0)),"")-1)</f>
        <v/>
      </c>
    </row>
    <row r="27" customFormat="false" ht="15.75" hidden="false" customHeight="true" outlineLevel="0" collapsed="false">
      <c r="A27" s="89" t="s">
        <v>89</v>
      </c>
      <c r="B27" s="90"/>
      <c r="C27" s="90"/>
      <c r="D27" s="89"/>
      <c r="E27" s="91"/>
      <c r="F27" s="97" t="s">
        <v>90</v>
      </c>
      <c r="G27" s="4"/>
      <c r="H27" s="76" t="s">
        <v>62</v>
      </c>
      <c r="I27" s="37" t="n">
        <f aca="false" t="array" ref="I27:I27">IF(OR(I13="",ЕТАЛОН_ПЛ="",IFERROR(INDEX(БАЗА_RO,2,IFERROR(MATCH(ЕТАЛОН_ПЛ,ПЛ_РЯДОК,0),0)),"")=""),"",I13-IFERROR(INDEX(БАЗА_RO,2,IFERROR(MATCH(ЕТАЛОН_ПЛ,ПЛ_РЯДОК,0),0)),""))</f>
        <v>-3900</v>
      </c>
      <c r="J27" s="86" t="n">
        <f aca="false" t="array" ref="J27:J27">IF(OR(I13="",ЕТАЛОН_ПЛ="",IFERROR(INDEX(БАЗА_RO,2,IFERROR(MATCH(ЕТАЛОН_ПЛ,ПЛ_РЯДОК,0),0)),"")="",IFERROR(INDEX(БАЗА_RO,2,IFERROR(MATCH(ЕТАЛОН_ПЛ,ПЛ_РЯДОК,0),0)),"")=0),"",I13/IFERROR(INDEX(БАЗА_RO,2,IFERROR(MATCH(ЕТАЛОН_ПЛ,ПЛ_РЯДОК,0),0)),"")-1)</f>
        <v>-0.354545454545455</v>
      </c>
      <c r="K27" s="37" t="n">
        <f aca="false" t="array" ref="K27:K27">IF(OR(K13="",ЕТАЛОН_ПЛ="",IFERROR(INDEX(БАЗА_RO,2,IFERROR(MATCH(ЕТАЛОН_ПЛ,ПЛ_РЯДОК,0),0)),"")=""),"",K13-IFERROR(INDEX(БАЗА_RO,2,IFERROR(MATCH(ЕТАЛОН_ПЛ,ПЛ_РЯДОК,0),0)),""))</f>
        <v>-1600</v>
      </c>
      <c r="L27" s="86" t="n">
        <f aca="false" t="array" ref="L27:L27">IF(OR(K13="",ЕТАЛОН_ПЛ="",IFERROR(INDEX(БАЗА_RO,2,IFERROR(MATCH(ЕТАЛОН_ПЛ,ПЛ_РЯДОК,0),0)),"")="",IFERROR(INDEX(БАЗА_RO,2,IFERROR(MATCH(ЕТАЛОН_ПЛ,ПЛ_РЯДОК,0),0)),"")=0),"",K13/IFERROR(INDEX(БАЗА_RO,2,IFERROR(MATCH(ЕТАЛОН_ПЛ,ПЛ_РЯДОК,0),0)),"")-1)</f>
        <v>-0.145454545454546</v>
      </c>
      <c r="M27" s="37" t="n">
        <f aca="false" t="array" ref="M27:M27">IF(OR(M13="",ЕТАЛОН_ПЛ="",IFERROR(INDEX(БАЗА_RO,2,IFERROR(MATCH(ЕТАЛОН_ПЛ,ПЛ_РЯДОК,0),0)),"")=""),"",M13-IFERROR(INDEX(БАЗА_RO,2,IFERROR(MATCH(ЕТАЛОН_ПЛ,ПЛ_РЯДОК,0),0)),""))</f>
        <v>-4420</v>
      </c>
      <c r="N27" s="86" t="n">
        <f aca="false" t="array" ref="N27:N27">IF(OR(M13="",ЕТАЛОН_ПЛ="",IFERROR(INDEX(БАЗА_RO,2,IFERROR(MATCH(ЕТАЛОН_ПЛ,ПЛ_РЯДОК,0),0)),"")="",IFERROR(INDEX(БАЗА_RO,2,IFERROR(MATCH(ЕТАЛОН_ПЛ,ПЛ_РЯДОК,0),0)),"")=0),"",M13/IFERROR(INDEX(БАЗА_RO,2,IFERROR(MATCH(ЕТАЛОН_ПЛ,ПЛ_РЯДОК,0),0)),"")-1)</f>
        <v>-0.401818181818182</v>
      </c>
      <c r="O27" s="37" t="n">
        <f aca="false" t="array" ref="O27:O27">IF(OR(O13="",ЕТАЛОН_ПЛ="",IFERROR(INDEX(БАЗА_RO,2,IFERROR(MATCH(ЕТАЛОН_ПЛ,ПЛ_РЯДОК,0),0)),"")=""),"",O13-IFERROR(INDEX(БАЗА_RO,2,IFERROR(MATCH(ЕТАЛОН_ПЛ,ПЛ_РЯДОК,0),0)),""))</f>
        <v>-3950</v>
      </c>
      <c r="P27" s="86" t="n">
        <f aca="false" t="array" ref="P27:P27">IF(OR(O13="",ЕТАЛОН_ПЛ="",IFERROR(INDEX(БАЗА_RO,2,IFERROR(MATCH(ЕТАЛОН_ПЛ,ПЛ_РЯДОК,0),0)),"")="",IFERROR(INDEX(БАЗА_RO,2,IFERROR(MATCH(ЕТАЛОН_ПЛ,ПЛ_РЯДОК,0),0)),"")=0),"",O13/IFERROR(INDEX(БАЗА_RO,2,IFERROR(MATCH(ЕТАЛОН_ПЛ,ПЛ_РЯДОК,0),0)),"")-1)</f>
        <v>-0.359090909090909</v>
      </c>
      <c r="Q27" s="37" t="n">
        <f aca="false" t="array" ref="Q27:Q27">IF(OR(Q13="",ЕТАЛОН_ПЛ="",IFERROR(INDEX(БАЗА_RO,2,IFERROR(MATCH(ЕТАЛОН_ПЛ,ПЛ_РЯДОК,0),0)),"")=""),"",Q13-IFERROR(INDEX(БАЗА_RO,2,IFERROR(MATCH(ЕТАЛОН_ПЛ,ПЛ_РЯДОК,0),0)),""))</f>
        <v>-3900</v>
      </c>
      <c r="R27" s="86" t="n">
        <f aca="false" t="array" ref="R27:R27">IF(OR(Q13="",ЕТАЛОН_ПЛ="",IFERROR(INDEX(БАЗА_RO,2,IFERROR(MATCH(ЕТАЛОН_ПЛ,ПЛ_РЯДОК,0),0)),"")="",IFERROR(INDEX(БАЗА_RO,2,IFERROR(MATCH(ЕТАЛОН_ПЛ,ПЛ_РЯДОК,0),0)),"")=0),"",Q13/IFERROR(INDEX(БАЗА_RO,2,IFERROR(MATCH(ЕТАЛОН_ПЛ,ПЛ_РЯДОК,0),0)),"")-1)</f>
        <v>-0.354545454545455</v>
      </c>
      <c r="S27" s="37" t="str">
        <f aca="false" t="array" ref="S27:S27">IF(OR(S13="",ЕТАЛОН_ПЛ="",IFERROR(INDEX(БАЗА_RO,2,IFERROR(MATCH(ЕТАЛОН_ПЛ,ПЛ_РЯДОК,0),0)),"")=""),"",S13-IFERROR(INDEX(БАЗА_RO,2,IFERROR(MATCH(ЕТАЛОН_ПЛ,ПЛ_РЯДОК,0),0)),""))</f>
        <v/>
      </c>
      <c r="T27" s="86" t="str">
        <f aca="false" t="array" ref="T27:T27">IF(OR(S13="",ЕТАЛОН_ПЛ="",IFERROR(INDEX(БАЗА_RO,2,IFERROR(MATCH(ЕТАЛОН_ПЛ,ПЛ_РЯДОК,0),0)),"")="",IFERROR(INDEX(БАЗА_RO,2,IFERROR(MATCH(ЕТАЛОН_ПЛ,ПЛ_РЯДОК,0),0)),"")=0),"",S13/IFERROR(INDEX(БАЗА_RO,2,IFERROR(MATCH(ЕТАЛОН_ПЛ,ПЛ_РЯДОК,0),0)),"")-1)</f>
        <v/>
      </c>
      <c r="U27" s="37" t="n">
        <f aca="false" t="array" ref="U27:U27">IF(OR(U13="",ЕТАЛОН_ПЛ="",IFERROR(INDEX(БАЗА_RO,2,IFERROR(MATCH(ЕТАЛОН_ПЛ,ПЛ_РЯДОК,0),0)),"")=""),"",U13-IFERROR(INDEX(БАЗА_RO,2,IFERROR(MATCH(ЕТАЛОН_ПЛ,ПЛ_РЯДОК,0),0)),""))</f>
        <v>-3480</v>
      </c>
      <c r="V27" s="86" t="n">
        <f aca="false" t="array" ref="V27:V27">IF(OR(U13="",ЕТАЛОН_ПЛ="",IFERROR(INDEX(БАЗА_RO,2,IFERROR(MATCH(ЕТАЛОН_ПЛ,ПЛ_РЯДОК,0),0)),"")="",IFERROR(INDEX(БАЗА_RO,2,IFERROR(MATCH(ЕТАЛОН_ПЛ,ПЛ_РЯДОК,0),0)),"")=0),"",U13/IFERROR(INDEX(БАЗА_RO,2,IFERROR(MATCH(ЕТАЛОН_ПЛ,ПЛ_РЯДОК,0),0)),"")-1)</f>
        <v>-0.316363636363636</v>
      </c>
      <c r="W27" s="37" t="str">
        <f aca="false" t="array" ref="W27:W27">IF(OR(W13="",ЕТАЛОН_ПЛ="",IFERROR(INDEX(БАЗА_RO,2,IFERROR(MATCH(ЕТАЛОН_ПЛ,ПЛ_РЯДОК,0),0)),"")=""),"",W13-IFERROR(INDEX(БАЗА_RO,2,IFERROR(MATCH(ЕТАЛОН_ПЛ,ПЛ_РЯДОК,0),0)),""))</f>
        <v/>
      </c>
      <c r="X27" s="86" t="str">
        <f aca="false" t="array" ref="X27:X27">IF(OR(W13="",ЕТАЛОН_ПЛ="",IFERROR(INDEX(БАЗА_RO,2,IFERROR(MATCH(ЕТАЛОН_ПЛ,ПЛ_РЯДОК,0),0)),"")="",IFERROR(INDEX(БАЗА_RO,2,IFERROR(MATCH(ЕТАЛОН_ПЛ,ПЛ_РЯДОК,0),0)),"")=0),"",W13/IFERROR(INDEX(БАЗА_RO,2,IFERROR(MATCH(ЕТАЛОН_ПЛ,ПЛ_РЯДОК,0),0)),"")-1)</f>
        <v/>
      </c>
      <c r="Y27" s="37" t="str">
        <f aca="false" t="array" ref="Y27:Y27">IF(OR(Y13="",ЕТАЛОН_ПЛ="",IFERROR(INDEX(БАЗА_RO,2,IFERROR(MATCH(ЕТАЛОН_ПЛ,ПЛ_РЯДОК,0),0)),"")=""),"",Y13-IFERROR(INDEX(БАЗА_RO,2,IFERROR(MATCH(ЕТАЛОН_ПЛ,ПЛ_РЯДОК,0),0)),""))</f>
        <v/>
      </c>
      <c r="Z27" s="86" t="str">
        <f aca="false" t="array" ref="Z27:Z27">IF(OR(Y13="",ЕТАЛОН_ПЛ="",IFERROR(INDEX(БАЗА_RO,2,IFERROR(MATCH(ЕТАЛОН_ПЛ,ПЛ_РЯДОК,0),0)),"")="",IFERROR(INDEX(БАЗА_RO,2,IFERROR(MATCH(ЕТАЛОН_ПЛ,ПЛ_РЯДОК,0),0)),"")=0),"",Y13/IFERROR(INDEX(БАЗА_RO,2,IFERROR(MATCH(ЕТАЛОН_ПЛ,ПЛ_РЯДОК,0),0)),"")-1)</f>
        <v/>
      </c>
      <c r="AA27" s="37" t="str">
        <f aca="false" t="array" ref="AA27:AA27">IF(OR(AA13="",ЕТАЛОН_ПЛ="",IFERROR(INDEX(БАЗА_RO,2,IFERROR(MATCH(ЕТАЛОН_ПЛ,ПЛ_РЯДОК,0),0)),"")=""),"",AA13-IFERROR(INDEX(БАЗА_RO,2,IFERROR(MATCH(ЕТАЛОН_ПЛ,ПЛ_РЯДОК,0),0)),""))</f>
        <v/>
      </c>
      <c r="AB27" s="86" t="str">
        <f aca="false" t="array" ref="AB27:AB27">IF(OR(AA13="",ЕТАЛОН_ПЛ="",IFERROR(INDEX(БАЗА_RO,2,IFERROR(MATCH(ЕТАЛОН_ПЛ,ПЛ_РЯДОК,0),0)),"")="",IFERROR(INDEX(БАЗА_RO,2,IFERROR(MATCH(ЕТАЛОН_ПЛ,ПЛ_РЯДОК,0),0)),"")=0),"",AA13/IFERROR(INDEX(БАЗА_RO,2,IFERROR(MATCH(ЕТАЛОН_ПЛ,ПЛ_РЯДОК,0),0)),"")-1)</f>
        <v/>
      </c>
      <c r="AC27" s="37" t="str">
        <f aca="false" t="array" ref="AC27:AC27">IF(OR(AC13="",ЕТАЛОН_ПЛ="",IFERROR(INDEX(БАЗА_RO,2,IFERROR(MATCH(ЕТАЛОН_ПЛ,ПЛ_РЯДОК,0),0)),"")=""),"",AC13-IFERROR(INDEX(БАЗА_RO,2,IFERROR(MATCH(ЕТАЛОН_ПЛ,ПЛ_РЯДОК,0),0)),""))</f>
        <v/>
      </c>
      <c r="AD27" s="86" t="str">
        <f aca="false" t="array" ref="AD27:AD27">IF(OR(AC13="",ЕТАЛОН_ПЛ="",IFERROR(INDEX(БАЗА_RO,2,IFERROR(MATCH(ЕТАЛОН_ПЛ,ПЛ_РЯДОК,0),0)),"")="",IFERROR(INDEX(БАЗА_RO,2,IFERROR(MATCH(ЕТАЛОН_ПЛ,ПЛ_РЯДОК,0),0)),"")=0),"",AC13/IFERROR(INDEX(БАЗА_RO,2,IFERROR(MATCH(ЕТАЛОН_ПЛ,ПЛ_РЯДОК,0),0)),"")-1)</f>
        <v/>
      </c>
      <c r="AE27" s="37" t="str">
        <f aca="false" t="array" ref="AE27:AE27">IF(OR(AE13="",ЕТАЛОН_ПЛ="",IFERROR(INDEX(БАЗА_RO,2,IFERROR(MATCH(ЕТАЛОН_ПЛ,ПЛ_РЯДОК,0),0)),"")=""),"",AE13-IFERROR(INDEX(БАЗА_RO,2,IFERROR(MATCH(ЕТАЛОН_ПЛ,ПЛ_РЯДОК,0),0)),""))</f>
        <v/>
      </c>
      <c r="AF27" s="86" t="str">
        <f aca="false" t="array" ref="AF27:AF27">IF(OR(AE13="",ЕТАЛОН_ПЛ="",IFERROR(INDEX(БАЗА_RO,2,IFERROR(MATCH(ЕТАЛОН_ПЛ,ПЛ_РЯДОК,0),0)),"")="",IFERROR(INDEX(БАЗА_RO,2,IFERROR(MATCH(ЕТАЛОН_ПЛ,ПЛ_РЯДОК,0),0)),"")=0),"",AE13/IFERROR(INDEX(БАЗА_RO,2,IFERROR(MATCH(ЕТАЛОН_ПЛ,ПЛ_РЯДОК,0),0)),"")-1)</f>
        <v/>
      </c>
      <c r="AG27" s="37" t="str">
        <f aca="false" t="array" ref="AG27:AG27">IF(OR(AG13="",ЕТАЛОН_ПЛ="",IFERROR(INDEX(БАЗА_RO,2,IFERROR(MATCH(ЕТАЛОН_ПЛ,ПЛ_РЯДОК,0),0)),"")=""),"",AG13-IFERROR(INDEX(БАЗА_RO,2,IFERROR(MATCH(ЕТАЛОН_ПЛ,ПЛ_РЯДОК,0),0)),""))</f>
        <v/>
      </c>
      <c r="AH27" s="86" t="str">
        <f aca="false" t="array" ref="AH27:AH27">IF(OR(AG13="",ЕТАЛОН_ПЛ="",IFERROR(INDEX(БАЗА_RO,2,IFERROR(MATCH(ЕТАЛОН_ПЛ,ПЛ_РЯДОК,0),0)),"")="",IFERROR(INDEX(БАЗА_RO,2,IFERROR(MATCH(ЕТАЛОН_ПЛ,ПЛ_РЯДОК,0),0)),"")=0),"",AG13/IFERROR(INDEX(БАЗА_RO,2,IFERROR(MATCH(ЕТАЛОН_ПЛ,ПЛ_РЯДОК,0),0)),"")-1)</f>
        <v/>
      </c>
      <c r="AI27" s="37" t="str">
        <f aca="false" t="array" ref="AI27:AI27">IF(OR(AI13="",ЕТАЛОН_ПЛ="",IFERROR(INDEX(БАЗА_RO,2,IFERROR(MATCH(ЕТАЛОН_ПЛ,ПЛ_РЯДОК,0),0)),"")=""),"",AI13-IFERROR(INDEX(БАЗА_RO,2,IFERROR(MATCH(ЕТАЛОН_ПЛ,ПЛ_РЯДОК,0),0)),""))</f>
        <v/>
      </c>
      <c r="AJ27" s="86" t="str">
        <f aca="false" t="array" ref="AJ27:AJ27">IF(OR(AI13="",ЕТАЛОН_ПЛ="",IFERROR(INDEX(БАЗА_RO,2,IFERROR(MATCH(ЕТАЛОН_ПЛ,ПЛ_РЯДОК,0),0)),"")="",IFERROR(INDEX(БАЗА_RO,2,IFERROR(MATCH(ЕТАЛОН_ПЛ,ПЛ_РЯДОК,0),0)),"")=0),"",AI13/IFERROR(INDEX(БАЗА_RO,2,IFERROR(MATCH(ЕТАЛОН_ПЛ,ПЛ_РЯДОК,0),0)),"")-1)</f>
        <v/>
      </c>
      <c r="AK27" s="37" t="str">
        <f aca="false" t="array" ref="AK27:AK27">IF(OR(AK13="",ЕТАЛОН_ПЛ="",IFERROR(INDEX(БАЗА_RO,2,IFERROR(MATCH(ЕТАЛОН_ПЛ,ПЛ_РЯДОК,0),0)),"")=""),"",AK13-IFERROR(INDEX(БАЗА_RO,2,IFERROR(MATCH(ЕТАЛОН_ПЛ,ПЛ_РЯДОК,0),0)),""))</f>
        <v/>
      </c>
      <c r="AL27" s="86" t="str">
        <f aca="false" t="array" ref="AL27:AL27">IF(OR(AK13="",ЕТАЛОН_ПЛ="",IFERROR(INDEX(БАЗА_RO,2,IFERROR(MATCH(ЕТАЛОН_ПЛ,ПЛ_РЯДОК,0),0)),"")="",IFERROR(INDEX(БАЗА_RO,2,IFERROR(MATCH(ЕТАЛОН_ПЛ,ПЛ_РЯДОК,0),0)),"")=0),"",AK13/IFERROR(INDEX(БАЗА_RO,2,IFERROR(MATCH(ЕТАЛОН_ПЛ,ПЛ_РЯДОК,0),0)),"")-1)</f>
        <v/>
      </c>
      <c r="AM27" s="37" t="str">
        <f aca="false" t="array" ref="AM27:AM27">IF(OR(AM13="",ЕТАЛОН_ПЛ="",IFERROR(INDEX(БАЗА_RO,2,IFERROR(MATCH(ЕТАЛОН_ПЛ,ПЛ_РЯДОК,0),0)),"")=""),"",AM13-IFERROR(INDEX(БАЗА_RO,2,IFERROR(MATCH(ЕТАЛОН_ПЛ,ПЛ_РЯДОК,0),0)),""))</f>
        <v/>
      </c>
      <c r="AN27" s="86" t="str">
        <f aca="false" t="array" ref="AN27:AN27">IF(OR(AM13="",ЕТАЛОН_ПЛ="",IFERROR(INDEX(БАЗА_RO,2,IFERROR(MATCH(ЕТАЛОН_ПЛ,ПЛ_РЯДОК,0),0)),"")="",IFERROR(INDEX(БАЗА_RO,2,IFERROR(MATCH(ЕТАЛОН_ПЛ,ПЛ_РЯДОК,0),0)),"")=0),"",AM13/IFERROR(INDEX(БАЗА_RO,2,IFERROR(MATCH(ЕТАЛОН_ПЛ,ПЛ_РЯДОК,0),0)),"")-1)</f>
        <v/>
      </c>
      <c r="AO27" s="37" t="str">
        <f aca="false" t="array" ref="AO27:AO27">IF(OR(AO13="",ЕТАЛОН_ПЛ="",IFERROR(INDEX(БАЗА_RO,2,IFERROR(MATCH(ЕТАЛОН_ПЛ,ПЛ_РЯДОК,0),0)),"")=""),"",AO13-IFERROR(INDEX(БАЗА_RO,2,IFERROR(MATCH(ЕТАЛОН_ПЛ,ПЛ_РЯДОК,0),0)),""))</f>
        <v/>
      </c>
      <c r="AP27" s="86" t="str">
        <f aca="false" t="array" ref="AP27:AP27">IF(OR(AO13="",ЕТАЛОН_ПЛ="",IFERROR(INDEX(БАЗА_RO,2,IFERROR(MATCH(ЕТАЛОН_ПЛ,ПЛ_РЯДОК,0),0)),"")="",IFERROR(INDEX(БАЗА_RO,2,IFERROR(MATCH(ЕТАЛОН_ПЛ,ПЛ_РЯДОК,0),0)),"")=0),"",AO13/IFERROR(INDEX(БАЗА_RO,2,IFERROR(MATCH(ЕТАЛОН_ПЛ,ПЛ_РЯДОК,0),0)),"")-1)</f>
        <v/>
      </c>
      <c r="AQ27" s="37" t="str">
        <f aca="false" t="array" ref="AQ27:AQ27">IF(OR(AQ13="",ЕТАЛОН_ПЛ="",IFERROR(INDEX(БАЗА_RO,2,IFERROR(MATCH(ЕТАЛОН_ПЛ,ПЛ_РЯДОК,0),0)),"")=""),"",AQ13-IFERROR(INDEX(БАЗА_RO,2,IFERROR(MATCH(ЕТАЛОН_ПЛ,ПЛ_РЯДОК,0),0)),""))</f>
        <v/>
      </c>
      <c r="AR27" s="86" t="str">
        <f aca="false" t="array" ref="AR27:AR27">IF(OR(AQ13="",ЕТАЛОН_ПЛ="",IFERROR(INDEX(БАЗА_RO,2,IFERROR(MATCH(ЕТАЛОН_ПЛ,ПЛ_РЯДОК,0),0)),"")="",IFERROR(INDEX(БАЗА_RO,2,IFERROR(MATCH(ЕТАЛОН_ПЛ,ПЛ_РЯДОК,0),0)),"")=0),"",AQ13/IFERROR(INDEX(БАЗА_RO,2,IFERROR(MATCH(ЕТАЛОН_ПЛ,ПЛ_РЯДОК,0),0)),"")-1)</f>
        <v/>
      </c>
      <c r="AS27" s="37" t="str">
        <f aca="false" t="array" ref="AS27:AS27">IF(OR(AS13="",ЕТАЛОН_ПЛ="",IFERROR(INDEX(БАЗА_RO,2,IFERROR(MATCH(ЕТАЛОН_ПЛ,ПЛ_РЯДОК,0),0)),"")=""),"",AS13-IFERROR(INDEX(БАЗА_RO,2,IFERROR(MATCH(ЕТАЛОН_ПЛ,ПЛ_РЯДОК,0),0)),""))</f>
        <v/>
      </c>
      <c r="AT27" s="86" t="str">
        <f aca="false" t="array" ref="AT27:AT27">IF(OR(AS13="",ЕТАЛОН_ПЛ="",IFERROR(INDEX(БАЗА_RO,2,IFERROR(MATCH(ЕТАЛОН_ПЛ,ПЛ_РЯДОК,0),0)),"")="",IFERROR(INDEX(БАЗА_RO,2,IFERROR(MATCH(ЕТАЛОН_ПЛ,ПЛ_РЯДОК,0),0)),"")=0),"",AS13/IFERROR(INDEX(БАЗА_RO,2,IFERROR(MATCH(ЕТАЛОН_ПЛ,ПЛ_РЯДОК,0),0)),"")-1)</f>
        <v/>
      </c>
      <c r="AU27" s="37" t="str">
        <f aca="false" t="array" ref="AU27:AU27">IF(OR(AU13="",ЕТАЛОН_ПЛ="",IFERROR(INDEX(БАЗА_RO,2,IFERROR(MATCH(ЕТАЛОН_ПЛ,ПЛ_РЯДОК,0),0)),"")=""),"",AU13-IFERROR(INDEX(БАЗА_RO,2,IFERROR(MATCH(ЕТАЛОН_ПЛ,ПЛ_РЯДОК,0),0)),""))</f>
        <v/>
      </c>
      <c r="AV27" s="86" t="str">
        <f aca="false" t="array" ref="AV27:AV27">IF(OR(AU13="",ЕТАЛОН_ПЛ="",IFERROR(INDEX(БАЗА_RO,2,IFERROR(MATCH(ЕТАЛОН_ПЛ,ПЛ_РЯДОК,0),0)),"")="",IFERROR(INDEX(БАЗА_RO,2,IFERROR(MATCH(ЕТАЛОН_ПЛ,ПЛ_РЯДОК,0),0)),"")=0),"",AU13/IFERROR(INDEX(БАЗА_RO,2,IFERROR(MATCH(ЕТАЛОН_ПЛ,ПЛ_РЯДОК,0),0)),"")-1)</f>
        <v/>
      </c>
      <c r="AW27" s="37" t="n">
        <f aca="false" t="array" ref="AW27:AW27">IF(OR(AW13="",ЕТАЛОН_ПЛ="",IFERROR(INDEX(БАЗА_RO,2,IFERROR(MATCH(ЕТАЛОН_ПЛ,ПЛ_РЯДОК,0),0)),"")=""),"",AW13-IFERROR(INDEX(БАЗА_RO,2,IFERROR(MATCH(ЕТАЛОН_ПЛ,ПЛ_РЯДОК,0),0)),""))</f>
        <v>-3900</v>
      </c>
      <c r="AX27" s="86" t="n">
        <f aca="false" t="array" ref="AX27:AX27">IF(OR(AW13="",ЕТАЛОН_ПЛ="",IFERROR(INDEX(БАЗА_RO,2,IFERROR(MATCH(ЕТАЛОН_ПЛ,ПЛ_РЯДОК,0),0)),"")="",IFERROR(INDEX(БАЗА_RO,2,IFERROR(MATCH(ЕТАЛОН_ПЛ,ПЛ_РЯДОК,0),0)),"")=0),"",AW13/IFERROR(INDEX(БАЗА_RO,2,IFERROR(MATCH(ЕТАЛОН_ПЛ,ПЛ_РЯДОК,0),0)),"")-1)</f>
        <v>-0.354545454545455</v>
      </c>
      <c r="AY27" s="37" t="n">
        <f aca="false" t="array" ref="AY27:AY27">IF(OR(AY13="",ЕТАЛОН_ПЛ="",IFERROR(INDEX(БАЗА_RO,2,IFERROR(MATCH(ЕТАЛОН_ПЛ,ПЛ_РЯДОК,0),0)),"")=""),"",AY13-IFERROR(INDEX(БАЗА_RO,2,IFERROR(MATCH(ЕТАЛОН_ПЛ,ПЛ_РЯДОК,0),0)),""))</f>
        <v>-2900</v>
      </c>
      <c r="AZ27" s="86" t="n">
        <f aca="false" t="array" ref="AZ27:AZ27">IF(OR(AY13="",ЕТАЛОН_ПЛ="",IFERROR(INDEX(БАЗА_RO,2,IFERROR(MATCH(ЕТАЛОН_ПЛ,ПЛ_РЯДОК,0),0)),"")="",IFERROR(INDEX(БАЗА_RO,2,IFERROR(MATCH(ЕТАЛОН_ПЛ,ПЛ_РЯДОК,0),0)),"")=0),"",AY13/IFERROR(INDEX(БАЗА_RO,2,IFERROR(MATCH(ЕТАЛОН_ПЛ,ПЛ_РЯДОК,0),0)),"")-1)</f>
        <v>-0.263636363636364</v>
      </c>
      <c r="BA27" s="37" t="n">
        <f aca="false" t="array" ref="BA27:BA27">IF(OR(BA13="",ЕТАЛОН_ПЛ="",IFERROR(INDEX(БАЗА_RO,2,IFERROR(MATCH(ЕТАЛОН_ПЛ,ПЛ_РЯДОК,0),0)),"")=""),"",BA13-IFERROR(INDEX(БАЗА_RO,2,IFERROR(MATCH(ЕТАЛОН_ПЛ,ПЛ_РЯДОК,0),0)),""))</f>
        <v>-985</v>
      </c>
      <c r="BB27" s="86" t="n">
        <f aca="false" t="array" ref="BB27:BB27">IF(OR(BA13="",ЕТАЛОН_ПЛ="",IFERROR(INDEX(БАЗА_RO,2,IFERROR(MATCH(ЕТАЛОН_ПЛ,ПЛ_РЯДОК,0),0)),"")="",IFERROR(INDEX(БАЗА_RO,2,IFERROR(MATCH(ЕТАЛОН_ПЛ,ПЛ_РЯДОК,0),0)),"")=0),"",BA13/IFERROR(INDEX(БАЗА_RO,2,IFERROR(MATCH(ЕТАЛОН_ПЛ,ПЛ_РЯДОК,0),0)),"")-1)</f>
        <v>-0.0895454545454546</v>
      </c>
      <c r="BC27" s="37" t="n">
        <f aca="false" t="array" ref="BC27:BC27">IF(OR(BC13="",ЕТАЛОН_ПЛ="",IFERROR(INDEX(БАЗА_RO,2,IFERROR(MATCH(ЕТАЛОН_ПЛ,ПЛ_РЯДОК,0),0)),"")=""),"",BC13-IFERROR(INDEX(БАЗА_RO,2,IFERROR(MATCH(ЕТАЛОН_ПЛ,ПЛ_РЯДОК,0),0)),""))</f>
        <v>5200</v>
      </c>
      <c r="BD27" s="86" t="n">
        <f aca="false" t="array" ref="BD27:BD27">IF(OR(BC13="",ЕТАЛОН_ПЛ="",IFERROR(INDEX(БАЗА_RO,2,IFERROR(MATCH(ЕТАЛОН_ПЛ,ПЛ_РЯДОК,0),0)),"")="",IFERROR(INDEX(БАЗА_RO,2,IFERROR(MATCH(ЕТАЛОН_ПЛ,ПЛ_РЯДОК,0),0)),"")=0),"",BC13/IFERROR(INDEX(БАЗА_RO,2,IFERROR(MATCH(ЕТАЛОН_ПЛ,ПЛ_РЯДОК,0),0)),"")-1)</f>
        <v>0.472727272727273</v>
      </c>
      <c r="BE27" s="37" t="n">
        <f aca="false" t="array" ref="BE27:BE27">IF(OR(BE13="",ЕТАЛОН_ПЛ="",IFERROR(INDEX(БАЗА_RO,2,IFERROR(MATCH(ЕТАЛОН_ПЛ,ПЛ_РЯДОК,0),0)),"")=""),"",BE13-IFERROR(INDEX(БАЗА_RO,2,IFERROR(MATCH(ЕТАЛОН_ПЛ,ПЛ_РЯДОК,0),0)),""))</f>
        <v>-3100</v>
      </c>
      <c r="BF27" s="86" t="n">
        <f aca="false" t="array" ref="BF27:BF27">IF(OR(BE13="",ЕТАЛОН_ПЛ="",IFERROR(INDEX(БАЗА_RO,2,IFERROR(MATCH(ЕТАЛОН_ПЛ,ПЛ_РЯДОК,0),0)),"")="",IFERROR(INDEX(БАЗА_RO,2,IFERROR(MATCH(ЕТАЛОН_ПЛ,ПЛ_РЯДОК,0),0)),"")=0),"",BE13/IFERROR(INDEX(БАЗА_RO,2,IFERROR(MATCH(ЕТАЛОН_ПЛ,ПЛ_РЯДОК,0),0)),"")-1)</f>
        <v>-0.281818181818182</v>
      </c>
      <c r="BG27" s="37" t="n">
        <f aca="false" t="array" ref="BG27:BG27">IF(OR(BG13="",ЕТАЛОН_ПЛ="",IFERROR(INDEX(БАЗА_RO,2,IFERROR(MATCH(ЕТАЛОН_ПЛ,ПЛ_РЯДОК,0),0)),"")=""),"",BG13-IFERROR(INDEX(БАЗА_RO,2,IFERROR(MATCH(ЕТАЛОН_ПЛ,ПЛ_РЯДОК,0),0)),""))</f>
        <v>-1700</v>
      </c>
      <c r="BH27" s="86" t="n">
        <f aca="false" t="array" ref="BH27:BH27">IF(OR(BG13="",ЕТАЛОН_ПЛ="",IFERROR(INDEX(БАЗА_RO,2,IFERROR(MATCH(ЕТАЛОН_ПЛ,ПЛ_РЯДОК,0),0)),"")="",IFERROR(INDEX(БАЗА_RO,2,IFERROR(MATCH(ЕТАЛОН_ПЛ,ПЛ_РЯДОК,0),0)),"")=0),"",BG13/IFERROR(INDEX(БАЗА_RO,2,IFERROR(MATCH(ЕТАЛОН_ПЛ,ПЛ_РЯДОК,0),0)),"")-1)</f>
        <v>-0.154545454545455</v>
      </c>
      <c r="BI27" s="37" t="n">
        <f aca="false" t="array" ref="BI27:BI27">IF(OR(BI13="",ЕТАЛОН_ПЛ="",IFERROR(INDEX(БАЗА_RO,2,IFERROR(MATCH(ЕТАЛОН_ПЛ,ПЛ_РЯДОК,0),0)),"")=""),"",BI13-IFERROR(INDEX(БАЗА_RO,2,IFERROR(MATCH(ЕТАЛОН_ПЛ,ПЛ_РЯДОК,0),0)),""))</f>
        <v>0</v>
      </c>
      <c r="BJ27" s="86" t="n">
        <f aca="false" t="array" ref="BJ27:BJ27">IF(OR(BI13="",ЕТАЛОН_ПЛ="",IFERROR(INDEX(БАЗА_RO,2,IFERROR(MATCH(ЕТАЛОН_ПЛ,ПЛ_РЯДОК,0),0)),"")="",IFERROR(INDEX(БАЗА_RO,2,IFERROR(MATCH(ЕТАЛОН_ПЛ,ПЛ_РЯДОК,0),0)),"")=0),"",BI13/IFERROR(INDEX(БАЗА_RO,2,IFERROR(MATCH(ЕТАЛОН_ПЛ,ПЛ_РЯДОК,0),0)),"")-1)</f>
        <v>0</v>
      </c>
      <c r="BK27" s="37" t="n">
        <f aca="false" t="array" ref="BK27:BK27">IF(OR(BK13="",ЕТАЛОН_ПЛ="",IFERROR(INDEX(БАЗА_RO,2,IFERROR(MATCH(ЕТАЛОН_ПЛ,ПЛ_РЯДОК,0),0)),"")=""),"",BK13-IFERROR(INDEX(БАЗА_RO,2,IFERROR(MATCH(ЕТАЛОН_ПЛ,ПЛ_РЯДОК,0),0)),""))</f>
        <v>7900</v>
      </c>
      <c r="BL27" s="86" t="n">
        <f aca="false" t="array" ref="BL27:BL27">IF(OR(BK13="",ЕТАЛОН_ПЛ="",IFERROR(INDEX(БАЗА_RO,2,IFERROR(MATCH(ЕТАЛОН_ПЛ,ПЛ_РЯДОК,0),0)),"")="",IFERROR(INDEX(БАЗА_RO,2,IFERROR(MATCH(ЕТАЛОН_ПЛ,ПЛ_РЯДОК,0),0)),"")=0),"",BK13/IFERROR(INDEX(БАЗА_RO,2,IFERROR(MATCH(ЕТАЛОН_ПЛ,ПЛ_РЯДОК,0),0)),"")-1)</f>
        <v>0.718181818181818</v>
      </c>
      <c r="BM27" s="37" t="str">
        <f aca="false" t="array" ref="BM27:BM27">IF(OR(BM13="",ЕТАЛОН_ПЛ="",IFERROR(INDEX(БАЗА_RO,2,IFERROR(MATCH(ЕТАЛОН_ПЛ,ПЛ_РЯДОК,0),0)),"")=""),"",BM13-IFERROR(INDEX(БАЗА_RO,2,IFERROR(MATCH(ЕТАЛОН_ПЛ,ПЛ_РЯДОК,0),0)),""))</f>
        <v/>
      </c>
      <c r="BN27" s="86" t="str">
        <f aca="false" t="array" ref="BN27:BN27">IF(OR(BM13="",ЕТАЛОН_ПЛ="",IFERROR(INDEX(БАЗА_RO,2,IFERROR(MATCH(ЕТАЛОН_ПЛ,ПЛ_РЯДОК,0),0)),"")="",IFERROR(INDEX(БАЗА_RO,2,IFERROR(MATCH(ЕТАЛОН_ПЛ,ПЛ_РЯДОК,0),0)),"")=0),"",BM13/IFERROR(INDEX(БАЗА_RO,2,IFERROR(MATCH(ЕТАЛОН_ПЛ,ПЛ_РЯДОК,0),0)),"")-1)</f>
        <v/>
      </c>
      <c r="BO27" s="37" t="str">
        <f aca="false" t="array" ref="BO27:BO27">IF(OR(BO13="",ЕТАЛОН_ПЛ="",IFERROR(INDEX(БАЗА_RO,2,IFERROR(MATCH(ЕТАЛОН_ПЛ,ПЛ_РЯДОК,0),0)),"")=""),"",BO13-IFERROR(INDEX(БАЗА_RO,2,IFERROR(MATCH(ЕТАЛОН_ПЛ,ПЛ_РЯДОК,0),0)),""))</f>
        <v/>
      </c>
      <c r="BP27" s="86" t="str">
        <f aca="false" t="array" ref="BP27:BP27">IF(OR(BO13="",ЕТАЛОН_ПЛ="",IFERROR(INDEX(БАЗА_RO,2,IFERROR(MATCH(ЕТАЛОН_ПЛ,ПЛ_РЯДОК,0),0)),"")="",IFERROR(INDEX(БАЗА_RO,2,IFERROR(MATCH(ЕТАЛОН_ПЛ,ПЛ_РЯДОК,0),0)),"")=0),"",BO13/IFERROR(INDEX(БАЗА_RO,2,IFERROR(MATCH(ЕТАЛОН_ПЛ,ПЛ_РЯДОК,0),0)),"")-1)</f>
        <v/>
      </c>
      <c r="BQ27" s="37" t="str">
        <f aca="false" t="array" ref="BQ27:BQ27">IF(OR(BQ13="",ЕТАЛОН_ПЛ="",IFERROR(INDEX(БАЗА_RO,2,IFERROR(MATCH(ЕТАЛОН_ПЛ,ПЛ_РЯДОК,0),0)),"")=""),"",BQ13-IFERROR(INDEX(БАЗА_RO,2,IFERROR(MATCH(ЕТАЛОН_ПЛ,ПЛ_РЯДОК,0),0)),""))</f>
        <v/>
      </c>
      <c r="BR27" s="86" t="str">
        <f aca="false" t="array" ref="BR27:BR27">IF(OR(BQ13="",ЕТАЛОН_ПЛ="",IFERROR(INDEX(БАЗА_RO,2,IFERROR(MATCH(ЕТАЛОН_ПЛ,ПЛ_РЯДОК,0),0)),"")="",IFERROR(INDEX(БАЗА_RO,2,IFERROR(MATCH(ЕТАЛОН_ПЛ,ПЛ_РЯДОК,0),0)),"")=0),"",BQ13/IFERROR(INDEX(БАЗА_RO,2,IFERROR(MATCH(ЕТАЛОН_ПЛ,ПЛ_РЯДОК,0),0)),"")-1)</f>
        <v/>
      </c>
      <c r="BS27" s="37" t="str">
        <f aca="false" t="array" ref="BS27:BS27">IF(OR(BS13="",ЕТАЛОН_ПЛ="",IFERROR(INDEX(БАЗА_RO,2,IFERROR(MATCH(ЕТАЛОН_ПЛ,ПЛ_РЯДОК,0),0)),"")=""),"",BS13-IFERROR(INDEX(БАЗА_RO,2,IFERROR(MATCH(ЕТАЛОН_ПЛ,ПЛ_РЯДОК,0),0)),""))</f>
        <v/>
      </c>
      <c r="BT27" s="86" t="str">
        <f aca="false" t="array" ref="BT27:BT27">IF(OR(BS13="",ЕТАЛОН_ПЛ="",IFERROR(INDEX(БАЗА_RO,2,IFERROR(MATCH(ЕТАЛОН_ПЛ,ПЛ_РЯДОК,0),0)),"")="",IFERROR(INDEX(БАЗА_RO,2,IFERROR(MATCH(ЕТАЛОН_ПЛ,ПЛ_РЯДОК,0),0)),"")=0),"",BS13/IFERROR(INDEX(БАЗА_RO,2,IFERROR(MATCH(ЕТАЛОН_ПЛ,ПЛ_РЯДОК,0),0)),"")-1)</f>
        <v/>
      </c>
      <c r="BU27" s="37" t="str">
        <f aca="false" t="array" ref="BU27:BU27">IF(OR(BU13="",ЕТАЛОН_ПЛ="",IFERROR(INDEX(БАЗА_RO,2,IFERROR(MATCH(ЕТАЛОН_ПЛ,ПЛ_РЯДОК,0),0)),"")=""),"",BU13-IFERROR(INDEX(БАЗА_RO,2,IFERROR(MATCH(ЕТАЛОН_ПЛ,ПЛ_РЯДОК,0),0)),""))</f>
        <v/>
      </c>
      <c r="BV27" s="86" t="str">
        <f aca="false" t="array" ref="BV27:BV27">IF(OR(BU13="",ЕТАЛОН_ПЛ="",IFERROR(INDEX(БАЗА_RO,2,IFERROR(MATCH(ЕТАЛОН_ПЛ,ПЛ_РЯДОК,0),0)),"")="",IFERROR(INDEX(БАЗА_RO,2,IFERROR(MATCH(ЕТАЛОН_ПЛ,ПЛ_РЯДОК,0),0)),"")=0),"",BU13/IFERROR(INDEX(БАЗА_RO,2,IFERROR(MATCH(ЕТАЛОН_ПЛ,ПЛ_РЯДОК,0),0)),"")-1)</f>
        <v/>
      </c>
      <c r="BW27" s="37" t="str">
        <f aca="false" t="array" ref="BW27:BW27">IF(OR(BW13="",ЕТАЛОН_ПЛ="",IFERROR(INDEX(БАЗА_RO,2,IFERROR(MATCH(ЕТАЛОН_ПЛ,ПЛ_РЯДОК,0),0)),"")=""),"",BW13-IFERROR(INDEX(БАЗА_RO,2,IFERROR(MATCH(ЕТАЛОН_ПЛ,ПЛ_РЯДОК,0),0)),""))</f>
        <v/>
      </c>
      <c r="BX27" s="86" t="str">
        <f aca="false" t="array" ref="BX27:BX27">IF(OR(BW13="",ЕТАЛОН_ПЛ="",IFERROR(INDEX(БАЗА_RO,2,IFERROR(MATCH(ЕТАЛОН_ПЛ,ПЛ_РЯДОК,0),0)),"")="",IFERROR(INDEX(БАЗА_RO,2,IFERROR(MATCH(ЕТАЛОН_ПЛ,ПЛ_РЯДОК,0),0)),"")=0),"",BW13/IFERROR(INDEX(БАЗА_RO,2,IFERROR(MATCH(ЕТАЛОН_ПЛ,ПЛ_РЯДОК,0),0)),"")-1)</f>
        <v/>
      </c>
      <c r="BY27" s="37" t="str">
        <f aca="false" t="array" ref="BY27:BY27">IF(OR(BY13="",ЕТАЛОН_ПЛ="",IFERROR(INDEX(БАЗА_RO,2,IFERROR(MATCH(ЕТАЛОН_ПЛ,ПЛ_РЯДОК,0),0)),"")=""),"",BY13-IFERROR(INDEX(БАЗА_RO,2,IFERROR(MATCH(ЕТАЛОН_ПЛ,ПЛ_РЯДОК,0),0)),""))</f>
        <v/>
      </c>
      <c r="BZ27" s="86" t="str">
        <f aca="false" t="array" ref="BZ27:BZ27">IF(OR(BY13="",ЕТАЛОН_ПЛ="",IFERROR(INDEX(БАЗА_RO,2,IFERROR(MATCH(ЕТАЛОН_ПЛ,ПЛ_РЯДОК,0),0)),"")="",IFERROR(INDEX(БАЗА_RO,2,IFERROR(MATCH(ЕТАЛОН_ПЛ,ПЛ_РЯДОК,0),0)),"")=0),"",BY13/IFERROR(INDEX(БАЗА_RO,2,IFERROR(MATCH(ЕТАЛОН_ПЛ,ПЛ_РЯДОК,0),0)),"")-1)</f>
        <v/>
      </c>
      <c r="CA27" s="37" t="str">
        <f aca="false" t="array" ref="CA27:CA27">IF(OR(CA13="",ЕТАЛОН_ПЛ="",IFERROR(INDEX(БАЗА_RO,2,IFERROR(MATCH(ЕТАЛОН_ПЛ,ПЛ_РЯДОК,0),0)),"")=""),"",CA13-IFERROR(INDEX(БАЗА_RO,2,IFERROR(MATCH(ЕТАЛОН_ПЛ,ПЛ_РЯДОК,0),0)),""))</f>
        <v/>
      </c>
      <c r="CB27" s="86" t="str">
        <f aca="false" t="array" ref="CB27:CB27">IF(OR(CA13="",ЕТАЛОН_ПЛ="",IFERROR(INDEX(БАЗА_RO,2,IFERROR(MATCH(ЕТАЛОН_ПЛ,ПЛ_РЯДОК,0),0)),"")="",IFERROR(INDEX(БАЗА_RO,2,IFERROR(MATCH(ЕТАЛОН_ПЛ,ПЛ_РЯДОК,0),0)),"")=0),"",CA13/IFERROR(INDEX(БАЗА_RO,2,IFERROR(MATCH(ЕТАЛОН_ПЛ,ПЛ_РЯДОК,0),0)),"")-1)</f>
        <v/>
      </c>
      <c r="CC27" s="37" t="str">
        <f aca="false" t="array" ref="CC27:CC27">IF(OR(CC13="",ЕТАЛОН_ПЛ="",IFERROR(INDEX(БАЗА_RO,2,IFERROR(MATCH(ЕТАЛОН_ПЛ,ПЛ_РЯДОК,0),0)),"")=""),"",CC13-IFERROR(INDEX(БАЗА_RO,2,IFERROR(MATCH(ЕТАЛОН_ПЛ,ПЛ_РЯДОК,0),0)),""))</f>
        <v/>
      </c>
      <c r="CD27" s="86" t="str">
        <f aca="false" t="array" ref="CD27:CD27">IF(OR(CC13="",ЕТАЛОН_ПЛ="",IFERROR(INDEX(БАЗА_RO,2,IFERROR(MATCH(ЕТАЛОН_ПЛ,ПЛ_РЯДОК,0),0)),"")="",IFERROR(INDEX(БАЗА_RO,2,IFERROR(MATCH(ЕТАЛОН_ПЛ,ПЛ_РЯДОК,0),0)),"")=0),"",CC13/IFERROR(INDEX(БАЗА_RO,2,IFERROR(MATCH(ЕТАЛОН_ПЛ,ПЛ_РЯДОК,0),0)),"")-1)</f>
        <v/>
      </c>
      <c r="CE27" s="37" t="str">
        <f aca="false" t="array" ref="CE27:CE27">IF(OR(CE13="",ЕТАЛОН_ПЛ="",IFERROR(INDEX(БАЗА_RO,2,IFERROR(MATCH(ЕТАЛОН_ПЛ,ПЛ_РЯДОК,0),0)),"")=""),"",CE13-IFERROR(INDEX(БАЗА_RO,2,IFERROR(MATCH(ЕТАЛОН_ПЛ,ПЛ_РЯДОК,0),0)),""))</f>
        <v/>
      </c>
      <c r="CF27" s="86" t="str">
        <f aca="false" t="array" ref="CF27:CF27">IF(OR(CE13="",ЕТАЛОН_ПЛ="",IFERROR(INDEX(БАЗА_RO,2,IFERROR(MATCH(ЕТАЛОН_ПЛ,ПЛ_РЯДОК,0),0)),"")="",IFERROR(INDEX(БАЗА_RO,2,IFERROR(MATCH(ЕТАЛОН_ПЛ,ПЛ_РЯДОК,0),0)),"")=0),"",CE13/IFERROR(INDEX(БАЗА_RO,2,IFERROR(MATCH(ЕТАЛОН_ПЛ,ПЛ_РЯДОК,0),0)),"")-1)</f>
        <v/>
      </c>
      <c r="CG27" s="37" t="str">
        <f aca="false" t="array" ref="CG27:CG27">IF(OR(CG13="",ЕТАЛОН_ПЛ="",IFERROR(INDEX(БАЗА_RO,2,IFERROR(MATCH(ЕТАЛОН_ПЛ,ПЛ_РЯДОК,0),0)),"")=""),"",CG13-IFERROR(INDEX(БАЗА_RO,2,IFERROR(MATCH(ЕТАЛОН_ПЛ,ПЛ_РЯДОК,0),0)),""))</f>
        <v/>
      </c>
      <c r="CH27" s="86" t="str">
        <f aca="false" t="array" ref="CH27:CH27">IF(OR(CG13="",ЕТАЛОН_ПЛ="",IFERROR(INDEX(БАЗА_RO,2,IFERROR(MATCH(ЕТАЛОН_ПЛ,ПЛ_РЯДОК,0),0)),"")="",IFERROR(INDEX(БАЗА_RO,2,IFERROR(MATCH(ЕТАЛОН_ПЛ,ПЛ_РЯДОК,0),0)),"")=0),"",CG13/IFERROR(INDEX(БАЗА_RO,2,IFERROR(MATCH(ЕТАЛОН_ПЛ,ПЛ_РЯДОК,0),0)),"")-1)</f>
        <v/>
      </c>
      <c r="CI27" s="37" t="str">
        <f aca="false" t="array" ref="CI27:CI27">IF(OR(CI13="",ЕТАЛОН_ПЛ="",IFERROR(INDEX(БАЗА_RO,2,IFERROR(MATCH(ЕТАЛОН_ПЛ,ПЛ_РЯДОК,0),0)),"")=""),"",CI13-IFERROR(INDEX(БАЗА_RO,2,IFERROR(MATCH(ЕТАЛОН_ПЛ,ПЛ_РЯДОК,0),0)),""))</f>
        <v/>
      </c>
      <c r="CJ27" s="86" t="str">
        <f aca="false" t="array" ref="CJ27:CJ27">IF(OR(CI13="",ЕТАЛОН_ПЛ="",IFERROR(INDEX(БАЗА_RO,2,IFERROR(MATCH(ЕТАЛОН_ПЛ,ПЛ_РЯДОК,0),0)),"")="",IFERROR(INDEX(БАЗА_RO,2,IFERROR(MATCH(ЕТАЛОН_ПЛ,ПЛ_РЯДОК,0),0)),"")=0),"",CI13/IFERROR(INDEX(БАЗА_RO,2,IFERROR(MATCH(ЕТАЛОН_ПЛ,ПЛ_РЯДОК,0),0)),"")-1)</f>
        <v/>
      </c>
      <c r="CK27" s="37" t="str">
        <f aca="false" t="array" ref="CK27:CK27">IF(OR(CK13="",ЕТАЛОН_ПЛ="",IFERROR(INDEX(БАЗА_RO,2,IFERROR(MATCH(ЕТАЛОН_ПЛ,ПЛ_РЯДОК,0),0)),"")=""),"",CK13-IFERROR(INDEX(БАЗА_RO,2,IFERROR(MATCH(ЕТАЛОН_ПЛ,ПЛ_РЯДОК,0),0)),""))</f>
        <v/>
      </c>
      <c r="CL27" s="86" t="str">
        <f aca="false" t="array" ref="CL27:CL27">IF(OR(CK13="",ЕТАЛОН_ПЛ="",IFERROR(INDEX(БАЗА_RO,2,IFERROR(MATCH(ЕТАЛОН_ПЛ,ПЛ_РЯДОК,0),0)),"")="",IFERROR(INDEX(БАЗА_RO,2,IFERROR(MATCH(ЕТАЛОН_ПЛ,ПЛ_РЯДОК,0),0)),"")=0),"",CK13/IFERROR(INDEX(БАЗА_RO,2,IFERROR(MATCH(ЕТАЛОН_ПЛ,ПЛ_РЯДОК,0),0)),"")-1)</f>
        <v/>
      </c>
      <c r="CM27" s="37" t="str">
        <f aca="false" t="array" ref="CM27:CM27">IF(OR(CM13="",ЕТАЛОН_ПЛ="",IFERROR(INDEX(БАЗА_RO,2,IFERROR(MATCH(ЕТАЛОН_ПЛ,ПЛ_РЯДОК,0),0)),"")=""),"",CM13-IFERROR(INDEX(БАЗА_RO,2,IFERROR(MATCH(ЕТАЛОН_ПЛ,ПЛ_РЯДОК,0),0)),""))</f>
        <v/>
      </c>
      <c r="CN27" s="86" t="str">
        <f aca="false" t="array" ref="CN27:CN27">IF(OR(CM13="",ЕТАЛОН_ПЛ="",IFERROR(INDEX(БАЗА_RO,2,IFERROR(MATCH(ЕТАЛОН_ПЛ,ПЛ_РЯДОК,0),0)),"")="",IFERROR(INDEX(БАЗА_RO,2,IFERROR(MATCH(ЕТАЛОН_ПЛ,ПЛ_РЯДОК,0),0)),"")=0),"",CM13/IFERROR(INDEX(БАЗА_RO,2,IFERROR(MATCH(ЕТАЛОН_ПЛ,ПЛ_РЯДОК,0),0)),"")-1)</f>
        <v/>
      </c>
      <c r="CO27" s="37" t="str">
        <f aca="false" t="array" ref="CO27:CO27">IF(OR(CO13="",ЕТАЛОН_ПЛ="",IFERROR(INDEX(БАЗА_RO,2,IFERROR(MATCH(ЕТАЛОН_ПЛ,ПЛ_РЯДОК,0),0)),"")=""),"",CO13-IFERROR(INDEX(БАЗА_RO,2,IFERROR(MATCH(ЕТАЛОН_ПЛ,ПЛ_РЯДОК,0),0)),""))</f>
        <v/>
      </c>
      <c r="CP27" s="86" t="str">
        <f aca="false" t="array" ref="CP27:CP27">IF(OR(CO13="",ЕТАЛОН_ПЛ="",IFERROR(INDEX(БАЗА_RO,2,IFERROR(MATCH(ЕТАЛОН_ПЛ,ПЛ_РЯДОК,0),0)),"")="",IFERROR(INDEX(БАЗА_RO,2,IFERROR(MATCH(ЕТАЛОН_ПЛ,ПЛ_РЯДОК,0),0)),"")=0),"",CO13/IFERROR(INDEX(БАЗА_RO,2,IFERROR(MATCH(ЕТАЛОН_ПЛ,ПЛ_РЯДОК,0),0)),"")-1)</f>
        <v/>
      </c>
      <c r="CQ27" s="37" t="str">
        <f aca="false" t="array" ref="CQ27:CQ27">IF(OR(CQ13="",ЕТАЛОН_ПЛ="",IFERROR(INDEX(БАЗА_RO,2,IFERROR(MATCH(ЕТАЛОН_ПЛ,ПЛ_РЯДОК,0),0)),"")=""),"",CQ13-IFERROR(INDEX(БАЗА_RO,2,IFERROR(MATCH(ЕТАЛОН_ПЛ,ПЛ_РЯДОК,0),0)),""))</f>
        <v/>
      </c>
      <c r="CR27" s="86" t="str">
        <f aca="false" t="array" ref="CR27:CR27">IF(OR(CQ13="",ЕТАЛОН_ПЛ="",IFERROR(INDEX(БАЗА_RO,2,IFERROR(MATCH(ЕТАЛОН_ПЛ,ПЛ_РЯДОК,0),0)),"")="",IFERROR(INDEX(БАЗА_RO,2,IFERROR(MATCH(ЕТАЛОН_ПЛ,ПЛ_РЯДОК,0),0)),"")=0),"",CQ13/IFERROR(INDEX(БАЗА_RO,2,IFERROR(MATCH(ЕТАЛОН_ПЛ,ПЛ_РЯДОК,0),0)),"")-1)</f>
        <v/>
      </c>
      <c r="CS27" s="37" t="str">
        <f aca="false" t="array" ref="CS27:CS27">IF(OR(CS13="",ЕТАЛОН_ПЛ="",IFERROR(INDEX(БАЗА_RO,2,IFERROR(MATCH(ЕТАЛОН_ПЛ,ПЛ_РЯДОК,0),0)),"")=""),"",CS13-IFERROR(INDEX(БАЗА_RO,2,IFERROR(MATCH(ЕТАЛОН_ПЛ,ПЛ_РЯДОК,0),0)),""))</f>
        <v/>
      </c>
      <c r="CT27" s="86" t="str">
        <f aca="false" t="array" ref="CT27:CT27">IF(OR(CS13="",ЕТАЛОН_ПЛ="",IFERROR(INDEX(БАЗА_RO,2,IFERROR(MATCH(ЕТАЛОН_ПЛ,ПЛ_РЯДОК,0),0)),"")="",IFERROR(INDEX(БАЗА_RO,2,IFERROR(MATCH(ЕТАЛОН_ПЛ,ПЛ_РЯДОК,0),0)),"")=0),"",CS13/IFERROR(INDEX(БАЗА_RO,2,IFERROR(MATCH(ЕТАЛОН_ПЛ,ПЛ_РЯДОК,0),0)),"")-1)</f>
        <v/>
      </c>
      <c r="CU27" s="37" t="str">
        <f aca="false" t="array" ref="CU27:CU27">IF(OR(CU13="",ЕТАЛОН_ПЛ="",IFERROR(INDEX(БАЗА_RO,2,IFERROR(MATCH(ЕТАЛОН_ПЛ,ПЛ_РЯДОК,0),0)),"")=""),"",CU13-IFERROR(INDEX(БАЗА_RO,2,IFERROR(MATCH(ЕТАЛОН_ПЛ,ПЛ_РЯДОК,0),0)),""))</f>
        <v/>
      </c>
      <c r="CV27" s="86" t="str">
        <f aca="false" t="array" ref="CV27:CV27">IF(OR(CU13="",ЕТАЛОН_ПЛ="",IFERROR(INDEX(БАЗА_RO,2,IFERROR(MATCH(ЕТАЛОН_ПЛ,ПЛ_РЯДОК,0),0)),"")="",IFERROR(INDEX(БАЗА_RO,2,IFERROR(MATCH(ЕТАЛОН_ПЛ,ПЛ_РЯДОК,0),0)),"")=0),"",CU13/IFERROR(INDEX(БАЗА_RO,2,IFERROR(MATCH(ЕТАЛОН_ПЛ,ПЛ_РЯДОК,0),0)),"")-1)</f>
        <v/>
      </c>
      <c r="CW27" s="37" t="str">
        <f aca="false" t="array" ref="CW27:CW27">IF(OR(CW13="",ЕТАЛОН_ПЛ="",IFERROR(INDEX(БАЗА_RO,2,IFERROR(MATCH(ЕТАЛОН_ПЛ,ПЛ_РЯДОК,0),0)),"")=""),"",CW13-IFERROR(INDEX(БАЗА_RO,2,IFERROR(MATCH(ЕТАЛОН_ПЛ,ПЛ_РЯДОК,0),0)),""))</f>
        <v/>
      </c>
      <c r="CX27" s="86" t="str">
        <f aca="false" t="array" ref="CX27:CX27">IF(OR(CW13="",ЕТАЛОН_ПЛ="",IFERROR(INDEX(БАЗА_RO,2,IFERROR(MATCH(ЕТАЛОН_ПЛ,ПЛ_РЯДОК,0),0)),"")="",IFERROR(INDEX(БАЗА_RO,2,IFERROR(MATCH(ЕТАЛОН_ПЛ,ПЛ_РЯДОК,0),0)),"")=0),"",CW13/IFERROR(INDEX(БАЗА_RO,2,IFERROR(MATCH(ЕТАЛОН_ПЛ,ПЛ_РЯДОК,0),0)),"")-1)</f>
        <v/>
      </c>
      <c r="CY27" s="37" t="str">
        <f aca="false" t="array" ref="CY27:CY27">IF(OR(CY13="",ЕТАЛОН_ПЛ="",IFERROR(INDEX(БАЗА_RO,2,IFERROR(MATCH(ЕТАЛОН_ПЛ,ПЛ_РЯДОК,0),0)),"")=""),"",CY13-IFERROR(INDEX(БАЗА_RO,2,IFERROR(MATCH(ЕТАЛОН_ПЛ,ПЛ_РЯДОК,0),0)),""))</f>
        <v/>
      </c>
      <c r="CZ27" s="86" t="str">
        <f aca="false" t="array" ref="CZ27:CZ27">IF(OR(CY13="",ЕТАЛОН_ПЛ="",IFERROR(INDEX(БАЗА_RO,2,IFERROR(MATCH(ЕТАЛОН_ПЛ,ПЛ_РЯДОК,0),0)),"")="",IFERROR(INDEX(БАЗА_RO,2,IFERROR(MATCH(ЕТАЛОН_ПЛ,ПЛ_РЯДОК,0),0)),"")=0),"",CY13/IFERROR(INDEX(БАЗА_RO,2,IFERROR(MATCH(ЕТАЛОН_ПЛ,ПЛ_РЯДОК,0),0)),"")-1)</f>
        <v/>
      </c>
      <c r="DA27" s="37" t="str">
        <f aca="false" t="array" ref="DA27:DA27">IF(OR(DA13="",ЕТАЛОН_ПЛ="",IFERROR(INDEX(БАЗА_RO,2,IFERROR(MATCH(ЕТАЛОН_ПЛ,ПЛ_РЯДОК,0),0)),"")=""),"",DA13-IFERROR(INDEX(БАЗА_RO,2,IFERROR(MATCH(ЕТАЛОН_ПЛ,ПЛ_РЯДОК,0),0)),""))</f>
        <v/>
      </c>
      <c r="DB27" s="86" t="str">
        <f aca="false" t="array" ref="DB27:DB27">IF(OR(DA13="",ЕТАЛОН_ПЛ="",IFERROR(INDEX(БАЗА_RO,2,IFERROR(MATCH(ЕТАЛОН_ПЛ,ПЛ_РЯДОК,0),0)),"")="",IFERROR(INDEX(БАЗА_RO,2,IFERROR(MATCH(ЕТАЛОН_ПЛ,ПЛ_РЯДОК,0),0)),"")=0),"",DA13/IFERROR(INDEX(БАЗА_RO,2,IFERROR(MATCH(ЕТАЛОН_ПЛ,ПЛ_РЯДОК,0),0)),"")-1)</f>
        <v/>
      </c>
      <c r="DC27" s="37" t="str">
        <f aca="false" t="array" ref="DC27:DC27">IF(OR(DC13="",ЕТАЛОН_ПЛ="",IFERROR(INDEX(БАЗА_RO,2,IFERROR(MATCH(ЕТАЛОН_ПЛ,ПЛ_РЯДОК,0),0)),"")=""),"",DC13-IFERROR(INDEX(БАЗА_RO,2,IFERROR(MATCH(ЕТАЛОН_ПЛ,ПЛ_РЯДОК,0),0)),""))</f>
        <v/>
      </c>
      <c r="DD27" s="86" t="str">
        <f aca="false" t="array" ref="DD27:DD27">IF(OR(DC13="",ЕТАЛОН_ПЛ="",IFERROR(INDEX(БАЗА_RO,2,IFERROR(MATCH(ЕТАЛОН_ПЛ,ПЛ_РЯДОК,0),0)),"")="",IFERROR(INDEX(БАЗА_RO,2,IFERROR(MATCH(ЕТАЛОН_ПЛ,ПЛ_РЯДОК,0),0)),"")=0),"",DC13/IFERROR(INDEX(БАЗА_RO,2,IFERROR(MATCH(ЕТАЛОН_ПЛ,ПЛ_РЯДОК,0),0)),"")-1)</f>
        <v/>
      </c>
      <c r="DE27" s="37" t="str">
        <f aca="false" t="array" ref="DE27:DE27">IF(OR(DE13="",ЕТАЛОН_ПЛ="",IFERROR(INDEX(БАЗА_RO,2,IFERROR(MATCH(ЕТАЛОН_ПЛ,ПЛ_РЯДОК,0),0)),"")=""),"",DE13-IFERROR(INDEX(БАЗА_RO,2,IFERROR(MATCH(ЕТАЛОН_ПЛ,ПЛ_РЯДОК,0),0)),""))</f>
        <v/>
      </c>
      <c r="DF27" s="86" t="str">
        <f aca="false" t="array" ref="DF27:DF27">IF(OR(DE13="",ЕТАЛОН_ПЛ="",IFERROR(INDEX(БАЗА_RO,2,IFERROR(MATCH(ЕТАЛОН_ПЛ,ПЛ_РЯДОК,0),0)),"")="",IFERROR(INDEX(БАЗА_RO,2,IFERROR(MATCH(ЕТАЛОН_ПЛ,ПЛ_РЯДОК,0),0)),"")=0),"",DE13/IFERROR(INDEX(БАЗА_RO,2,IFERROR(MATCH(ЕТАЛОН_ПЛ,ПЛ_РЯДОК,0),0)),"")-1)</f>
        <v/>
      </c>
      <c r="DG27" s="37" t="str">
        <f aca="false" t="array" ref="DG27:DG27">IF(OR(DG13="",ЕТАЛОН_ПЛ="",IFERROR(INDEX(БАЗА_RO,2,IFERROR(MATCH(ЕТАЛОН_ПЛ,ПЛ_РЯДОК,0),0)),"")=""),"",DG13-IFERROR(INDEX(БАЗА_RO,2,IFERROR(MATCH(ЕТАЛОН_ПЛ,ПЛ_РЯДОК,0),0)),""))</f>
        <v/>
      </c>
      <c r="DH27" s="86" t="str">
        <f aca="false" t="array" ref="DH27:DH27">IF(OR(DG13="",ЕТАЛОН_ПЛ="",IFERROR(INDEX(БАЗА_RO,2,IFERROR(MATCH(ЕТАЛОН_ПЛ,ПЛ_РЯДОК,0),0)),"")="",IFERROR(INDEX(БАЗА_RO,2,IFERROR(MATCH(ЕТАЛОН_ПЛ,ПЛ_РЯДОК,0),0)),"")=0),"",DG13/IFERROR(INDEX(БАЗА_RO,2,IFERROR(MATCH(ЕТАЛОН_ПЛ,ПЛ_РЯДОК,0),0)),"")-1)</f>
        <v/>
      </c>
      <c r="DI27" s="37" t="str">
        <f aca="false" t="array" ref="DI27:DI27">IF(OR(DI13="",ЕТАЛОН_ПЛ="",IFERROR(INDEX(БАЗА_RO,2,IFERROR(MATCH(ЕТАЛОН_ПЛ,ПЛ_РЯДОК,0),0)),"")=""),"",DI13-IFERROR(INDEX(БАЗА_RO,2,IFERROR(MATCH(ЕТАЛОН_ПЛ,ПЛ_РЯДОК,0),0)),""))</f>
        <v/>
      </c>
      <c r="DJ27" s="86" t="str">
        <f aca="false" t="array" ref="DJ27:DJ27">IF(OR(DI13="",ЕТАЛОН_ПЛ="",IFERROR(INDEX(БАЗА_RO,2,IFERROR(MATCH(ЕТАЛОН_ПЛ,ПЛ_РЯДОК,0),0)),"")="",IFERROR(INDEX(БАЗА_RO,2,IFERROR(MATCH(ЕТАЛОН_ПЛ,ПЛ_РЯДОК,0),0)),"")=0),"",DI13/IFERROR(INDEX(БАЗА_RO,2,IFERROR(MATCH(ЕТАЛОН_ПЛ,ПЛ_РЯДОК,0),0)),"")-1)</f>
        <v/>
      </c>
      <c r="DK27" s="37" t="str">
        <f aca="false" t="array" ref="DK27:DK27">IF(OR(DK13="",ЕТАЛОН_ПЛ="",IFERROR(INDEX(БАЗА_RO,2,IFERROR(MATCH(ЕТАЛОН_ПЛ,ПЛ_РЯДОК,0),0)),"")=""),"",DK13-IFERROR(INDEX(БАЗА_RO,2,IFERROR(MATCH(ЕТАЛОН_ПЛ,ПЛ_РЯДОК,0),0)),""))</f>
        <v/>
      </c>
      <c r="DL27" s="86" t="str">
        <f aca="false" t="array" ref="DL27:DL27">IF(OR(DK13="",ЕТАЛОН_ПЛ="",IFERROR(INDEX(БАЗА_RO,2,IFERROR(MATCH(ЕТАЛОН_ПЛ,ПЛ_РЯДОК,0),0)),"")="",IFERROR(INDEX(БАЗА_RO,2,IFERROR(MATCH(ЕТАЛОН_ПЛ,ПЛ_РЯДОК,0),0)),"")=0),"",DK13/IFERROR(INDEX(БАЗА_RO,2,IFERROR(MATCH(ЕТАЛОН_ПЛ,ПЛ_РЯДОК,0),0)),"")-1)</f>
        <v/>
      </c>
      <c r="DM27" s="37" t="str">
        <f aca="false" t="array" ref="DM27:DM27">IF(OR(DM13="",ЕТАЛОН_ПЛ="",IFERROR(INDEX(БАЗА_RO,2,IFERROR(MATCH(ЕТАЛОН_ПЛ,ПЛ_РЯДОК,0),0)),"")=""),"",DM13-IFERROR(INDEX(БАЗА_RO,2,IFERROR(MATCH(ЕТАЛОН_ПЛ,ПЛ_РЯДОК,0),0)),""))</f>
        <v/>
      </c>
      <c r="DN27" s="86" t="str">
        <f aca="false" t="array" ref="DN27:DN27">IF(OR(DM13="",ЕТАЛОН_ПЛ="",IFERROR(INDEX(БАЗА_RO,2,IFERROR(MATCH(ЕТАЛОН_ПЛ,ПЛ_РЯДОК,0),0)),"")="",IFERROR(INDEX(БАЗА_RO,2,IFERROR(MATCH(ЕТАЛОН_ПЛ,ПЛ_РЯДОК,0),0)),"")=0),"",DM13/IFERROR(INDEX(БАЗА_RO,2,IFERROR(MATCH(ЕТАЛОН_ПЛ,ПЛ_РЯДОК,0),0)),"")-1)</f>
        <v/>
      </c>
      <c r="DO27" s="37" t="str">
        <f aca="false" t="array" ref="DO27:DO27">IF(OR(DO13="",ЕТАЛОН_ПЛ="",IFERROR(INDEX(БАЗА_RO,2,IFERROR(MATCH(ЕТАЛОН_ПЛ,ПЛ_РЯДОК,0),0)),"")=""),"",DO13-IFERROR(INDEX(БАЗА_RO,2,IFERROR(MATCH(ЕТАЛОН_ПЛ,ПЛ_РЯДОК,0),0)),""))</f>
        <v/>
      </c>
      <c r="DP27" s="86" t="str">
        <f aca="false" t="array" ref="DP27:DP27">IF(OR(DO13="",ЕТАЛОН_ПЛ="",IFERROR(INDEX(БАЗА_RO,2,IFERROR(MATCH(ЕТАЛОН_ПЛ,ПЛ_РЯДОК,0),0)),"")="",IFERROR(INDEX(БАЗА_RO,2,IFERROR(MATCH(ЕТАЛОН_ПЛ,ПЛ_РЯДОК,0),0)),"")=0),"",DO13/IFERROR(INDEX(БАЗА_RO,2,IFERROR(MATCH(ЕТАЛОН_ПЛ,ПЛ_РЯДОК,0),0)),"")-1)</f>
        <v/>
      </c>
      <c r="DQ27" s="37" t="str">
        <f aca="false" t="array" ref="DQ27:DQ27">IF(OR(DQ13="",ЕТАЛОН_ПЛ="",IFERROR(INDEX(БАЗА_RO,2,IFERROR(MATCH(ЕТАЛОН_ПЛ,ПЛ_РЯДОК,0),0)),"")=""),"",DQ13-IFERROR(INDEX(БАЗА_RO,2,IFERROR(MATCH(ЕТАЛОН_ПЛ,ПЛ_РЯДОК,0),0)),""))</f>
        <v/>
      </c>
      <c r="DR27" s="86" t="str">
        <f aca="false" t="array" ref="DR27:DR27">IF(OR(DQ13="",ЕТАЛОН_ПЛ="",IFERROR(INDEX(БАЗА_RO,2,IFERROR(MATCH(ЕТАЛОН_ПЛ,ПЛ_РЯДОК,0),0)),"")="",IFERROR(INDEX(БАЗА_RO,2,IFERROR(MATCH(ЕТАЛОН_ПЛ,ПЛ_РЯДОК,0),0)),"")=0),"",DQ13/IFERROR(INDEX(БАЗА_RO,2,IFERROR(MATCH(ЕТАЛОН_ПЛ,ПЛ_РЯДОК,0),0)),"")-1)</f>
        <v/>
      </c>
      <c r="DS27" s="37" t="str">
        <f aca="false" t="array" ref="DS27:DS27">IF(OR(DS13="",ЕТАЛОН_ПЛ="",IFERROR(INDEX(БАЗА_RO,2,IFERROR(MATCH(ЕТАЛОН_ПЛ,ПЛ_РЯДОК,0),0)),"")=""),"",DS13-IFERROR(INDEX(БАЗА_RO,2,IFERROR(MATCH(ЕТАЛОН_ПЛ,ПЛ_РЯДОК,0),0)),""))</f>
        <v/>
      </c>
      <c r="DT27" s="86" t="str">
        <f aca="false" t="array" ref="DT27:DT27">IF(OR(DS13="",ЕТАЛОН_ПЛ="",IFERROR(INDEX(БАЗА_RO,2,IFERROR(MATCH(ЕТАЛОН_ПЛ,ПЛ_РЯДОК,0),0)),"")="",IFERROR(INDEX(БАЗА_RO,2,IFERROR(MATCH(ЕТАЛОН_ПЛ,ПЛ_РЯДОК,0),0)),"")=0),"",DS13/IFERROR(INDEX(БАЗА_RO,2,IFERROR(MATCH(ЕТАЛОН_ПЛ,ПЛ_РЯДОК,0),0)),"")-1)</f>
        <v/>
      </c>
      <c r="DU27" s="37" t="str">
        <f aca="false" t="array" ref="DU27:DU27">IF(OR(DU13="",ЕТАЛОН_ПЛ="",IFERROR(INDEX(БАЗА_RO,2,IFERROR(MATCH(ЕТАЛОН_ПЛ,ПЛ_РЯДОК,0),0)),"")=""),"",DU13-IFERROR(INDEX(БАЗА_RO,2,IFERROR(MATCH(ЕТАЛОН_ПЛ,ПЛ_РЯДОК,0),0)),""))</f>
        <v/>
      </c>
      <c r="DV27" s="86" t="str">
        <f aca="false" t="array" ref="DV27:DV27">IF(OR(DU13="",ЕТАЛОН_ПЛ="",IFERROR(INDEX(БАЗА_RO,2,IFERROR(MATCH(ЕТАЛОН_ПЛ,ПЛ_РЯДОК,0),0)),"")="",IFERROR(INDEX(БАЗА_RO,2,IFERROR(MATCH(ЕТАЛОН_ПЛ,ПЛ_РЯДОК,0),0)),"")=0),"",DU13/IFERROR(INDEX(БАЗА_RO,2,IFERROR(MATCH(ЕТАЛОН_ПЛ,ПЛ_РЯДОК,0),0)),"")-1)</f>
        <v/>
      </c>
      <c r="DW27" s="37" t="str">
        <f aca="false" t="array" ref="DW27:DW27">IF(OR(DW13="",ЕТАЛОН_ПЛ="",IFERROR(INDEX(БАЗА_RO,2,IFERROR(MATCH(ЕТАЛОН_ПЛ,ПЛ_РЯДОК,0),0)),"")=""),"",DW13-IFERROR(INDEX(БАЗА_RO,2,IFERROR(MATCH(ЕТАЛОН_ПЛ,ПЛ_РЯДОК,0),0)),""))</f>
        <v/>
      </c>
      <c r="DX27" s="86" t="str">
        <f aca="false" t="array" ref="DX27:DX27">IF(OR(DW13="",ЕТАЛОН_ПЛ="",IFERROR(INDEX(БАЗА_RO,2,IFERROR(MATCH(ЕТАЛОН_ПЛ,ПЛ_РЯДОК,0),0)),"")="",IFERROR(INDEX(БАЗА_RO,2,IFERROR(MATCH(ЕТАЛОН_ПЛ,ПЛ_РЯДОК,0),0)),"")=0),"",DW13/IFERROR(INDEX(БАЗА_RO,2,IFERROR(MATCH(ЕТАЛОН_ПЛ,ПЛ_РЯДОК,0),0)),"")-1)</f>
        <v/>
      </c>
    </row>
    <row r="28" customFormat="false" ht="15.75" hidden="false" customHeight="true" outlineLevel="0" collapsed="false">
      <c r="A28" s="6" t="s">
        <v>91</v>
      </c>
      <c r="B28" s="87"/>
      <c r="C28" s="87"/>
      <c r="D28" s="6"/>
      <c r="E28" s="88"/>
      <c r="F28" s="97" t="s">
        <v>92</v>
      </c>
      <c r="G28" s="4"/>
      <c r="H28" s="76" t="s">
        <v>65</v>
      </c>
      <c r="I28" s="37" t="n">
        <f aca="false" t="array" ref="I28:I28">IF(OR(I14="",ЕТАЛОН_ПЛ="",IFERROR(INDEX(БАЗА_RO,3,IFERROR(MATCH(ЕТАЛОН_ПЛ,ПЛ_РЯДОК,0),0)),"")=""),"",I14-IFERROR(INDEX(БАЗА_RO,3,IFERROR(MATCH(ЕТАЛОН_ПЛ,ПЛ_РЯДОК,0),0)),""))</f>
        <v>-1700</v>
      </c>
      <c r="J28" s="86" t="n">
        <f aca="false" t="array" ref="J28:J28">IF(OR(I14="",ЕТАЛОН_ПЛ="",IFERROR(INDEX(БАЗА_RO,3,IFERROR(MATCH(ЕТАЛОН_ПЛ,ПЛ_РЯДОК,0),0)),"")="",IFERROR(INDEX(БАЗА_RO,3,IFERROR(MATCH(ЕТАЛОН_ПЛ,ПЛ_РЯДОК,0),0)),"")=0),"",I14/IFERROR(INDEX(БАЗА_RO,3,IFERROR(MATCH(ЕТАЛОН_ПЛ,ПЛ_РЯДОК,0),0)),"")-1)</f>
        <v>-0.369565217391304</v>
      </c>
      <c r="K28" s="37" t="n">
        <f aca="false" t="array" ref="K28:K28">IF(OR(K14="",ЕТАЛОН_ПЛ="",IFERROR(INDEX(БАЗА_RO,3,IFERROR(MATCH(ЕТАЛОН_ПЛ,ПЛ_РЯДОК,0),0)),"")=""),"",K14-IFERROR(INDEX(БАЗА_RO,3,IFERROR(MATCH(ЕТАЛОН_ПЛ,ПЛ_РЯДОК,0),0)),""))</f>
        <v>-1215</v>
      </c>
      <c r="L28" s="86" t="n">
        <f aca="false" t="array" ref="L28:L28">IF(OR(K14="",ЕТАЛОН_ПЛ="",IFERROR(INDEX(БАЗА_RO,3,IFERROR(MATCH(ЕТАЛОН_ПЛ,ПЛ_РЯДОК,0),0)),"")="",IFERROR(INDEX(БАЗА_RO,3,IFERROR(MATCH(ЕТАЛОН_ПЛ,ПЛ_РЯДОК,0),0)),"")=0),"",K14/IFERROR(INDEX(БАЗА_RO,3,IFERROR(MATCH(ЕТАЛОН_ПЛ,ПЛ_РЯДОК,0),0)),"")-1)</f>
        <v>-0.264130434782609</v>
      </c>
      <c r="M28" s="37" t="n">
        <f aca="false" t="array" ref="M28:M28">IF(OR(M14="",ЕТАЛОН_ПЛ="",IFERROR(INDEX(БАЗА_RO,3,IFERROR(MATCH(ЕТАЛОН_ПЛ,ПЛ_РЯДОК,0),0)),"")=""),"",M14-IFERROR(INDEX(БАЗА_RO,3,IFERROR(MATCH(ЕТАЛОН_ПЛ,ПЛ_РЯДОК,0),0)),""))</f>
        <v>-2230</v>
      </c>
      <c r="N28" s="86" t="n">
        <f aca="false" t="array" ref="N28:N28">IF(OR(M14="",ЕТАЛОН_ПЛ="",IFERROR(INDEX(БАЗА_RO,3,IFERROR(MATCH(ЕТАЛОН_ПЛ,ПЛ_РЯДОК,0),0)),"")="",IFERROR(INDEX(БАЗА_RO,3,IFERROR(MATCH(ЕТАЛОН_ПЛ,ПЛ_РЯДОК,0),0)),"")=0),"",M14/IFERROR(INDEX(БАЗА_RO,3,IFERROR(MATCH(ЕТАЛОН_ПЛ,ПЛ_РЯДОК,0),0)),"")-1)</f>
        <v>-0.484782608695652</v>
      </c>
      <c r="O28" s="37" t="n">
        <f aca="false" t="array" ref="O28:O28">IF(OR(O14="",ЕТАЛОН_ПЛ="",IFERROR(INDEX(БАЗА_RO,3,IFERROR(MATCH(ЕТАЛОН_ПЛ,ПЛ_РЯДОК,0),0)),"")=""),"",O14-IFERROR(INDEX(БАЗА_RO,3,IFERROR(MATCH(ЕТАЛОН_ПЛ,ПЛ_РЯДОК,0),0)),""))</f>
        <v>-2061</v>
      </c>
      <c r="P28" s="86" t="n">
        <f aca="false" t="array" ref="P28:P28">IF(OR(O14="",ЕТАЛОН_ПЛ="",IFERROR(INDEX(БАЗА_RO,3,IFERROR(MATCH(ЕТАЛОН_ПЛ,ПЛ_РЯДОК,0),0)),"")="",IFERROR(INDEX(БАЗА_RO,3,IFERROR(MATCH(ЕТАЛОН_ПЛ,ПЛ_РЯДОК,0),0)),"")=0),"",O14/IFERROR(INDEX(БАЗА_RO,3,IFERROR(MATCH(ЕТАЛОН_ПЛ,ПЛ_РЯДОК,0),0)),"")-1)</f>
        <v>-0.44804347826087</v>
      </c>
      <c r="Q28" s="37" t="n">
        <f aca="false" t="array" ref="Q28:Q28">IF(OR(Q14="",ЕТАЛОН_ПЛ="",IFERROR(INDEX(БАЗА_RO,3,IFERROR(MATCH(ЕТАЛОН_ПЛ,ПЛ_РЯДОК,0),0)),"")=""),"",Q14-IFERROR(INDEX(БАЗА_RO,3,IFERROR(MATCH(ЕТАЛОН_ПЛ,ПЛ_РЯДОК,0),0)),""))</f>
        <v>-2000</v>
      </c>
      <c r="R28" s="86" t="n">
        <f aca="false" t="array" ref="R28:R28">IF(OR(Q14="",ЕТАЛОН_ПЛ="",IFERROR(INDEX(БАЗА_RO,3,IFERROR(MATCH(ЕТАЛОН_ПЛ,ПЛ_РЯДОК,0),0)),"")="",IFERROR(INDEX(БАЗА_RO,3,IFERROR(MATCH(ЕТАЛОН_ПЛ,ПЛ_РЯДОК,0),0)),"")=0),"",Q14/IFERROR(INDEX(БАЗА_RO,3,IFERROR(MATCH(ЕТАЛОН_ПЛ,ПЛ_РЯДОК,0),0)),"")-1)</f>
        <v>-0.434782608695652</v>
      </c>
      <c r="S28" s="37" t="str">
        <f aca="false" t="array" ref="S28:S28">IF(OR(S14="",ЕТАЛОН_ПЛ="",IFERROR(INDEX(БАЗА_RO,3,IFERROR(MATCH(ЕТАЛОН_ПЛ,ПЛ_РЯДОК,0),0)),"")=""),"",S14-IFERROR(INDEX(БАЗА_RO,3,IFERROR(MATCH(ЕТАЛОН_ПЛ,ПЛ_РЯДОК,0),0)),""))</f>
        <v/>
      </c>
      <c r="T28" s="86" t="str">
        <f aca="false" t="array" ref="T28:T28">IF(OR(S14="",ЕТАЛОН_ПЛ="",IFERROR(INDEX(БАЗА_RO,3,IFERROR(MATCH(ЕТАЛОН_ПЛ,ПЛ_РЯДОК,0),0)),"")="",IFERROR(INDEX(БАЗА_RO,3,IFERROR(MATCH(ЕТАЛОН_ПЛ,ПЛ_РЯДОК,0),0)),"")=0),"",S14/IFERROR(INDEX(БАЗА_RO,3,IFERROR(MATCH(ЕТАЛОН_ПЛ,ПЛ_РЯДОК,0),0)),"")-1)</f>
        <v/>
      </c>
      <c r="U28" s="37" t="n">
        <f aca="false" t="array" ref="U28:U28">IF(OR(U14="",ЕТАЛОН_ПЛ="",IFERROR(INDEX(БАЗА_RO,3,IFERROR(MATCH(ЕТАЛОН_ПЛ,ПЛ_РЯДОК,0),0)),"")=""),"",U14-IFERROR(INDEX(БАЗА_RO,3,IFERROR(MATCH(ЕТАЛОН_ПЛ,ПЛ_РЯДОК,0),0)),""))</f>
        <v>-1900</v>
      </c>
      <c r="V28" s="86" t="n">
        <f aca="false" t="array" ref="V28:V28">IF(OR(U14="",ЕТАЛОН_ПЛ="",IFERROR(INDEX(БАЗА_RO,3,IFERROR(MATCH(ЕТАЛОН_ПЛ,ПЛ_РЯДОК,0),0)),"")="",IFERROR(INDEX(БАЗА_RO,3,IFERROR(MATCH(ЕТАЛОН_ПЛ,ПЛ_РЯДОК,0),0)),"")=0),"",U14/IFERROR(INDEX(БАЗА_RO,3,IFERROR(MATCH(ЕТАЛОН_ПЛ,ПЛ_РЯДОК,0),0)),"")-1)</f>
        <v>-0.41304347826087</v>
      </c>
      <c r="W28" s="37" t="str">
        <f aca="false" t="array" ref="W28:W28">IF(OR(W14="",ЕТАЛОН_ПЛ="",IFERROR(INDEX(БАЗА_RO,3,IFERROR(MATCH(ЕТАЛОН_ПЛ,ПЛ_РЯДОК,0),0)),"")=""),"",W14-IFERROR(INDEX(БАЗА_RO,3,IFERROR(MATCH(ЕТАЛОН_ПЛ,ПЛ_РЯДОК,0),0)),""))</f>
        <v/>
      </c>
      <c r="X28" s="86" t="str">
        <f aca="false" t="array" ref="X28:X28">IF(OR(W14="",ЕТАЛОН_ПЛ="",IFERROR(INDEX(БАЗА_RO,3,IFERROR(MATCH(ЕТАЛОН_ПЛ,ПЛ_РЯДОК,0),0)),"")="",IFERROR(INDEX(БАЗА_RO,3,IFERROR(MATCH(ЕТАЛОН_ПЛ,ПЛ_РЯДОК,0),0)),"")=0),"",W14/IFERROR(INDEX(БАЗА_RO,3,IFERROR(MATCH(ЕТАЛОН_ПЛ,ПЛ_РЯДОК,0),0)),"")-1)</f>
        <v/>
      </c>
      <c r="Y28" s="37" t="str">
        <f aca="false" t="array" ref="Y28:Y28">IF(OR(Y14="",ЕТАЛОН_ПЛ="",IFERROR(INDEX(БАЗА_RO,3,IFERROR(MATCH(ЕТАЛОН_ПЛ,ПЛ_РЯДОК,0),0)),"")=""),"",Y14-IFERROR(INDEX(БАЗА_RO,3,IFERROR(MATCH(ЕТАЛОН_ПЛ,ПЛ_РЯДОК,0),0)),""))</f>
        <v/>
      </c>
      <c r="Z28" s="86" t="str">
        <f aca="false" t="array" ref="Z28:Z28">IF(OR(Y14="",ЕТАЛОН_ПЛ="",IFERROR(INDEX(БАЗА_RO,3,IFERROR(MATCH(ЕТАЛОН_ПЛ,ПЛ_РЯДОК,0),0)),"")="",IFERROR(INDEX(БАЗА_RO,3,IFERROR(MATCH(ЕТАЛОН_ПЛ,ПЛ_РЯДОК,0),0)),"")=0),"",Y14/IFERROR(INDEX(БАЗА_RO,3,IFERROR(MATCH(ЕТАЛОН_ПЛ,ПЛ_РЯДОК,0),0)),"")-1)</f>
        <v/>
      </c>
      <c r="AA28" s="37" t="str">
        <f aca="false" t="array" ref="AA28:AA28">IF(OR(AA14="",ЕТАЛОН_ПЛ="",IFERROR(INDEX(БАЗА_RO,3,IFERROR(MATCH(ЕТАЛОН_ПЛ,ПЛ_РЯДОК,0),0)),"")=""),"",AA14-IFERROR(INDEX(БАЗА_RO,3,IFERROR(MATCH(ЕТАЛОН_ПЛ,ПЛ_РЯДОК,0),0)),""))</f>
        <v/>
      </c>
      <c r="AB28" s="86" t="str">
        <f aca="false" t="array" ref="AB28:AB28">IF(OR(AA14="",ЕТАЛОН_ПЛ="",IFERROR(INDEX(БАЗА_RO,3,IFERROR(MATCH(ЕТАЛОН_ПЛ,ПЛ_РЯДОК,0),0)),"")="",IFERROR(INDEX(БАЗА_RO,3,IFERROR(MATCH(ЕТАЛОН_ПЛ,ПЛ_РЯДОК,0),0)),"")=0),"",AA14/IFERROR(INDEX(БАЗА_RO,3,IFERROR(MATCH(ЕТАЛОН_ПЛ,ПЛ_РЯДОК,0),0)),"")-1)</f>
        <v/>
      </c>
      <c r="AC28" s="37" t="str">
        <f aca="false" t="array" ref="AC28:AC28">IF(OR(AC14="",ЕТАЛОН_ПЛ="",IFERROR(INDEX(БАЗА_RO,3,IFERROR(MATCH(ЕТАЛОН_ПЛ,ПЛ_РЯДОК,0),0)),"")=""),"",AC14-IFERROR(INDEX(БАЗА_RO,3,IFERROR(MATCH(ЕТАЛОН_ПЛ,ПЛ_РЯДОК,0),0)),""))</f>
        <v/>
      </c>
      <c r="AD28" s="86" t="str">
        <f aca="false" t="array" ref="AD28:AD28">IF(OR(AC14="",ЕТАЛОН_ПЛ="",IFERROR(INDEX(БАЗА_RO,3,IFERROR(MATCH(ЕТАЛОН_ПЛ,ПЛ_РЯДОК,0),0)),"")="",IFERROR(INDEX(БАЗА_RO,3,IFERROR(MATCH(ЕТАЛОН_ПЛ,ПЛ_РЯДОК,0),0)),"")=0),"",AC14/IFERROR(INDEX(БАЗА_RO,3,IFERROR(MATCH(ЕТАЛОН_ПЛ,ПЛ_РЯДОК,0),0)),"")-1)</f>
        <v/>
      </c>
      <c r="AE28" s="37" t="str">
        <f aca="false" t="array" ref="AE28:AE28">IF(OR(AE14="",ЕТАЛОН_ПЛ="",IFERROR(INDEX(БАЗА_RO,3,IFERROR(MATCH(ЕТАЛОН_ПЛ,ПЛ_РЯДОК,0),0)),"")=""),"",AE14-IFERROR(INDEX(БАЗА_RO,3,IFERROR(MATCH(ЕТАЛОН_ПЛ,ПЛ_РЯДОК,0),0)),""))</f>
        <v/>
      </c>
      <c r="AF28" s="86" t="str">
        <f aca="false" t="array" ref="AF28:AF28">IF(OR(AE14="",ЕТАЛОН_ПЛ="",IFERROR(INDEX(БАЗА_RO,3,IFERROR(MATCH(ЕТАЛОН_ПЛ,ПЛ_РЯДОК,0),0)),"")="",IFERROR(INDEX(БАЗА_RO,3,IFERROR(MATCH(ЕТАЛОН_ПЛ,ПЛ_РЯДОК,0),0)),"")=0),"",AE14/IFERROR(INDEX(БАЗА_RO,3,IFERROR(MATCH(ЕТАЛОН_ПЛ,ПЛ_РЯДОК,0),0)),"")-1)</f>
        <v/>
      </c>
      <c r="AG28" s="37" t="str">
        <f aca="false" t="array" ref="AG28:AG28">IF(OR(AG14="",ЕТАЛОН_ПЛ="",IFERROR(INDEX(БАЗА_RO,3,IFERROR(MATCH(ЕТАЛОН_ПЛ,ПЛ_РЯДОК,0),0)),"")=""),"",AG14-IFERROR(INDEX(БАЗА_RO,3,IFERROR(MATCH(ЕТАЛОН_ПЛ,ПЛ_РЯДОК,0),0)),""))</f>
        <v/>
      </c>
      <c r="AH28" s="86" t="str">
        <f aca="false" t="array" ref="AH28:AH28">IF(OR(AG14="",ЕТАЛОН_ПЛ="",IFERROR(INDEX(БАЗА_RO,3,IFERROR(MATCH(ЕТАЛОН_ПЛ,ПЛ_РЯДОК,0),0)),"")="",IFERROR(INDEX(БАЗА_RO,3,IFERROR(MATCH(ЕТАЛОН_ПЛ,ПЛ_РЯДОК,0),0)),"")=0),"",AG14/IFERROR(INDEX(БАЗА_RO,3,IFERROR(MATCH(ЕТАЛОН_ПЛ,ПЛ_РЯДОК,0),0)),"")-1)</f>
        <v/>
      </c>
      <c r="AI28" s="37" t="str">
        <f aca="false" t="array" ref="AI28:AI28">IF(OR(AI14="",ЕТАЛОН_ПЛ="",IFERROR(INDEX(БАЗА_RO,3,IFERROR(MATCH(ЕТАЛОН_ПЛ,ПЛ_РЯДОК,0),0)),"")=""),"",AI14-IFERROR(INDEX(БАЗА_RO,3,IFERROR(MATCH(ЕТАЛОН_ПЛ,ПЛ_РЯДОК,0),0)),""))</f>
        <v/>
      </c>
      <c r="AJ28" s="86" t="str">
        <f aca="false" t="array" ref="AJ28:AJ28">IF(OR(AI14="",ЕТАЛОН_ПЛ="",IFERROR(INDEX(БАЗА_RO,3,IFERROR(MATCH(ЕТАЛОН_ПЛ,ПЛ_РЯДОК,0),0)),"")="",IFERROR(INDEX(БАЗА_RO,3,IFERROR(MATCH(ЕТАЛОН_ПЛ,ПЛ_РЯДОК,0),0)),"")=0),"",AI14/IFERROR(INDEX(БАЗА_RO,3,IFERROR(MATCH(ЕТАЛОН_ПЛ,ПЛ_РЯДОК,0),0)),"")-1)</f>
        <v/>
      </c>
      <c r="AK28" s="37" t="str">
        <f aca="false" t="array" ref="AK28:AK28">IF(OR(AK14="",ЕТАЛОН_ПЛ="",IFERROR(INDEX(БАЗА_RO,3,IFERROR(MATCH(ЕТАЛОН_ПЛ,ПЛ_РЯДОК,0),0)),"")=""),"",AK14-IFERROR(INDEX(БАЗА_RO,3,IFERROR(MATCH(ЕТАЛОН_ПЛ,ПЛ_РЯДОК,0),0)),""))</f>
        <v/>
      </c>
      <c r="AL28" s="86" t="str">
        <f aca="false" t="array" ref="AL28:AL28">IF(OR(AK14="",ЕТАЛОН_ПЛ="",IFERROR(INDEX(БАЗА_RO,3,IFERROR(MATCH(ЕТАЛОН_ПЛ,ПЛ_РЯДОК,0),0)),"")="",IFERROR(INDEX(БАЗА_RO,3,IFERROR(MATCH(ЕТАЛОН_ПЛ,ПЛ_РЯДОК,0),0)),"")=0),"",AK14/IFERROR(INDEX(БАЗА_RO,3,IFERROR(MATCH(ЕТАЛОН_ПЛ,ПЛ_РЯДОК,0),0)),"")-1)</f>
        <v/>
      </c>
      <c r="AM28" s="37" t="str">
        <f aca="false" t="array" ref="AM28:AM28">IF(OR(AM14="",ЕТАЛОН_ПЛ="",IFERROR(INDEX(БАЗА_RO,3,IFERROR(MATCH(ЕТАЛОН_ПЛ,ПЛ_РЯДОК,0),0)),"")=""),"",AM14-IFERROR(INDEX(БАЗА_RO,3,IFERROR(MATCH(ЕТАЛОН_ПЛ,ПЛ_РЯДОК,0),0)),""))</f>
        <v/>
      </c>
      <c r="AN28" s="86" t="str">
        <f aca="false" t="array" ref="AN28:AN28">IF(OR(AM14="",ЕТАЛОН_ПЛ="",IFERROR(INDEX(БАЗА_RO,3,IFERROR(MATCH(ЕТАЛОН_ПЛ,ПЛ_РЯДОК,0),0)),"")="",IFERROR(INDEX(БАЗА_RO,3,IFERROR(MATCH(ЕТАЛОН_ПЛ,ПЛ_РЯДОК,0),0)),"")=0),"",AM14/IFERROR(INDEX(БАЗА_RO,3,IFERROR(MATCH(ЕТАЛОН_ПЛ,ПЛ_РЯДОК,0),0)),"")-1)</f>
        <v/>
      </c>
      <c r="AO28" s="37" t="str">
        <f aca="false" t="array" ref="AO28:AO28">IF(OR(AO14="",ЕТАЛОН_ПЛ="",IFERROR(INDEX(БАЗА_RO,3,IFERROR(MATCH(ЕТАЛОН_ПЛ,ПЛ_РЯДОК,0),0)),"")=""),"",AO14-IFERROR(INDEX(БАЗА_RO,3,IFERROR(MATCH(ЕТАЛОН_ПЛ,ПЛ_РЯДОК,0),0)),""))</f>
        <v/>
      </c>
      <c r="AP28" s="86" t="str">
        <f aca="false" t="array" ref="AP28:AP28">IF(OR(AO14="",ЕТАЛОН_ПЛ="",IFERROR(INDEX(БАЗА_RO,3,IFERROR(MATCH(ЕТАЛОН_ПЛ,ПЛ_РЯДОК,0),0)),"")="",IFERROR(INDEX(БАЗА_RO,3,IFERROR(MATCH(ЕТАЛОН_ПЛ,ПЛ_РЯДОК,0),0)),"")=0),"",AO14/IFERROR(INDEX(БАЗА_RO,3,IFERROR(MATCH(ЕТАЛОН_ПЛ,ПЛ_РЯДОК,0),0)),"")-1)</f>
        <v/>
      </c>
      <c r="AQ28" s="37" t="str">
        <f aca="false" t="array" ref="AQ28:AQ28">IF(OR(AQ14="",ЕТАЛОН_ПЛ="",IFERROR(INDEX(БАЗА_RO,3,IFERROR(MATCH(ЕТАЛОН_ПЛ,ПЛ_РЯДОК,0),0)),"")=""),"",AQ14-IFERROR(INDEX(БАЗА_RO,3,IFERROR(MATCH(ЕТАЛОН_ПЛ,ПЛ_РЯДОК,0),0)),""))</f>
        <v/>
      </c>
      <c r="AR28" s="86" t="str">
        <f aca="false" t="array" ref="AR28:AR28">IF(OR(AQ14="",ЕТАЛОН_ПЛ="",IFERROR(INDEX(БАЗА_RO,3,IFERROR(MATCH(ЕТАЛОН_ПЛ,ПЛ_РЯДОК,0),0)),"")="",IFERROR(INDEX(БАЗА_RO,3,IFERROR(MATCH(ЕТАЛОН_ПЛ,ПЛ_РЯДОК,0),0)),"")=0),"",AQ14/IFERROR(INDEX(БАЗА_RO,3,IFERROR(MATCH(ЕТАЛОН_ПЛ,ПЛ_РЯДОК,0),0)),"")-1)</f>
        <v/>
      </c>
      <c r="AS28" s="37" t="str">
        <f aca="false" t="array" ref="AS28:AS28">IF(OR(AS14="",ЕТАЛОН_ПЛ="",IFERROR(INDEX(БАЗА_RO,3,IFERROR(MATCH(ЕТАЛОН_ПЛ,ПЛ_РЯДОК,0),0)),"")=""),"",AS14-IFERROR(INDEX(БАЗА_RO,3,IFERROR(MATCH(ЕТАЛОН_ПЛ,ПЛ_РЯДОК,0),0)),""))</f>
        <v/>
      </c>
      <c r="AT28" s="86" t="str">
        <f aca="false" t="array" ref="AT28:AT28">IF(OR(AS14="",ЕТАЛОН_ПЛ="",IFERROR(INDEX(БАЗА_RO,3,IFERROR(MATCH(ЕТАЛОН_ПЛ,ПЛ_РЯДОК,0),0)),"")="",IFERROR(INDEX(БАЗА_RO,3,IFERROR(MATCH(ЕТАЛОН_ПЛ,ПЛ_РЯДОК,0),0)),"")=0),"",AS14/IFERROR(INDEX(БАЗА_RO,3,IFERROR(MATCH(ЕТАЛОН_ПЛ,ПЛ_РЯДОК,0),0)),"")-1)</f>
        <v/>
      </c>
      <c r="AU28" s="37" t="str">
        <f aca="false" t="array" ref="AU28:AU28">IF(OR(AU14="",ЕТАЛОН_ПЛ="",IFERROR(INDEX(БАЗА_RO,3,IFERROR(MATCH(ЕТАЛОН_ПЛ,ПЛ_РЯДОК,0),0)),"")=""),"",AU14-IFERROR(INDEX(БАЗА_RO,3,IFERROR(MATCH(ЕТАЛОН_ПЛ,ПЛ_РЯДОК,0),0)),""))</f>
        <v/>
      </c>
      <c r="AV28" s="86" t="str">
        <f aca="false" t="array" ref="AV28:AV28">IF(OR(AU14="",ЕТАЛОН_ПЛ="",IFERROR(INDEX(БАЗА_RO,3,IFERROR(MATCH(ЕТАЛОН_ПЛ,ПЛ_РЯДОК,0),0)),"")="",IFERROR(INDEX(БАЗА_RO,3,IFERROR(MATCH(ЕТАЛОН_ПЛ,ПЛ_РЯДОК,0),0)),"")=0),"",AU14/IFERROR(INDEX(БАЗА_RO,3,IFERROR(MATCH(ЕТАЛОН_ПЛ,ПЛ_РЯДОК,0),0)),"")-1)</f>
        <v/>
      </c>
      <c r="AW28" s="37" t="n">
        <f aca="false" t="array" ref="AW28:AW28">IF(OR(AW14="",ЕТАЛОН_ПЛ="",IFERROR(INDEX(БАЗА_RO,3,IFERROR(MATCH(ЕТАЛОН_ПЛ,ПЛ_РЯДОК,0),0)),"")=""),"",AW14-IFERROR(INDEX(БАЗА_RO,3,IFERROR(MATCH(ЕТАЛОН_ПЛ,ПЛ_РЯДОК,0),0)),""))</f>
        <v>-1700</v>
      </c>
      <c r="AX28" s="86" t="n">
        <f aca="false" t="array" ref="AX28:AX28">IF(OR(AW14="",ЕТАЛОН_ПЛ="",IFERROR(INDEX(БАЗА_RO,3,IFERROR(MATCH(ЕТАЛОН_ПЛ,ПЛ_РЯДОК,0),0)),"")="",IFERROR(INDEX(БАЗА_RO,3,IFERROR(MATCH(ЕТАЛОН_ПЛ,ПЛ_РЯДОК,0),0)),"")=0),"",AW14/IFERROR(INDEX(БАЗА_RO,3,IFERROR(MATCH(ЕТАЛОН_ПЛ,ПЛ_РЯДОК,0),0)),"")-1)</f>
        <v>-0.369565217391304</v>
      </c>
      <c r="AY28" s="37" t="n">
        <f aca="false" t="array" ref="AY28:AY28">IF(OR(AY14="",ЕТАЛОН_ПЛ="",IFERROR(INDEX(БАЗА_RO,3,IFERROR(MATCH(ЕТАЛОН_ПЛ,ПЛ_РЯДОК,0),0)),"")=""),"",AY14-IFERROR(INDEX(БАЗА_RO,3,IFERROR(MATCH(ЕТАЛОН_ПЛ,ПЛ_РЯДОК,0),0)),""))</f>
        <v>-1300</v>
      </c>
      <c r="AZ28" s="86" t="n">
        <f aca="false" t="array" ref="AZ28:AZ28">IF(OR(AY14="",ЕТАЛОН_ПЛ="",IFERROR(INDEX(БАЗА_RO,3,IFERROR(MATCH(ЕТАЛОН_ПЛ,ПЛ_РЯДОК,0),0)),"")="",IFERROR(INDEX(БАЗА_RO,3,IFERROR(MATCH(ЕТАЛОН_ПЛ,ПЛ_РЯДОК,0),0)),"")=0),"",AY14/IFERROR(INDEX(БАЗА_RO,3,IFERROR(MATCH(ЕТАЛОН_ПЛ,ПЛ_РЯДОК,0),0)),"")-1)</f>
        <v>-0.282608695652174</v>
      </c>
      <c r="BA28" s="37" t="n">
        <f aca="false" t="array" ref="BA28:BA28">IF(OR(BA14="",ЕТАЛОН_ПЛ="",IFERROR(INDEX(БАЗА_RO,3,IFERROR(MATCH(ЕТАЛОН_ПЛ,ПЛ_РЯДОК,0),0)),"")=""),"",BA14-IFERROR(INDEX(БАЗА_RO,3,IFERROR(MATCH(ЕТАЛОН_ПЛ,ПЛ_РЯДОК,0),0)),""))</f>
        <v>-505</v>
      </c>
      <c r="BB28" s="86" t="n">
        <f aca="false" t="array" ref="BB28:BB28">IF(OR(BA14="",ЕТАЛОН_ПЛ="",IFERROR(INDEX(БАЗА_RO,3,IFERROR(MATCH(ЕТАЛОН_ПЛ,ПЛ_РЯДОК,0),0)),"")="",IFERROR(INDEX(БАЗА_RO,3,IFERROR(MATCH(ЕТАЛОН_ПЛ,ПЛ_РЯДОК,0),0)),"")=0),"",BA14/IFERROR(INDEX(БАЗА_RO,3,IFERROR(MATCH(ЕТАЛОН_ПЛ,ПЛ_РЯДОК,0),0)),"")-1)</f>
        <v>-0.109782608695652</v>
      </c>
      <c r="BC28" s="37" t="n">
        <f aca="false" t="array" ref="BC28:BC28">IF(OR(BC14="",ЕТАЛОН_ПЛ="",IFERROR(INDEX(БАЗА_RO,3,IFERROR(MATCH(ЕТАЛОН_ПЛ,ПЛ_РЯДОК,0),0)),"")=""),"",BC14-IFERROR(INDEX(БАЗА_RO,3,IFERROR(MATCH(ЕТАЛОН_ПЛ,ПЛ_РЯДОК,0),0)),""))</f>
        <v>2800</v>
      </c>
      <c r="BD28" s="86" t="n">
        <f aca="false" t="array" ref="BD28:BD28">IF(OR(BC14="",ЕТАЛОН_ПЛ="",IFERROR(INDEX(БАЗА_RO,3,IFERROR(MATCH(ЕТАЛОН_ПЛ,ПЛ_РЯДОК,0),0)),"")="",IFERROR(INDEX(БАЗА_RO,3,IFERROR(MATCH(ЕТАЛОН_ПЛ,ПЛ_РЯДОК,0),0)),"")=0),"",BC14/IFERROR(INDEX(БАЗА_RO,3,IFERROR(MATCH(ЕТАЛОН_ПЛ,ПЛ_РЯДОК,0),0)),"")-1)</f>
        <v>0.608695652173913</v>
      </c>
      <c r="BE28" s="37" t="n">
        <f aca="false" t="array" ref="BE28:BE28">IF(OR(BE14="",ЕТАЛОН_ПЛ="",IFERROR(INDEX(БАЗА_RO,3,IFERROR(MATCH(ЕТАЛОН_ПЛ,ПЛ_РЯДОК,0),0)),"")=""),"",BE14-IFERROR(INDEX(БАЗА_RO,3,IFERROR(MATCH(ЕТАЛОН_ПЛ,ПЛ_РЯДОК,0),0)),""))</f>
        <v>-1300</v>
      </c>
      <c r="BF28" s="86" t="n">
        <f aca="false" t="array" ref="BF28:BF28">IF(OR(BE14="",ЕТАЛОН_ПЛ="",IFERROR(INDEX(БАЗА_RO,3,IFERROR(MATCH(ЕТАЛОН_ПЛ,ПЛ_РЯДОК,0),0)),"")="",IFERROR(INDEX(БАЗА_RO,3,IFERROR(MATCH(ЕТАЛОН_ПЛ,ПЛ_РЯДОК,0),0)),"")=0),"",BE14/IFERROR(INDEX(БАЗА_RO,3,IFERROR(MATCH(ЕТАЛОН_ПЛ,ПЛ_РЯДОК,0),0)),"")-1)</f>
        <v>-0.282608695652174</v>
      </c>
      <c r="BG28" s="37" t="n">
        <f aca="false" t="array" ref="BG28:BG28">IF(OR(BG14="",ЕТАЛОН_ПЛ="",IFERROR(INDEX(БАЗА_RO,3,IFERROR(MATCH(ЕТАЛОН_ПЛ,ПЛ_РЯДОК,0),0)),"")=""),"",BG14-IFERROR(INDEX(БАЗА_RO,3,IFERROR(MATCH(ЕТАЛОН_ПЛ,ПЛ_РЯДОК,0),0)),""))</f>
        <v>-800</v>
      </c>
      <c r="BH28" s="86" t="n">
        <f aca="false" t="array" ref="BH28:BH28">IF(OR(BG14="",ЕТАЛОН_ПЛ="",IFERROR(INDEX(БАЗА_RO,3,IFERROR(MATCH(ЕТАЛОН_ПЛ,ПЛ_РЯДОК,0),0)),"")="",IFERROR(INDEX(БАЗА_RO,3,IFERROR(MATCH(ЕТАЛОН_ПЛ,ПЛ_РЯДОК,0),0)),"")=0),"",BG14/IFERROR(INDEX(БАЗА_RO,3,IFERROR(MATCH(ЕТАЛОН_ПЛ,ПЛ_РЯДОК,0),0)),"")-1)</f>
        <v>-0.173913043478261</v>
      </c>
      <c r="BI28" s="37" t="n">
        <f aca="false" t="array" ref="BI28:BI28">IF(OR(BI14="",ЕТАЛОН_ПЛ="",IFERROR(INDEX(БАЗА_RO,3,IFERROR(MATCH(ЕТАЛОН_ПЛ,ПЛ_РЯДОК,0),0)),"")=""),"",BI14-IFERROR(INDEX(БАЗА_RO,3,IFERROR(MATCH(ЕТАЛОН_ПЛ,ПЛ_РЯДОК,0),0)),""))</f>
        <v>0</v>
      </c>
      <c r="BJ28" s="86" t="n">
        <f aca="false" t="array" ref="BJ28:BJ28">IF(OR(BI14="",ЕТАЛОН_ПЛ="",IFERROR(INDEX(БАЗА_RO,3,IFERROR(MATCH(ЕТАЛОН_ПЛ,ПЛ_РЯДОК,0),0)),"")="",IFERROR(INDEX(БАЗА_RO,3,IFERROR(MATCH(ЕТАЛОН_ПЛ,ПЛ_РЯДОК,0),0)),"")=0),"",BI14/IFERROR(INDEX(БАЗА_RO,3,IFERROR(MATCH(ЕТАЛОН_ПЛ,ПЛ_РЯДОК,0),0)),"")-1)</f>
        <v>0</v>
      </c>
      <c r="BK28" s="37" t="n">
        <f aca="false" t="array" ref="BK28:BK28">IF(OR(BK14="",ЕТАЛОН_ПЛ="",IFERROR(INDEX(БАЗА_RO,3,IFERROR(MATCH(ЕТАЛОН_ПЛ,ПЛ_РЯДОК,0),0)),"")=""),"",BK14-IFERROR(INDEX(БАЗА_RO,3,IFERROR(MATCH(ЕТАЛОН_ПЛ,ПЛ_РЯДОК,0),0)),""))</f>
        <v>3600</v>
      </c>
      <c r="BL28" s="86" t="n">
        <f aca="false" t="array" ref="BL28:BL28">IF(OR(BK14="",ЕТАЛОН_ПЛ="",IFERROR(INDEX(БАЗА_RO,3,IFERROR(MATCH(ЕТАЛОН_ПЛ,ПЛ_РЯДОК,0),0)),"")="",IFERROR(INDEX(БАЗА_RO,3,IFERROR(MATCH(ЕТАЛОН_ПЛ,ПЛ_РЯДОК,0),0)),"")=0),"",BK14/IFERROR(INDEX(БАЗА_RO,3,IFERROR(MATCH(ЕТАЛОН_ПЛ,ПЛ_РЯДОК,0),0)),"")-1)</f>
        <v>0.782608695652174</v>
      </c>
      <c r="BM28" s="37" t="str">
        <f aca="false" t="array" ref="BM28:BM28">IF(OR(BM14="",ЕТАЛОН_ПЛ="",IFERROR(INDEX(БАЗА_RO,3,IFERROR(MATCH(ЕТАЛОН_ПЛ,ПЛ_РЯДОК,0),0)),"")=""),"",BM14-IFERROR(INDEX(БАЗА_RO,3,IFERROR(MATCH(ЕТАЛОН_ПЛ,ПЛ_РЯДОК,0),0)),""))</f>
        <v/>
      </c>
      <c r="BN28" s="86" t="str">
        <f aca="false" t="array" ref="BN28:BN28">IF(OR(BM14="",ЕТАЛОН_ПЛ="",IFERROR(INDEX(БАЗА_RO,3,IFERROR(MATCH(ЕТАЛОН_ПЛ,ПЛ_РЯДОК,0),0)),"")="",IFERROR(INDEX(БАЗА_RO,3,IFERROR(MATCH(ЕТАЛОН_ПЛ,ПЛ_РЯДОК,0),0)),"")=0),"",BM14/IFERROR(INDEX(БАЗА_RO,3,IFERROR(MATCH(ЕТАЛОН_ПЛ,ПЛ_РЯДОК,0),0)),"")-1)</f>
        <v/>
      </c>
      <c r="BO28" s="37" t="str">
        <f aca="false" t="array" ref="BO28:BO28">IF(OR(BO14="",ЕТАЛОН_ПЛ="",IFERROR(INDEX(БАЗА_RO,3,IFERROR(MATCH(ЕТАЛОН_ПЛ,ПЛ_РЯДОК,0),0)),"")=""),"",BO14-IFERROR(INDEX(БАЗА_RO,3,IFERROR(MATCH(ЕТАЛОН_ПЛ,ПЛ_РЯДОК,0),0)),""))</f>
        <v/>
      </c>
      <c r="BP28" s="86" t="str">
        <f aca="false" t="array" ref="BP28:BP28">IF(OR(BO14="",ЕТАЛОН_ПЛ="",IFERROR(INDEX(БАЗА_RO,3,IFERROR(MATCH(ЕТАЛОН_ПЛ,ПЛ_РЯДОК,0),0)),"")="",IFERROR(INDEX(БАЗА_RO,3,IFERROR(MATCH(ЕТАЛОН_ПЛ,ПЛ_РЯДОК,0),0)),"")=0),"",BO14/IFERROR(INDEX(БАЗА_RO,3,IFERROR(MATCH(ЕТАЛОН_ПЛ,ПЛ_РЯДОК,0),0)),"")-1)</f>
        <v/>
      </c>
      <c r="BQ28" s="37" t="str">
        <f aca="false" t="array" ref="BQ28:BQ28">IF(OR(BQ14="",ЕТАЛОН_ПЛ="",IFERROR(INDEX(БАЗА_RO,3,IFERROR(MATCH(ЕТАЛОН_ПЛ,ПЛ_РЯДОК,0),0)),"")=""),"",BQ14-IFERROR(INDEX(БАЗА_RO,3,IFERROR(MATCH(ЕТАЛОН_ПЛ,ПЛ_РЯДОК,0),0)),""))</f>
        <v/>
      </c>
      <c r="BR28" s="86" t="str">
        <f aca="false" t="array" ref="BR28:BR28">IF(OR(BQ14="",ЕТАЛОН_ПЛ="",IFERROR(INDEX(БАЗА_RO,3,IFERROR(MATCH(ЕТАЛОН_ПЛ,ПЛ_РЯДОК,0),0)),"")="",IFERROR(INDEX(БАЗА_RO,3,IFERROR(MATCH(ЕТАЛОН_ПЛ,ПЛ_РЯДОК,0),0)),"")=0),"",BQ14/IFERROR(INDEX(БАЗА_RO,3,IFERROR(MATCH(ЕТАЛОН_ПЛ,ПЛ_РЯДОК,0),0)),"")-1)</f>
        <v/>
      </c>
      <c r="BS28" s="37" t="str">
        <f aca="false" t="array" ref="BS28:BS28">IF(OR(BS14="",ЕТАЛОН_ПЛ="",IFERROR(INDEX(БАЗА_RO,3,IFERROR(MATCH(ЕТАЛОН_ПЛ,ПЛ_РЯДОК,0),0)),"")=""),"",BS14-IFERROR(INDEX(БАЗА_RO,3,IFERROR(MATCH(ЕТАЛОН_ПЛ,ПЛ_РЯДОК,0),0)),""))</f>
        <v/>
      </c>
      <c r="BT28" s="86" t="str">
        <f aca="false" t="array" ref="BT28:BT28">IF(OR(BS14="",ЕТАЛОН_ПЛ="",IFERROR(INDEX(БАЗА_RO,3,IFERROR(MATCH(ЕТАЛОН_ПЛ,ПЛ_РЯДОК,0),0)),"")="",IFERROR(INDEX(БАЗА_RO,3,IFERROR(MATCH(ЕТАЛОН_ПЛ,ПЛ_РЯДОК,0),0)),"")=0),"",BS14/IFERROR(INDEX(БАЗА_RO,3,IFERROR(MATCH(ЕТАЛОН_ПЛ,ПЛ_РЯДОК,0),0)),"")-1)</f>
        <v/>
      </c>
      <c r="BU28" s="37" t="str">
        <f aca="false" t="array" ref="BU28:BU28">IF(OR(BU14="",ЕТАЛОН_ПЛ="",IFERROR(INDEX(БАЗА_RO,3,IFERROR(MATCH(ЕТАЛОН_ПЛ,ПЛ_РЯДОК,0),0)),"")=""),"",BU14-IFERROR(INDEX(БАЗА_RO,3,IFERROR(MATCH(ЕТАЛОН_ПЛ,ПЛ_РЯДОК,0),0)),""))</f>
        <v/>
      </c>
      <c r="BV28" s="86" t="str">
        <f aca="false" t="array" ref="BV28:BV28">IF(OR(BU14="",ЕТАЛОН_ПЛ="",IFERROR(INDEX(БАЗА_RO,3,IFERROR(MATCH(ЕТАЛОН_ПЛ,ПЛ_РЯДОК,0),0)),"")="",IFERROR(INDEX(БАЗА_RO,3,IFERROR(MATCH(ЕТАЛОН_ПЛ,ПЛ_РЯДОК,0),0)),"")=0),"",BU14/IFERROR(INDEX(БАЗА_RO,3,IFERROR(MATCH(ЕТАЛОН_ПЛ,ПЛ_РЯДОК,0),0)),"")-1)</f>
        <v/>
      </c>
      <c r="BW28" s="37" t="str">
        <f aca="false" t="array" ref="BW28:BW28">IF(OR(BW14="",ЕТАЛОН_ПЛ="",IFERROR(INDEX(БАЗА_RO,3,IFERROR(MATCH(ЕТАЛОН_ПЛ,ПЛ_РЯДОК,0),0)),"")=""),"",BW14-IFERROR(INDEX(БАЗА_RO,3,IFERROR(MATCH(ЕТАЛОН_ПЛ,ПЛ_РЯДОК,0),0)),""))</f>
        <v/>
      </c>
      <c r="BX28" s="86" t="str">
        <f aca="false" t="array" ref="BX28:BX28">IF(OR(BW14="",ЕТАЛОН_ПЛ="",IFERROR(INDEX(БАЗА_RO,3,IFERROR(MATCH(ЕТАЛОН_ПЛ,ПЛ_РЯДОК,0),0)),"")="",IFERROR(INDEX(БАЗА_RO,3,IFERROR(MATCH(ЕТАЛОН_ПЛ,ПЛ_РЯДОК,0),0)),"")=0),"",BW14/IFERROR(INDEX(БАЗА_RO,3,IFERROR(MATCH(ЕТАЛОН_ПЛ,ПЛ_РЯДОК,0),0)),"")-1)</f>
        <v/>
      </c>
      <c r="BY28" s="37" t="str">
        <f aca="false" t="array" ref="BY28:BY28">IF(OR(BY14="",ЕТАЛОН_ПЛ="",IFERROR(INDEX(БАЗА_RO,3,IFERROR(MATCH(ЕТАЛОН_ПЛ,ПЛ_РЯДОК,0),0)),"")=""),"",BY14-IFERROR(INDEX(БАЗА_RO,3,IFERROR(MATCH(ЕТАЛОН_ПЛ,ПЛ_РЯДОК,0),0)),""))</f>
        <v/>
      </c>
      <c r="BZ28" s="86" t="str">
        <f aca="false" t="array" ref="BZ28:BZ28">IF(OR(BY14="",ЕТАЛОН_ПЛ="",IFERROR(INDEX(БАЗА_RO,3,IFERROR(MATCH(ЕТАЛОН_ПЛ,ПЛ_РЯДОК,0),0)),"")="",IFERROR(INDEX(БАЗА_RO,3,IFERROR(MATCH(ЕТАЛОН_ПЛ,ПЛ_РЯДОК,0),0)),"")=0),"",BY14/IFERROR(INDEX(БАЗА_RO,3,IFERROR(MATCH(ЕТАЛОН_ПЛ,ПЛ_РЯДОК,0),0)),"")-1)</f>
        <v/>
      </c>
      <c r="CA28" s="37" t="str">
        <f aca="false" t="array" ref="CA28:CA28">IF(OR(CA14="",ЕТАЛОН_ПЛ="",IFERROR(INDEX(БАЗА_RO,3,IFERROR(MATCH(ЕТАЛОН_ПЛ,ПЛ_РЯДОК,0),0)),"")=""),"",CA14-IFERROR(INDEX(БАЗА_RO,3,IFERROR(MATCH(ЕТАЛОН_ПЛ,ПЛ_РЯДОК,0),0)),""))</f>
        <v/>
      </c>
      <c r="CB28" s="86" t="str">
        <f aca="false" t="array" ref="CB28:CB28">IF(OR(CA14="",ЕТАЛОН_ПЛ="",IFERROR(INDEX(БАЗА_RO,3,IFERROR(MATCH(ЕТАЛОН_ПЛ,ПЛ_РЯДОК,0),0)),"")="",IFERROR(INDEX(БАЗА_RO,3,IFERROR(MATCH(ЕТАЛОН_ПЛ,ПЛ_РЯДОК,0),0)),"")=0),"",CA14/IFERROR(INDEX(БАЗА_RO,3,IFERROR(MATCH(ЕТАЛОН_ПЛ,ПЛ_РЯДОК,0),0)),"")-1)</f>
        <v/>
      </c>
      <c r="CC28" s="37" t="str">
        <f aca="false" t="array" ref="CC28:CC28">IF(OR(CC14="",ЕТАЛОН_ПЛ="",IFERROR(INDEX(БАЗА_RO,3,IFERROR(MATCH(ЕТАЛОН_ПЛ,ПЛ_РЯДОК,0),0)),"")=""),"",CC14-IFERROR(INDEX(БАЗА_RO,3,IFERROR(MATCH(ЕТАЛОН_ПЛ,ПЛ_РЯДОК,0),0)),""))</f>
        <v/>
      </c>
      <c r="CD28" s="86" t="str">
        <f aca="false" t="array" ref="CD28:CD28">IF(OR(CC14="",ЕТАЛОН_ПЛ="",IFERROR(INDEX(БАЗА_RO,3,IFERROR(MATCH(ЕТАЛОН_ПЛ,ПЛ_РЯДОК,0),0)),"")="",IFERROR(INDEX(БАЗА_RO,3,IFERROR(MATCH(ЕТАЛОН_ПЛ,ПЛ_РЯДОК,0),0)),"")=0),"",CC14/IFERROR(INDEX(БАЗА_RO,3,IFERROR(MATCH(ЕТАЛОН_ПЛ,ПЛ_РЯДОК,0),0)),"")-1)</f>
        <v/>
      </c>
      <c r="CE28" s="37" t="str">
        <f aca="false" t="array" ref="CE28:CE28">IF(OR(CE14="",ЕТАЛОН_ПЛ="",IFERROR(INDEX(БАЗА_RO,3,IFERROR(MATCH(ЕТАЛОН_ПЛ,ПЛ_РЯДОК,0),0)),"")=""),"",CE14-IFERROR(INDEX(БАЗА_RO,3,IFERROR(MATCH(ЕТАЛОН_ПЛ,ПЛ_РЯДОК,0),0)),""))</f>
        <v/>
      </c>
      <c r="CF28" s="86" t="str">
        <f aca="false" t="array" ref="CF28:CF28">IF(OR(CE14="",ЕТАЛОН_ПЛ="",IFERROR(INDEX(БАЗА_RO,3,IFERROR(MATCH(ЕТАЛОН_ПЛ,ПЛ_РЯДОК,0),0)),"")="",IFERROR(INDEX(БАЗА_RO,3,IFERROR(MATCH(ЕТАЛОН_ПЛ,ПЛ_РЯДОК,0),0)),"")=0),"",CE14/IFERROR(INDEX(БАЗА_RO,3,IFERROR(MATCH(ЕТАЛОН_ПЛ,ПЛ_РЯДОК,0),0)),"")-1)</f>
        <v/>
      </c>
      <c r="CG28" s="37" t="str">
        <f aca="false" t="array" ref="CG28:CG28">IF(OR(CG14="",ЕТАЛОН_ПЛ="",IFERROR(INDEX(БАЗА_RO,3,IFERROR(MATCH(ЕТАЛОН_ПЛ,ПЛ_РЯДОК,0),0)),"")=""),"",CG14-IFERROR(INDEX(БАЗА_RO,3,IFERROR(MATCH(ЕТАЛОН_ПЛ,ПЛ_РЯДОК,0),0)),""))</f>
        <v/>
      </c>
      <c r="CH28" s="86" t="str">
        <f aca="false" t="array" ref="CH28:CH28">IF(OR(CG14="",ЕТАЛОН_ПЛ="",IFERROR(INDEX(БАЗА_RO,3,IFERROR(MATCH(ЕТАЛОН_ПЛ,ПЛ_РЯДОК,0),0)),"")="",IFERROR(INDEX(БАЗА_RO,3,IFERROR(MATCH(ЕТАЛОН_ПЛ,ПЛ_РЯДОК,0),0)),"")=0),"",CG14/IFERROR(INDEX(БАЗА_RO,3,IFERROR(MATCH(ЕТАЛОН_ПЛ,ПЛ_РЯДОК,0),0)),"")-1)</f>
        <v/>
      </c>
      <c r="CI28" s="37" t="str">
        <f aca="false" t="array" ref="CI28:CI28">IF(OR(CI14="",ЕТАЛОН_ПЛ="",IFERROR(INDEX(БАЗА_RO,3,IFERROR(MATCH(ЕТАЛОН_ПЛ,ПЛ_РЯДОК,0),0)),"")=""),"",CI14-IFERROR(INDEX(БАЗА_RO,3,IFERROR(MATCH(ЕТАЛОН_ПЛ,ПЛ_РЯДОК,0),0)),""))</f>
        <v/>
      </c>
      <c r="CJ28" s="86" t="str">
        <f aca="false" t="array" ref="CJ28:CJ28">IF(OR(CI14="",ЕТАЛОН_ПЛ="",IFERROR(INDEX(БАЗА_RO,3,IFERROR(MATCH(ЕТАЛОН_ПЛ,ПЛ_РЯДОК,0),0)),"")="",IFERROR(INDEX(БАЗА_RO,3,IFERROR(MATCH(ЕТАЛОН_ПЛ,ПЛ_РЯДОК,0),0)),"")=0),"",CI14/IFERROR(INDEX(БАЗА_RO,3,IFERROR(MATCH(ЕТАЛОН_ПЛ,ПЛ_РЯДОК,0),0)),"")-1)</f>
        <v/>
      </c>
      <c r="CK28" s="37" t="str">
        <f aca="false" t="array" ref="CK28:CK28">IF(OR(CK14="",ЕТАЛОН_ПЛ="",IFERROR(INDEX(БАЗА_RO,3,IFERROR(MATCH(ЕТАЛОН_ПЛ,ПЛ_РЯДОК,0),0)),"")=""),"",CK14-IFERROR(INDEX(БАЗА_RO,3,IFERROR(MATCH(ЕТАЛОН_ПЛ,ПЛ_РЯДОК,0),0)),""))</f>
        <v/>
      </c>
      <c r="CL28" s="86" t="str">
        <f aca="false" t="array" ref="CL28:CL28">IF(OR(CK14="",ЕТАЛОН_ПЛ="",IFERROR(INDEX(БАЗА_RO,3,IFERROR(MATCH(ЕТАЛОН_ПЛ,ПЛ_РЯДОК,0),0)),"")="",IFERROR(INDEX(БАЗА_RO,3,IFERROR(MATCH(ЕТАЛОН_ПЛ,ПЛ_РЯДОК,0),0)),"")=0),"",CK14/IFERROR(INDEX(БАЗА_RO,3,IFERROR(MATCH(ЕТАЛОН_ПЛ,ПЛ_РЯДОК,0),0)),"")-1)</f>
        <v/>
      </c>
      <c r="CM28" s="37" t="str">
        <f aca="false" t="array" ref="CM28:CM28">IF(OR(CM14="",ЕТАЛОН_ПЛ="",IFERROR(INDEX(БАЗА_RO,3,IFERROR(MATCH(ЕТАЛОН_ПЛ,ПЛ_РЯДОК,0),0)),"")=""),"",CM14-IFERROR(INDEX(БАЗА_RO,3,IFERROR(MATCH(ЕТАЛОН_ПЛ,ПЛ_РЯДОК,0),0)),""))</f>
        <v/>
      </c>
      <c r="CN28" s="86" t="str">
        <f aca="false" t="array" ref="CN28:CN28">IF(OR(CM14="",ЕТАЛОН_ПЛ="",IFERROR(INDEX(БАЗА_RO,3,IFERROR(MATCH(ЕТАЛОН_ПЛ,ПЛ_РЯДОК,0),0)),"")="",IFERROR(INDEX(БАЗА_RO,3,IFERROR(MATCH(ЕТАЛОН_ПЛ,ПЛ_РЯДОК,0),0)),"")=0),"",CM14/IFERROR(INDEX(БАЗА_RO,3,IFERROR(MATCH(ЕТАЛОН_ПЛ,ПЛ_РЯДОК,0),0)),"")-1)</f>
        <v/>
      </c>
      <c r="CO28" s="37" t="str">
        <f aca="false" t="array" ref="CO28:CO28">IF(OR(CO14="",ЕТАЛОН_ПЛ="",IFERROR(INDEX(БАЗА_RO,3,IFERROR(MATCH(ЕТАЛОН_ПЛ,ПЛ_РЯДОК,0),0)),"")=""),"",CO14-IFERROR(INDEX(БАЗА_RO,3,IFERROR(MATCH(ЕТАЛОН_ПЛ,ПЛ_РЯДОК,0),0)),""))</f>
        <v/>
      </c>
      <c r="CP28" s="86" t="str">
        <f aca="false" t="array" ref="CP28:CP28">IF(OR(CO14="",ЕТАЛОН_ПЛ="",IFERROR(INDEX(БАЗА_RO,3,IFERROR(MATCH(ЕТАЛОН_ПЛ,ПЛ_РЯДОК,0),0)),"")="",IFERROR(INDEX(БАЗА_RO,3,IFERROR(MATCH(ЕТАЛОН_ПЛ,ПЛ_РЯДОК,0),0)),"")=0),"",CO14/IFERROR(INDEX(БАЗА_RO,3,IFERROR(MATCH(ЕТАЛОН_ПЛ,ПЛ_РЯДОК,0),0)),"")-1)</f>
        <v/>
      </c>
      <c r="CQ28" s="37" t="str">
        <f aca="false" t="array" ref="CQ28:CQ28">IF(OR(CQ14="",ЕТАЛОН_ПЛ="",IFERROR(INDEX(БАЗА_RO,3,IFERROR(MATCH(ЕТАЛОН_ПЛ,ПЛ_РЯДОК,0),0)),"")=""),"",CQ14-IFERROR(INDEX(БАЗА_RO,3,IFERROR(MATCH(ЕТАЛОН_ПЛ,ПЛ_РЯДОК,0),0)),""))</f>
        <v/>
      </c>
      <c r="CR28" s="86" t="str">
        <f aca="false" t="array" ref="CR28:CR28">IF(OR(CQ14="",ЕТАЛОН_ПЛ="",IFERROR(INDEX(БАЗА_RO,3,IFERROR(MATCH(ЕТАЛОН_ПЛ,ПЛ_РЯДОК,0),0)),"")="",IFERROR(INDEX(БАЗА_RO,3,IFERROR(MATCH(ЕТАЛОН_ПЛ,ПЛ_РЯДОК,0),0)),"")=0),"",CQ14/IFERROR(INDEX(БАЗА_RO,3,IFERROR(MATCH(ЕТАЛОН_ПЛ,ПЛ_РЯДОК,0),0)),"")-1)</f>
        <v/>
      </c>
      <c r="CS28" s="37" t="str">
        <f aca="false" t="array" ref="CS28:CS28">IF(OR(CS14="",ЕТАЛОН_ПЛ="",IFERROR(INDEX(БАЗА_RO,3,IFERROR(MATCH(ЕТАЛОН_ПЛ,ПЛ_РЯДОК,0),0)),"")=""),"",CS14-IFERROR(INDEX(БАЗА_RO,3,IFERROR(MATCH(ЕТАЛОН_ПЛ,ПЛ_РЯДОК,0),0)),""))</f>
        <v/>
      </c>
      <c r="CT28" s="86" t="str">
        <f aca="false" t="array" ref="CT28:CT28">IF(OR(CS14="",ЕТАЛОН_ПЛ="",IFERROR(INDEX(БАЗА_RO,3,IFERROR(MATCH(ЕТАЛОН_ПЛ,ПЛ_РЯДОК,0),0)),"")="",IFERROR(INDEX(БАЗА_RO,3,IFERROR(MATCH(ЕТАЛОН_ПЛ,ПЛ_РЯДОК,0),0)),"")=0),"",CS14/IFERROR(INDEX(БАЗА_RO,3,IFERROR(MATCH(ЕТАЛОН_ПЛ,ПЛ_РЯДОК,0),0)),"")-1)</f>
        <v/>
      </c>
      <c r="CU28" s="37" t="str">
        <f aca="false" t="array" ref="CU28:CU28">IF(OR(CU14="",ЕТАЛОН_ПЛ="",IFERROR(INDEX(БАЗА_RO,3,IFERROR(MATCH(ЕТАЛОН_ПЛ,ПЛ_РЯДОК,0),0)),"")=""),"",CU14-IFERROR(INDEX(БАЗА_RO,3,IFERROR(MATCH(ЕТАЛОН_ПЛ,ПЛ_РЯДОК,0),0)),""))</f>
        <v/>
      </c>
      <c r="CV28" s="86" t="str">
        <f aca="false" t="array" ref="CV28:CV28">IF(OR(CU14="",ЕТАЛОН_ПЛ="",IFERROR(INDEX(БАЗА_RO,3,IFERROR(MATCH(ЕТАЛОН_ПЛ,ПЛ_РЯДОК,0),0)),"")="",IFERROR(INDEX(БАЗА_RO,3,IFERROR(MATCH(ЕТАЛОН_ПЛ,ПЛ_РЯДОК,0),0)),"")=0),"",CU14/IFERROR(INDEX(БАЗА_RO,3,IFERROR(MATCH(ЕТАЛОН_ПЛ,ПЛ_РЯДОК,0),0)),"")-1)</f>
        <v/>
      </c>
      <c r="CW28" s="37" t="str">
        <f aca="false" t="array" ref="CW28:CW28">IF(OR(CW14="",ЕТАЛОН_ПЛ="",IFERROR(INDEX(БАЗА_RO,3,IFERROR(MATCH(ЕТАЛОН_ПЛ,ПЛ_РЯДОК,0),0)),"")=""),"",CW14-IFERROR(INDEX(БАЗА_RO,3,IFERROR(MATCH(ЕТАЛОН_ПЛ,ПЛ_РЯДОК,0),0)),""))</f>
        <v/>
      </c>
      <c r="CX28" s="86" t="str">
        <f aca="false" t="array" ref="CX28:CX28">IF(OR(CW14="",ЕТАЛОН_ПЛ="",IFERROR(INDEX(БАЗА_RO,3,IFERROR(MATCH(ЕТАЛОН_ПЛ,ПЛ_РЯДОК,0),0)),"")="",IFERROR(INDEX(БАЗА_RO,3,IFERROR(MATCH(ЕТАЛОН_ПЛ,ПЛ_РЯДОК,0),0)),"")=0),"",CW14/IFERROR(INDEX(БАЗА_RO,3,IFERROR(MATCH(ЕТАЛОН_ПЛ,ПЛ_РЯДОК,0),0)),"")-1)</f>
        <v/>
      </c>
      <c r="CY28" s="37" t="str">
        <f aca="false" t="array" ref="CY28:CY28">IF(OR(CY14="",ЕТАЛОН_ПЛ="",IFERROR(INDEX(БАЗА_RO,3,IFERROR(MATCH(ЕТАЛОН_ПЛ,ПЛ_РЯДОК,0),0)),"")=""),"",CY14-IFERROR(INDEX(БАЗА_RO,3,IFERROR(MATCH(ЕТАЛОН_ПЛ,ПЛ_РЯДОК,0),0)),""))</f>
        <v/>
      </c>
      <c r="CZ28" s="86" t="str">
        <f aca="false" t="array" ref="CZ28:CZ28">IF(OR(CY14="",ЕТАЛОН_ПЛ="",IFERROR(INDEX(БАЗА_RO,3,IFERROR(MATCH(ЕТАЛОН_ПЛ,ПЛ_РЯДОК,0),0)),"")="",IFERROR(INDEX(БАЗА_RO,3,IFERROR(MATCH(ЕТАЛОН_ПЛ,ПЛ_РЯДОК,0),0)),"")=0),"",CY14/IFERROR(INDEX(БАЗА_RO,3,IFERROR(MATCH(ЕТАЛОН_ПЛ,ПЛ_РЯДОК,0),0)),"")-1)</f>
        <v/>
      </c>
      <c r="DA28" s="37" t="str">
        <f aca="false" t="array" ref="DA28:DA28">IF(OR(DA14="",ЕТАЛОН_ПЛ="",IFERROR(INDEX(БАЗА_RO,3,IFERROR(MATCH(ЕТАЛОН_ПЛ,ПЛ_РЯДОК,0),0)),"")=""),"",DA14-IFERROR(INDEX(БАЗА_RO,3,IFERROR(MATCH(ЕТАЛОН_ПЛ,ПЛ_РЯДОК,0),0)),""))</f>
        <v/>
      </c>
      <c r="DB28" s="86" t="str">
        <f aca="false" t="array" ref="DB28:DB28">IF(OR(DA14="",ЕТАЛОН_ПЛ="",IFERROR(INDEX(БАЗА_RO,3,IFERROR(MATCH(ЕТАЛОН_ПЛ,ПЛ_РЯДОК,0),0)),"")="",IFERROR(INDEX(БАЗА_RO,3,IFERROR(MATCH(ЕТАЛОН_ПЛ,ПЛ_РЯДОК,0),0)),"")=0),"",DA14/IFERROR(INDEX(БАЗА_RO,3,IFERROR(MATCH(ЕТАЛОН_ПЛ,ПЛ_РЯДОК,0),0)),"")-1)</f>
        <v/>
      </c>
      <c r="DC28" s="37" t="str">
        <f aca="false" t="array" ref="DC28:DC28">IF(OR(DC14="",ЕТАЛОН_ПЛ="",IFERROR(INDEX(БАЗА_RO,3,IFERROR(MATCH(ЕТАЛОН_ПЛ,ПЛ_РЯДОК,0),0)),"")=""),"",DC14-IFERROR(INDEX(БАЗА_RO,3,IFERROR(MATCH(ЕТАЛОН_ПЛ,ПЛ_РЯДОК,0),0)),""))</f>
        <v/>
      </c>
      <c r="DD28" s="86" t="str">
        <f aca="false" t="array" ref="DD28:DD28">IF(OR(DC14="",ЕТАЛОН_ПЛ="",IFERROR(INDEX(БАЗА_RO,3,IFERROR(MATCH(ЕТАЛОН_ПЛ,ПЛ_РЯДОК,0),0)),"")="",IFERROR(INDEX(БАЗА_RO,3,IFERROR(MATCH(ЕТАЛОН_ПЛ,ПЛ_РЯДОК,0),0)),"")=0),"",DC14/IFERROR(INDEX(БАЗА_RO,3,IFERROR(MATCH(ЕТАЛОН_ПЛ,ПЛ_РЯДОК,0),0)),"")-1)</f>
        <v/>
      </c>
      <c r="DE28" s="37" t="str">
        <f aca="false" t="array" ref="DE28:DE28">IF(OR(DE14="",ЕТАЛОН_ПЛ="",IFERROR(INDEX(БАЗА_RO,3,IFERROR(MATCH(ЕТАЛОН_ПЛ,ПЛ_РЯДОК,0),0)),"")=""),"",DE14-IFERROR(INDEX(БАЗА_RO,3,IFERROR(MATCH(ЕТАЛОН_ПЛ,ПЛ_РЯДОК,0),0)),""))</f>
        <v/>
      </c>
      <c r="DF28" s="86" t="str">
        <f aca="false" t="array" ref="DF28:DF28">IF(OR(DE14="",ЕТАЛОН_ПЛ="",IFERROR(INDEX(БАЗА_RO,3,IFERROR(MATCH(ЕТАЛОН_ПЛ,ПЛ_РЯДОК,0),0)),"")="",IFERROR(INDEX(БАЗА_RO,3,IFERROR(MATCH(ЕТАЛОН_ПЛ,ПЛ_РЯДОК,0),0)),"")=0),"",DE14/IFERROR(INDEX(БАЗА_RO,3,IFERROR(MATCH(ЕТАЛОН_ПЛ,ПЛ_РЯДОК,0),0)),"")-1)</f>
        <v/>
      </c>
      <c r="DG28" s="37" t="str">
        <f aca="false" t="array" ref="DG28:DG28">IF(OR(DG14="",ЕТАЛОН_ПЛ="",IFERROR(INDEX(БАЗА_RO,3,IFERROR(MATCH(ЕТАЛОН_ПЛ,ПЛ_РЯДОК,0),0)),"")=""),"",DG14-IFERROR(INDEX(БАЗА_RO,3,IFERROR(MATCH(ЕТАЛОН_ПЛ,ПЛ_РЯДОК,0),0)),""))</f>
        <v/>
      </c>
      <c r="DH28" s="86" t="str">
        <f aca="false" t="array" ref="DH28:DH28">IF(OR(DG14="",ЕТАЛОН_ПЛ="",IFERROR(INDEX(БАЗА_RO,3,IFERROR(MATCH(ЕТАЛОН_ПЛ,ПЛ_РЯДОК,0),0)),"")="",IFERROR(INDEX(БАЗА_RO,3,IFERROR(MATCH(ЕТАЛОН_ПЛ,ПЛ_РЯДОК,0),0)),"")=0),"",DG14/IFERROR(INDEX(БАЗА_RO,3,IFERROR(MATCH(ЕТАЛОН_ПЛ,ПЛ_РЯДОК,0),0)),"")-1)</f>
        <v/>
      </c>
      <c r="DI28" s="37" t="str">
        <f aca="false" t="array" ref="DI28:DI28">IF(OR(DI14="",ЕТАЛОН_ПЛ="",IFERROR(INDEX(БАЗА_RO,3,IFERROR(MATCH(ЕТАЛОН_ПЛ,ПЛ_РЯДОК,0),0)),"")=""),"",DI14-IFERROR(INDEX(БАЗА_RO,3,IFERROR(MATCH(ЕТАЛОН_ПЛ,ПЛ_РЯДОК,0),0)),""))</f>
        <v/>
      </c>
      <c r="DJ28" s="86" t="str">
        <f aca="false" t="array" ref="DJ28:DJ28">IF(OR(DI14="",ЕТАЛОН_ПЛ="",IFERROR(INDEX(БАЗА_RO,3,IFERROR(MATCH(ЕТАЛОН_ПЛ,ПЛ_РЯДОК,0),0)),"")="",IFERROR(INDEX(БАЗА_RO,3,IFERROR(MATCH(ЕТАЛОН_ПЛ,ПЛ_РЯДОК,0),0)),"")=0),"",DI14/IFERROR(INDEX(БАЗА_RO,3,IFERROR(MATCH(ЕТАЛОН_ПЛ,ПЛ_РЯДОК,0),0)),"")-1)</f>
        <v/>
      </c>
      <c r="DK28" s="37" t="str">
        <f aca="false" t="array" ref="DK28:DK28">IF(OR(DK14="",ЕТАЛОН_ПЛ="",IFERROR(INDEX(БАЗА_RO,3,IFERROR(MATCH(ЕТАЛОН_ПЛ,ПЛ_РЯДОК,0),0)),"")=""),"",DK14-IFERROR(INDEX(БАЗА_RO,3,IFERROR(MATCH(ЕТАЛОН_ПЛ,ПЛ_РЯДОК,0),0)),""))</f>
        <v/>
      </c>
      <c r="DL28" s="86" t="str">
        <f aca="false" t="array" ref="DL28:DL28">IF(OR(DK14="",ЕТАЛОН_ПЛ="",IFERROR(INDEX(БАЗА_RO,3,IFERROR(MATCH(ЕТАЛОН_ПЛ,ПЛ_РЯДОК,0),0)),"")="",IFERROR(INDEX(БАЗА_RO,3,IFERROR(MATCH(ЕТАЛОН_ПЛ,ПЛ_РЯДОК,0),0)),"")=0),"",DK14/IFERROR(INDEX(БАЗА_RO,3,IFERROR(MATCH(ЕТАЛОН_ПЛ,ПЛ_РЯДОК,0),0)),"")-1)</f>
        <v/>
      </c>
      <c r="DM28" s="37" t="str">
        <f aca="false" t="array" ref="DM28:DM28">IF(OR(DM14="",ЕТАЛОН_ПЛ="",IFERROR(INDEX(БАЗА_RO,3,IFERROR(MATCH(ЕТАЛОН_ПЛ,ПЛ_РЯДОК,0),0)),"")=""),"",DM14-IFERROR(INDEX(БАЗА_RO,3,IFERROR(MATCH(ЕТАЛОН_ПЛ,ПЛ_РЯДОК,0),0)),""))</f>
        <v/>
      </c>
      <c r="DN28" s="86" t="str">
        <f aca="false" t="array" ref="DN28:DN28">IF(OR(DM14="",ЕТАЛОН_ПЛ="",IFERROR(INDEX(БАЗА_RO,3,IFERROR(MATCH(ЕТАЛОН_ПЛ,ПЛ_РЯДОК,0),0)),"")="",IFERROR(INDEX(БАЗА_RO,3,IFERROR(MATCH(ЕТАЛОН_ПЛ,ПЛ_РЯДОК,0),0)),"")=0),"",DM14/IFERROR(INDEX(БАЗА_RO,3,IFERROR(MATCH(ЕТАЛОН_ПЛ,ПЛ_РЯДОК,0),0)),"")-1)</f>
        <v/>
      </c>
      <c r="DO28" s="37" t="str">
        <f aca="false" t="array" ref="DO28:DO28">IF(OR(DO14="",ЕТАЛОН_ПЛ="",IFERROR(INDEX(БАЗА_RO,3,IFERROR(MATCH(ЕТАЛОН_ПЛ,ПЛ_РЯДОК,0),0)),"")=""),"",DO14-IFERROR(INDEX(БАЗА_RO,3,IFERROR(MATCH(ЕТАЛОН_ПЛ,ПЛ_РЯДОК,0),0)),""))</f>
        <v/>
      </c>
      <c r="DP28" s="86" t="str">
        <f aca="false" t="array" ref="DP28:DP28">IF(OR(DO14="",ЕТАЛОН_ПЛ="",IFERROR(INDEX(БАЗА_RO,3,IFERROR(MATCH(ЕТАЛОН_ПЛ,ПЛ_РЯДОК,0),0)),"")="",IFERROR(INDEX(БАЗА_RO,3,IFERROR(MATCH(ЕТАЛОН_ПЛ,ПЛ_РЯДОК,0),0)),"")=0),"",DO14/IFERROR(INDEX(БАЗА_RO,3,IFERROR(MATCH(ЕТАЛОН_ПЛ,ПЛ_РЯДОК,0),0)),"")-1)</f>
        <v/>
      </c>
      <c r="DQ28" s="37" t="str">
        <f aca="false" t="array" ref="DQ28:DQ28">IF(OR(DQ14="",ЕТАЛОН_ПЛ="",IFERROR(INDEX(БАЗА_RO,3,IFERROR(MATCH(ЕТАЛОН_ПЛ,ПЛ_РЯДОК,0),0)),"")=""),"",DQ14-IFERROR(INDEX(БАЗА_RO,3,IFERROR(MATCH(ЕТАЛОН_ПЛ,ПЛ_РЯДОК,0),0)),""))</f>
        <v/>
      </c>
      <c r="DR28" s="86" t="str">
        <f aca="false" t="array" ref="DR28:DR28">IF(OR(DQ14="",ЕТАЛОН_ПЛ="",IFERROR(INDEX(БАЗА_RO,3,IFERROR(MATCH(ЕТАЛОН_ПЛ,ПЛ_РЯДОК,0),0)),"")="",IFERROR(INDEX(БАЗА_RO,3,IFERROR(MATCH(ЕТАЛОН_ПЛ,ПЛ_РЯДОК,0),0)),"")=0),"",DQ14/IFERROR(INDEX(БАЗА_RO,3,IFERROR(MATCH(ЕТАЛОН_ПЛ,ПЛ_РЯДОК,0),0)),"")-1)</f>
        <v/>
      </c>
      <c r="DS28" s="37" t="str">
        <f aca="false" t="array" ref="DS28:DS28">IF(OR(DS14="",ЕТАЛОН_ПЛ="",IFERROR(INDEX(БАЗА_RO,3,IFERROR(MATCH(ЕТАЛОН_ПЛ,ПЛ_РЯДОК,0),0)),"")=""),"",DS14-IFERROR(INDEX(БАЗА_RO,3,IFERROR(MATCH(ЕТАЛОН_ПЛ,ПЛ_РЯДОК,0),0)),""))</f>
        <v/>
      </c>
      <c r="DT28" s="86" t="str">
        <f aca="false" t="array" ref="DT28:DT28">IF(OR(DS14="",ЕТАЛОН_ПЛ="",IFERROR(INDEX(БАЗА_RO,3,IFERROR(MATCH(ЕТАЛОН_ПЛ,ПЛ_РЯДОК,0),0)),"")="",IFERROR(INDEX(БАЗА_RO,3,IFERROR(MATCH(ЕТАЛОН_ПЛ,ПЛ_РЯДОК,0),0)),"")=0),"",DS14/IFERROR(INDEX(БАЗА_RO,3,IFERROR(MATCH(ЕТАЛОН_ПЛ,ПЛ_РЯДОК,0),0)),"")-1)</f>
        <v/>
      </c>
      <c r="DU28" s="37" t="str">
        <f aca="false" t="array" ref="DU28:DU28">IF(OR(DU14="",ЕТАЛОН_ПЛ="",IFERROR(INDEX(БАЗА_RO,3,IFERROR(MATCH(ЕТАЛОН_ПЛ,ПЛ_РЯДОК,0),0)),"")=""),"",DU14-IFERROR(INDEX(БАЗА_RO,3,IFERROR(MATCH(ЕТАЛОН_ПЛ,ПЛ_РЯДОК,0),0)),""))</f>
        <v/>
      </c>
      <c r="DV28" s="86" t="str">
        <f aca="false" t="array" ref="DV28:DV28">IF(OR(DU14="",ЕТАЛОН_ПЛ="",IFERROR(INDEX(БАЗА_RO,3,IFERROR(MATCH(ЕТАЛОН_ПЛ,ПЛ_РЯДОК,0),0)),"")="",IFERROR(INDEX(БАЗА_RO,3,IFERROR(MATCH(ЕТАЛОН_ПЛ,ПЛ_РЯДОК,0),0)),"")=0),"",DU14/IFERROR(INDEX(БАЗА_RO,3,IFERROR(MATCH(ЕТАЛОН_ПЛ,ПЛ_РЯДОК,0),0)),"")-1)</f>
        <v/>
      </c>
      <c r="DW28" s="37" t="str">
        <f aca="false" t="array" ref="DW28:DW28">IF(OR(DW14="",ЕТАЛОН_ПЛ="",IFERROR(INDEX(БАЗА_RO,3,IFERROR(MATCH(ЕТАЛОН_ПЛ,ПЛ_РЯДОК,0),0)),"")=""),"",DW14-IFERROR(INDEX(БАЗА_RO,3,IFERROR(MATCH(ЕТАЛОН_ПЛ,ПЛ_РЯДОК,0),0)),""))</f>
        <v/>
      </c>
      <c r="DX28" s="86" t="str">
        <f aca="false" t="array" ref="DX28:DX28">IF(OR(DW14="",ЕТАЛОН_ПЛ="",IFERROR(INDEX(БАЗА_RO,3,IFERROR(MATCH(ЕТАЛОН_ПЛ,ПЛ_РЯДОК,0),0)),"")="",IFERROR(INDEX(БАЗА_RO,3,IFERROR(MATCH(ЕТАЛОН_ПЛ,ПЛ_РЯДОК,0),0)),"")=0),"",DW14/IFERROR(INDEX(БАЗА_RO,3,IFERROR(MATCH(ЕТАЛОН_ПЛ,ПЛ_РЯДОК,0),0)),"")-1)</f>
        <v/>
      </c>
    </row>
    <row r="29" customFormat="false" ht="15.75" hidden="false" customHeight="true" outlineLevel="0" collapsed="false">
      <c r="A29" s="89" t="s">
        <v>93</v>
      </c>
      <c r="B29" s="90"/>
      <c r="C29" s="90"/>
      <c r="D29" s="89"/>
      <c r="E29" s="91"/>
      <c r="F29" s="98" t="s">
        <v>94</v>
      </c>
      <c r="G29" s="4"/>
      <c r="H29" s="76" t="s">
        <v>67</v>
      </c>
      <c r="I29" s="37" t="n">
        <f aca="false" t="array" ref="I29:I29">IF(OR(I15="",ЕТАЛОН_ПЛ="",IFERROR(INDEX(БАЗА_RO,4,IFERROR(MATCH(ЕТАЛОН_ПЛ,ПЛ_РЯДОК,0),0)),"")=""),"",I15-IFERROR(INDEX(БАЗА_RO,4,IFERROR(MATCH(ЕТАЛОН_ПЛ,ПЛ_РЯДОК,0),0)),""))</f>
        <v>-2000</v>
      </c>
      <c r="J29" s="86" t="n">
        <f aca="false" t="array" ref="J29:J29">IF(OR(I15="",ЕТАЛОН_ПЛ="",IFERROR(INDEX(БАЗА_RO,4,IFERROR(MATCH(ЕТАЛОН_ПЛ,ПЛ_РЯДОК,0),0)),"")="",IFERROR(INDEX(БАЗА_RO,4,IFERROR(MATCH(ЕТАЛОН_ПЛ,ПЛ_РЯДОК,0),0)),"")=0),"",I15/IFERROR(INDEX(БАЗА_RO,4,IFERROR(MATCH(ЕТАЛОН_ПЛ,ПЛ_РЯДОК,0),0)),"")-1)</f>
        <v>-0.32258064516129</v>
      </c>
      <c r="K29" s="37" t="n">
        <f aca="false" t="array" ref="K29:K29">IF(OR(K15="",ЕТАЛОН_ПЛ="",IFERROR(INDEX(БАЗА_RO,4,IFERROR(MATCH(ЕТАЛОН_ПЛ,ПЛ_РЯДОК,0),0)),"")=""),"",K15-IFERROR(INDEX(БАЗА_RO,4,IFERROR(MATCH(ЕТАЛОН_ПЛ,ПЛ_РЯДОК,0),0)),""))</f>
        <v>-2015</v>
      </c>
      <c r="L29" s="86" t="n">
        <f aca="false" t="array" ref="L29:L29">IF(OR(K15="",ЕТАЛОН_ПЛ="",IFERROR(INDEX(БАЗА_RO,4,IFERROR(MATCH(ЕТАЛОН_ПЛ,ПЛ_РЯДОК,0),0)),"")="",IFERROR(INDEX(БАЗА_RO,4,IFERROR(MATCH(ЕТАЛОН_ПЛ,ПЛ_РЯДОК,0),0)),"")=0),"",K15/IFERROR(INDEX(БАЗА_RO,4,IFERROR(MATCH(ЕТАЛОН_ПЛ,ПЛ_РЯДОК,0),0)),"")-1)</f>
        <v>-0.325</v>
      </c>
      <c r="M29" s="37" t="n">
        <f aca="false" t="array" ref="M29:M29">IF(OR(M15="",ЕТАЛОН_ПЛ="",IFERROR(INDEX(БАЗА_RO,4,IFERROR(MATCH(ЕТАЛОН_ПЛ,ПЛ_РЯДОК,0),0)),"")=""),"",M15-IFERROR(INDEX(БАЗА_RO,4,IFERROR(MATCH(ЕТАЛОН_ПЛ,ПЛ_РЯДОК,0),0)),""))</f>
        <v>-3270</v>
      </c>
      <c r="N29" s="86" t="n">
        <f aca="false" t="array" ref="N29:N29">IF(OR(M15="",ЕТАЛОН_ПЛ="",IFERROR(INDEX(БАЗА_RO,4,IFERROR(MATCH(ЕТАЛОН_ПЛ,ПЛ_РЯДОК,0),0)),"")="",IFERROR(INDEX(БАЗА_RO,4,IFERROR(MATCH(ЕТАЛОН_ПЛ,ПЛ_РЯДОК,0),0)),"")=0),"",M15/IFERROR(INDEX(БАЗА_RO,4,IFERROR(MATCH(ЕТАЛОН_ПЛ,ПЛ_РЯДОК,0),0)),"")-1)</f>
        <v>-0.52741935483871</v>
      </c>
      <c r="O29" s="37" t="n">
        <f aca="false" t="array" ref="O29:O29">IF(OR(O15="",ЕТАЛОН_ПЛ="",IFERROR(INDEX(БАЗА_RO,4,IFERROR(MATCH(ЕТАЛОН_ПЛ,ПЛ_РЯДОК,0),0)),"")=""),"",O15-IFERROR(INDEX(БАЗА_RO,4,IFERROR(MATCH(ЕТАЛОН_ПЛ,ПЛ_РЯДОК,0),0)),""))</f>
        <v>-2852</v>
      </c>
      <c r="P29" s="86" t="n">
        <f aca="false" t="array" ref="P29:P29">IF(OR(O15="",ЕТАЛОН_ПЛ="",IFERROR(INDEX(БАЗА_RO,4,IFERROR(MATCH(ЕТАЛОН_ПЛ,ПЛ_РЯДОК,0),0)),"")="",IFERROR(INDEX(БАЗА_RO,4,IFERROR(MATCH(ЕТАЛОН_ПЛ,ПЛ_РЯДОК,0),0)),"")=0),"",O15/IFERROR(INDEX(БАЗА_RO,4,IFERROR(MATCH(ЕТАЛОН_ПЛ,ПЛ_РЯДОК,0),0)),"")-1)</f>
        <v>-0.46</v>
      </c>
      <c r="Q29" s="37" t="n">
        <f aca="false" t="array" ref="Q29:Q29">IF(OR(Q15="",ЕТАЛОН_ПЛ="",IFERROR(INDEX(БАЗА_RO,4,IFERROR(MATCH(ЕТАЛОН_ПЛ,ПЛ_РЯДОК,0),0)),"")=""),"",Q15-IFERROR(INDEX(БАЗА_RO,4,IFERROR(MATCH(ЕТАЛОН_ПЛ,ПЛ_РЯДОК,0),0)),""))</f>
        <v>-2800</v>
      </c>
      <c r="R29" s="86" t="n">
        <f aca="false" t="array" ref="R29:R29">IF(OR(Q15="",ЕТАЛОН_ПЛ="",IFERROR(INDEX(БАЗА_RO,4,IFERROR(MATCH(ЕТАЛОН_ПЛ,ПЛ_РЯДОК,0),0)),"")="",IFERROR(INDEX(БАЗА_RO,4,IFERROR(MATCH(ЕТАЛОН_ПЛ,ПЛ_РЯДОК,0),0)),"")=0),"",Q15/IFERROR(INDEX(БАЗА_RO,4,IFERROR(MATCH(ЕТАЛОН_ПЛ,ПЛ_РЯДОК,0),0)),"")-1)</f>
        <v>-0.451612903225807</v>
      </c>
      <c r="S29" s="37" t="str">
        <f aca="false" t="array" ref="S29:S29">IF(OR(S15="",ЕТАЛОН_ПЛ="",IFERROR(INDEX(БАЗА_RO,4,IFERROR(MATCH(ЕТАЛОН_ПЛ,ПЛ_РЯДОК,0),0)),"")=""),"",S15-IFERROR(INDEX(БАЗА_RO,4,IFERROR(MATCH(ЕТАЛОН_ПЛ,ПЛ_РЯДОК,0),0)),""))</f>
        <v/>
      </c>
      <c r="T29" s="86" t="str">
        <f aca="false" t="array" ref="T29:T29">IF(OR(S15="",ЕТАЛОН_ПЛ="",IFERROR(INDEX(БАЗА_RO,4,IFERROR(MATCH(ЕТАЛОН_ПЛ,ПЛ_РЯДОК,0),0)),"")="",IFERROR(INDEX(БАЗА_RO,4,IFERROR(MATCH(ЕТАЛОН_ПЛ,ПЛ_РЯДОК,0),0)),"")=0),"",S15/IFERROR(INDEX(БАЗА_RO,4,IFERROR(MATCH(ЕТАЛОН_ПЛ,ПЛ_РЯДОК,0),0)),"")-1)</f>
        <v/>
      </c>
      <c r="U29" s="37" t="n">
        <f aca="false" t="array" ref="U29:U29">IF(OR(U15="",ЕТАЛОН_ПЛ="",IFERROR(INDEX(БАЗА_RO,4,IFERROR(MATCH(ЕТАЛОН_ПЛ,ПЛ_РЯДОК,0),0)),"")=""),"",U15-IFERROR(INDEX(БАЗА_RO,4,IFERROR(MATCH(ЕТАЛОН_ПЛ,ПЛ_РЯДОК,0),0)),""))</f>
        <v>-2800</v>
      </c>
      <c r="V29" s="86" t="n">
        <f aca="false" t="array" ref="V29:V29">IF(OR(U15="",ЕТАЛОН_ПЛ="",IFERROR(INDEX(БАЗА_RO,4,IFERROR(MATCH(ЕТАЛОН_ПЛ,ПЛ_РЯДОК,0),0)),"")="",IFERROR(INDEX(БАЗА_RO,4,IFERROR(MATCH(ЕТАЛОН_ПЛ,ПЛ_РЯДОК,0),0)),"")=0),"",U15/IFERROR(INDEX(БАЗА_RO,4,IFERROR(MATCH(ЕТАЛОН_ПЛ,ПЛ_РЯДОК,0),0)),"")-1)</f>
        <v>-0.451612903225807</v>
      </c>
      <c r="W29" s="37" t="str">
        <f aca="false" t="array" ref="W29:W29">IF(OR(W15="",ЕТАЛОН_ПЛ="",IFERROR(INDEX(БАЗА_RO,4,IFERROR(MATCH(ЕТАЛОН_ПЛ,ПЛ_РЯДОК,0),0)),"")=""),"",W15-IFERROR(INDEX(БАЗА_RO,4,IFERROR(MATCH(ЕТАЛОН_ПЛ,ПЛ_РЯДОК,0),0)),""))</f>
        <v/>
      </c>
      <c r="X29" s="86" t="str">
        <f aca="false" t="array" ref="X29:X29">IF(OR(W15="",ЕТАЛОН_ПЛ="",IFERROR(INDEX(БАЗА_RO,4,IFERROR(MATCH(ЕТАЛОН_ПЛ,ПЛ_РЯДОК,0),0)),"")="",IFERROR(INDEX(БАЗА_RO,4,IFERROR(MATCH(ЕТАЛОН_ПЛ,ПЛ_РЯДОК,0),0)),"")=0),"",W15/IFERROR(INDEX(БАЗА_RO,4,IFERROR(MATCH(ЕТАЛОН_ПЛ,ПЛ_РЯДОК,0),0)),"")-1)</f>
        <v/>
      </c>
      <c r="Y29" s="37" t="str">
        <f aca="false" t="array" ref="Y29:Y29">IF(OR(Y15="",ЕТАЛОН_ПЛ="",IFERROR(INDEX(БАЗА_RO,4,IFERROR(MATCH(ЕТАЛОН_ПЛ,ПЛ_РЯДОК,0),0)),"")=""),"",Y15-IFERROR(INDEX(БАЗА_RO,4,IFERROR(MATCH(ЕТАЛОН_ПЛ,ПЛ_РЯДОК,0),0)),""))</f>
        <v/>
      </c>
      <c r="Z29" s="86" t="str">
        <f aca="false" t="array" ref="Z29:Z29">IF(OR(Y15="",ЕТАЛОН_ПЛ="",IFERROR(INDEX(БАЗА_RO,4,IFERROR(MATCH(ЕТАЛОН_ПЛ,ПЛ_РЯДОК,0),0)),"")="",IFERROR(INDEX(БАЗА_RO,4,IFERROR(MATCH(ЕТАЛОН_ПЛ,ПЛ_РЯДОК,0),0)),"")=0),"",Y15/IFERROR(INDEX(БАЗА_RO,4,IFERROR(MATCH(ЕТАЛОН_ПЛ,ПЛ_РЯДОК,0),0)),"")-1)</f>
        <v/>
      </c>
      <c r="AA29" s="37" t="str">
        <f aca="false" t="array" ref="AA29:AA29">IF(OR(AA15="",ЕТАЛОН_ПЛ="",IFERROR(INDEX(БАЗА_RO,4,IFERROR(MATCH(ЕТАЛОН_ПЛ,ПЛ_РЯДОК,0),0)),"")=""),"",AA15-IFERROR(INDEX(БАЗА_RO,4,IFERROR(MATCH(ЕТАЛОН_ПЛ,ПЛ_РЯДОК,0),0)),""))</f>
        <v/>
      </c>
      <c r="AB29" s="86" t="str">
        <f aca="false" t="array" ref="AB29:AB29">IF(OR(AA15="",ЕТАЛОН_ПЛ="",IFERROR(INDEX(БАЗА_RO,4,IFERROR(MATCH(ЕТАЛОН_ПЛ,ПЛ_РЯДОК,0),0)),"")="",IFERROR(INDEX(БАЗА_RO,4,IFERROR(MATCH(ЕТАЛОН_ПЛ,ПЛ_РЯДОК,0),0)),"")=0),"",AA15/IFERROR(INDEX(БАЗА_RO,4,IFERROR(MATCH(ЕТАЛОН_ПЛ,ПЛ_РЯДОК,0),0)),"")-1)</f>
        <v/>
      </c>
      <c r="AC29" s="37" t="str">
        <f aca="false" t="array" ref="AC29:AC29">IF(OR(AC15="",ЕТАЛОН_ПЛ="",IFERROR(INDEX(БАЗА_RO,4,IFERROR(MATCH(ЕТАЛОН_ПЛ,ПЛ_РЯДОК,0),0)),"")=""),"",AC15-IFERROR(INDEX(БАЗА_RO,4,IFERROR(MATCH(ЕТАЛОН_ПЛ,ПЛ_РЯДОК,0),0)),""))</f>
        <v/>
      </c>
      <c r="AD29" s="86" t="str">
        <f aca="false" t="array" ref="AD29:AD29">IF(OR(AC15="",ЕТАЛОН_ПЛ="",IFERROR(INDEX(БАЗА_RO,4,IFERROR(MATCH(ЕТАЛОН_ПЛ,ПЛ_РЯДОК,0),0)),"")="",IFERROR(INDEX(БАЗА_RO,4,IFERROR(MATCH(ЕТАЛОН_ПЛ,ПЛ_РЯДОК,0),0)),"")=0),"",AC15/IFERROR(INDEX(БАЗА_RO,4,IFERROR(MATCH(ЕТАЛОН_ПЛ,ПЛ_РЯДОК,0),0)),"")-1)</f>
        <v/>
      </c>
      <c r="AE29" s="37" t="str">
        <f aca="false" t="array" ref="AE29:AE29">IF(OR(AE15="",ЕТАЛОН_ПЛ="",IFERROR(INDEX(БАЗА_RO,4,IFERROR(MATCH(ЕТАЛОН_ПЛ,ПЛ_РЯДОК,0),0)),"")=""),"",AE15-IFERROR(INDEX(БАЗА_RO,4,IFERROR(MATCH(ЕТАЛОН_ПЛ,ПЛ_РЯДОК,0),0)),""))</f>
        <v/>
      </c>
      <c r="AF29" s="86" t="str">
        <f aca="false" t="array" ref="AF29:AF29">IF(OR(AE15="",ЕТАЛОН_ПЛ="",IFERROR(INDEX(БАЗА_RO,4,IFERROR(MATCH(ЕТАЛОН_ПЛ,ПЛ_РЯДОК,0),0)),"")="",IFERROR(INDEX(БАЗА_RO,4,IFERROR(MATCH(ЕТАЛОН_ПЛ,ПЛ_РЯДОК,0),0)),"")=0),"",AE15/IFERROR(INDEX(БАЗА_RO,4,IFERROR(MATCH(ЕТАЛОН_ПЛ,ПЛ_РЯДОК,0),0)),"")-1)</f>
        <v/>
      </c>
      <c r="AG29" s="37" t="str">
        <f aca="false" t="array" ref="AG29:AG29">IF(OR(AG15="",ЕТАЛОН_ПЛ="",IFERROR(INDEX(БАЗА_RO,4,IFERROR(MATCH(ЕТАЛОН_ПЛ,ПЛ_РЯДОК,0),0)),"")=""),"",AG15-IFERROR(INDEX(БАЗА_RO,4,IFERROR(MATCH(ЕТАЛОН_ПЛ,ПЛ_РЯДОК,0),0)),""))</f>
        <v/>
      </c>
      <c r="AH29" s="86" t="str">
        <f aca="false" t="array" ref="AH29:AH29">IF(OR(AG15="",ЕТАЛОН_ПЛ="",IFERROR(INDEX(БАЗА_RO,4,IFERROR(MATCH(ЕТАЛОН_ПЛ,ПЛ_РЯДОК,0),0)),"")="",IFERROR(INDEX(БАЗА_RO,4,IFERROR(MATCH(ЕТАЛОН_ПЛ,ПЛ_РЯДОК,0),0)),"")=0),"",AG15/IFERROR(INDEX(БАЗА_RO,4,IFERROR(MATCH(ЕТАЛОН_ПЛ,ПЛ_РЯДОК,0),0)),"")-1)</f>
        <v/>
      </c>
      <c r="AI29" s="37" t="str">
        <f aca="false" t="array" ref="AI29:AI29">IF(OR(AI15="",ЕТАЛОН_ПЛ="",IFERROR(INDEX(БАЗА_RO,4,IFERROR(MATCH(ЕТАЛОН_ПЛ,ПЛ_РЯДОК,0),0)),"")=""),"",AI15-IFERROR(INDEX(БАЗА_RO,4,IFERROR(MATCH(ЕТАЛОН_ПЛ,ПЛ_РЯДОК,0),0)),""))</f>
        <v/>
      </c>
      <c r="AJ29" s="86" t="str">
        <f aca="false" t="array" ref="AJ29:AJ29">IF(OR(AI15="",ЕТАЛОН_ПЛ="",IFERROR(INDEX(БАЗА_RO,4,IFERROR(MATCH(ЕТАЛОН_ПЛ,ПЛ_РЯДОК,0),0)),"")="",IFERROR(INDEX(БАЗА_RO,4,IFERROR(MATCH(ЕТАЛОН_ПЛ,ПЛ_РЯДОК,0),0)),"")=0),"",AI15/IFERROR(INDEX(БАЗА_RO,4,IFERROR(MATCH(ЕТАЛОН_ПЛ,ПЛ_РЯДОК,0),0)),"")-1)</f>
        <v/>
      </c>
      <c r="AK29" s="37" t="str">
        <f aca="false" t="array" ref="AK29:AK29">IF(OR(AK15="",ЕТАЛОН_ПЛ="",IFERROR(INDEX(БАЗА_RO,4,IFERROR(MATCH(ЕТАЛОН_ПЛ,ПЛ_РЯДОК,0),0)),"")=""),"",AK15-IFERROR(INDEX(БАЗА_RO,4,IFERROR(MATCH(ЕТАЛОН_ПЛ,ПЛ_РЯДОК,0),0)),""))</f>
        <v/>
      </c>
      <c r="AL29" s="86" t="str">
        <f aca="false" t="array" ref="AL29:AL29">IF(OR(AK15="",ЕТАЛОН_ПЛ="",IFERROR(INDEX(БАЗА_RO,4,IFERROR(MATCH(ЕТАЛОН_ПЛ,ПЛ_РЯДОК,0),0)),"")="",IFERROR(INDEX(БАЗА_RO,4,IFERROR(MATCH(ЕТАЛОН_ПЛ,ПЛ_РЯДОК,0),0)),"")=0),"",AK15/IFERROR(INDEX(БАЗА_RO,4,IFERROR(MATCH(ЕТАЛОН_ПЛ,ПЛ_РЯДОК,0),0)),"")-1)</f>
        <v/>
      </c>
      <c r="AM29" s="37" t="str">
        <f aca="false" t="array" ref="AM29:AM29">IF(OR(AM15="",ЕТАЛОН_ПЛ="",IFERROR(INDEX(БАЗА_RO,4,IFERROR(MATCH(ЕТАЛОН_ПЛ,ПЛ_РЯДОК,0),0)),"")=""),"",AM15-IFERROR(INDEX(БАЗА_RO,4,IFERROR(MATCH(ЕТАЛОН_ПЛ,ПЛ_РЯДОК,0),0)),""))</f>
        <v/>
      </c>
      <c r="AN29" s="86" t="str">
        <f aca="false" t="array" ref="AN29:AN29">IF(OR(AM15="",ЕТАЛОН_ПЛ="",IFERROR(INDEX(БАЗА_RO,4,IFERROR(MATCH(ЕТАЛОН_ПЛ,ПЛ_РЯДОК,0),0)),"")="",IFERROR(INDEX(БАЗА_RO,4,IFERROR(MATCH(ЕТАЛОН_ПЛ,ПЛ_РЯДОК,0),0)),"")=0),"",AM15/IFERROR(INDEX(БАЗА_RO,4,IFERROR(MATCH(ЕТАЛОН_ПЛ,ПЛ_РЯДОК,0),0)),"")-1)</f>
        <v/>
      </c>
      <c r="AO29" s="37" t="str">
        <f aca="false" t="array" ref="AO29:AO29">IF(OR(AO15="",ЕТАЛОН_ПЛ="",IFERROR(INDEX(БАЗА_RO,4,IFERROR(MATCH(ЕТАЛОН_ПЛ,ПЛ_РЯДОК,0),0)),"")=""),"",AO15-IFERROR(INDEX(БАЗА_RO,4,IFERROR(MATCH(ЕТАЛОН_ПЛ,ПЛ_РЯДОК,0),0)),""))</f>
        <v/>
      </c>
      <c r="AP29" s="86" t="str">
        <f aca="false" t="array" ref="AP29:AP29">IF(OR(AO15="",ЕТАЛОН_ПЛ="",IFERROR(INDEX(БАЗА_RO,4,IFERROR(MATCH(ЕТАЛОН_ПЛ,ПЛ_РЯДОК,0),0)),"")="",IFERROR(INDEX(БАЗА_RO,4,IFERROR(MATCH(ЕТАЛОН_ПЛ,ПЛ_РЯДОК,0),0)),"")=0),"",AO15/IFERROR(INDEX(БАЗА_RO,4,IFERROR(MATCH(ЕТАЛОН_ПЛ,ПЛ_РЯДОК,0),0)),"")-1)</f>
        <v/>
      </c>
      <c r="AQ29" s="37" t="str">
        <f aca="false" t="array" ref="AQ29:AQ29">IF(OR(AQ15="",ЕТАЛОН_ПЛ="",IFERROR(INDEX(БАЗА_RO,4,IFERROR(MATCH(ЕТАЛОН_ПЛ,ПЛ_РЯДОК,0),0)),"")=""),"",AQ15-IFERROR(INDEX(БАЗА_RO,4,IFERROR(MATCH(ЕТАЛОН_ПЛ,ПЛ_РЯДОК,0),0)),""))</f>
        <v/>
      </c>
      <c r="AR29" s="86" t="str">
        <f aca="false" t="array" ref="AR29:AR29">IF(OR(AQ15="",ЕТАЛОН_ПЛ="",IFERROR(INDEX(БАЗА_RO,4,IFERROR(MATCH(ЕТАЛОН_ПЛ,ПЛ_РЯДОК,0),0)),"")="",IFERROR(INDEX(БАЗА_RO,4,IFERROR(MATCH(ЕТАЛОН_ПЛ,ПЛ_РЯДОК,0),0)),"")=0),"",AQ15/IFERROR(INDEX(БАЗА_RO,4,IFERROR(MATCH(ЕТАЛОН_ПЛ,ПЛ_РЯДОК,0),0)),"")-1)</f>
        <v/>
      </c>
      <c r="AS29" s="37" t="str">
        <f aca="false" t="array" ref="AS29:AS29">IF(OR(AS15="",ЕТАЛОН_ПЛ="",IFERROR(INDEX(БАЗА_RO,4,IFERROR(MATCH(ЕТАЛОН_ПЛ,ПЛ_РЯДОК,0),0)),"")=""),"",AS15-IFERROR(INDEX(БАЗА_RO,4,IFERROR(MATCH(ЕТАЛОН_ПЛ,ПЛ_РЯДОК,0),0)),""))</f>
        <v/>
      </c>
      <c r="AT29" s="86" t="str">
        <f aca="false" t="array" ref="AT29:AT29">IF(OR(AS15="",ЕТАЛОН_ПЛ="",IFERROR(INDEX(БАЗА_RO,4,IFERROR(MATCH(ЕТАЛОН_ПЛ,ПЛ_РЯДОК,0),0)),"")="",IFERROR(INDEX(БАЗА_RO,4,IFERROR(MATCH(ЕТАЛОН_ПЛ,ПЛ_РЯДОК,0),0)),"")=0),"",AS15/IFERROR(INDEX(БАЗА_RO,4,IFERROR(MATCH(ЕТАЛОН_ПЛ,ПЛ_РЯДОК,0),0)),"")-1)</f>
        <v/>
      </c>
      <c r="AU29" s="37" t="str">
        <f aca="false" t="array" ref="AU29:AU29">IF(OR(AU15="",ЕТАЛОН_ПЛ="",IFERROR(INDEX(БАЗА_RO,4,IFERROR(MATCH(ЕТАЛОН_ПЛ,ПЛ_РЯДОК,0),0)),"")=""),"",AU15-IFERROR(INDEX(БАЗА_RO,4,IFERROR(MATCH(ЕТАЛОН_ПЛ,ПЛ_РЯДОК,0),0)),""))</f>
        <v/>
      </c>
      <c r="AV29" s="86" t="str">
        <f aca="false" t="array" ref="AV29:AV29">IF(OR(AU15="",ЕТАЛОН_ПЛ="",IFERROR(INDEX(БАЗА_RO,4,IFERROR(MATCH(ЕТАЛОН_ПЛ,ПЛ_РЯДОК,0),0)),"")="",IFERROR(INDEX(БАЗА_RO,4,IFERROR(MATCH(ЕТАЛОН_ПЛ,ПЛ_РЯДОК,0),0)),"")=0),"",AU15/IFERROR(INDEX(БАЗА_RO,4,IFERROR(MATCH(ЕТАЛОН_ПЛ,ПЛ_РЯДОК,0),0)),"")-1)</f>
        <v/>
      </c>
      <c r="AW29" s="37" t="n">
        <f aca="false" t="array" ref="AW29:AW29">IF(OR(AW15="",ЕТАЛОН_ПЛ="",IFERROR(INDEX(БАЗА_RO,4,IFERROR(MATCH(ЕТАЛОН_ПЛ,ПЛ_РЯДОК,0),0)),"")=""),"",AW15-IFERROR(INDEX(БАЗА_RO,4,IFERROR(MATCH(ЕТАЛОН_ПЛ,ПЛ_РЯДОК,0),0)),""))</f>
        <v>-2000</v>
      </c>
      <c r="AX29" s="86" t="n">
        <f aca="false" t="array" ref="AX29:AX29">IF(OR(AW15="",ЕТАЛОН_ПЛ="",IFERROR(INDEX(БАЗА_RO,4,IFERROR(MATCH(ЕТАЛОН_ПЛ,ПЛ_РЯДОК,0),0)),"")="",IFERROR(INDEX(БАЗА_RO,4,IFERROR(MATCH(ЕТАЛОН_ПЛ,ПЛ_РЯДОК,0),0)),"")=0),"",AW15/IFERROR(INDEX(БАЗА_RO,4,IFERROR(MATCH(ЕТАЛОН_ПЛ,ПЛ_РЯДОК,0),0)),"")-1)</f>
        <v>-0.32258064516129</v>
      </c>
      <c r="AY29" s="37" t="n">
        <f aca="false" t="array" ref="AY29:AY29">IF(OR(AY15="",ЕТАЛОН_ПЛ="",IFERROR(INDEX(БАЗА_RO,4,IFERROR(MATCH(ЕТАЛОН_ПЛ,ПЛ_РЯДОК,0),0)),"")=""),"",AY15-IFERROR(INDEX(БАЗА_RO,4,IFERROR(MATCH(ЕТАЛОН_ПЛ,ПЛ_РЯДОК,0),0)),""))</f>
        <v>-1500</v>
      </c>
      <c r="AZ29" s="86" t="n">
        <f aca="false" t="array" ref="AZ29:AZ29">IF(OR(AY15="",ЕТАЛОН_ПЛ="",IFERROR(INDEX(БАЗА_RO,4,IFERROR(MATCH(ЕТАЛОН_ПЛ,ПЛ_РЯДОК,0),0)),"")="",IFERROR(INDEX(БАЗА_RO,4,IFERROR(MATCH(ЕТАЛОН_ПЛ,ПЛ_РЯДОК,0),0)),"")=0),"",AY15/IFERROR(INDEX(БАЗА_RO,4,IFERROR(MATCH(ЕТАЛОН_ПЛ,ПЛ_РЯДОК,0),0)),"")-1)</f>
        <v>-0.241935483870968</v>
      </c>
      <c r="BA29" s="37" t="n">
        <f aca="false" t="array" ref="BA29:BA29">IF(OR(BA15="",ЕТАЛОН_ПЛ="",IFERROR(INDEX(БАЗА_RO,4,IFERROR(MATCH(ЕТАЛОН_ПЛ,ПЛ_РЯДОК,0),0)),"")=""),"",BA15-IFERROR(INDEX(БАЗА_RO,4,IFERROR(MATCH(ЕТАЛОН_ПЛ,ПЛ_РЯДОК,0),0)),""))</f>
        <v>-493</v>
      </c>
      <c r="BB29" s="86" t="n">
        <f aca="false" t="array" ref="BB29:BB29">IF(OR(BA15="",ЕТАЛОН_ПЛ="",IFERROR(INDEX(БАЗА_RO,4,IFERROR(MATCH(ЕТАЛОН_ПЛ,ПЛ_РЯДОК,0),0)),"")="",IFERROR(INDEX(БАЗА_RO,4,IFERROR(MATCH(ЕТАЛОН_ПЛ,ПЛ_РЯДОК,0),0)),"")=0),"",BA15/IFERROR(INDEX(БАЗА_RO,4,IFERROR(MATCH(ЕТАЛОН_ПЛ,ПЛ_РЯДОК,0),0)),"")-1)</f>
        <v>-0.079516129032258</v>
      </c>
      <c r="BC29" s="37" t="n">
        <f aca="false" t="array" ref="BC29:BC29">IF(OR(BC15="",ЕТАЛОН_ПЛ="",IFERROR(INDEX(БАЗА_RO,4,IFERROR(MATCH(ЕТАЛОН_ПЛ,ПЛ_РЯДОК,0),0)),"")=""),"",BC15-IFERROR(INDEX(БАЗА_RO,4,IFERROR(MATCH(ЕТАЛОН_ПЛ,ПЛ_РЯДОК,0),0)),""))</f>
        <v>3200</v>
      </c>
      <c r="BD29" s="86" t="n">
        <f aca="false" t="array" ref="BD29:BD29">IF(OR(BC15="",ЕТАЛОН_ПЛ="",IFERROR(INDEX(БАЗА_RO,4,IFERROR(MATCH(ЕТАЛОН_ПЛ,ПЛ_РЯДОК,0),0)),"")="",IFERROR(INDEX(БАЗА_RO,4,IFERROR(MATCH(ЕТАЛОН_ПЛ,ПЛ_РЯДОК,0),0)),"")=0),"",BC15/IFERROR(INDEX(БАЗА_RO,4,IFERROR(MATCH(ЕТАЛОН_ПЛ,ПЛ_РЯДОК,0),0)),"")-1)</f>
        <v>0.516129032258065</v>
      </c>
      <c r="BE29" s="37" t="n">
        <f aca="false" t="array" ref="BE29:BE29">IF(OR(BE15="",ЕТАЛОН_ПЛ="",IFERROR(INDEX(БАЗА_RO,4,IFERROR(MATCH(ЕТАЛОН_ПЛ,ПЛ_РЯДОК,0),0)),"")=""),"",BE15-IFERROR(INDEX(БАЗА_RO,4,IFERROR(MATCH(ЕТАЛОН_ПЛ,ПЛ_РЯДОК,0),0)),""))</f>
        <v>-1700</v>
      </c>
      <c r="BF29" s="86" t="n">
        <f aca="false" t="array" ref="BF29:BF29">IF(OR(BE15="",ЕТАЛОН_ПЛ="",IFERROR(INDEX(БАЗА_RO,4,IFERROR(MATCH(ЕТАЛОН_ПЛ,ПЛ_РЯДОК,0),0)),"")="",IFERROR(INDEX(БАЗА_RO,4,IFERROR(MATCH(ЕТАЛОН_ПЛ,ПЛ_РЯДОК,0),0)),"")=0),"",BE15/IFERROR(INDEX(БАЗА_RO,4,IFERROR(MATCH(ЕТАЛОН_ПЛ,ПЛ_РЯДОК,0),0)),"")-1)</f>
        <v>-0.274193548387097</v>
      </c>
      <c r="BG29" s="37" t="n">
        <f aca="false" t="array" ref="BG29:BG29">IF(OR(BG15="",ЕТАЛОН_ПЛ="",IFERROR(INDEX(БАЗА_RO,4,IFERROR(MATCH(ЕТАЛОН_ПЛ,ПЛ_РЯДОК,0),0)),"")=""),"",BG15-IFERROR(INDEX(БАЗА_RO,4,IFERROR(MATCH(ЕТАЛОН_ПЛ,ПЛ_РЯДОК,0),0)),""))</f>
        <v>-900</v>
      </c>
      <c r="BH29" s="86" t="n">
        <f aca="false" t="array" ref="BH29:BH29">IF(OR(BG15="",ЕТАЛОН_ПЛ="",IFERROR(INDEX(БАЗА_RO,4,IFERROR(MATCH(ЕТАЛОН_ПЛ,ПЛ_РЯДОК,0),0)),"")="",IFERROR(INDEX(БАЗА_RO,4,IFERROR(MATCH(ЕТАЛОН_ПЛ,ПЛ_РЯДОК,0),0)),"")=0),"",BG15/IFERROR(INDEX(БАЗА_RO,4,IFERROR(MATCH(ЕТАЛОН_ПЛ,ПЛ_РЯДОК,0),0)),"")-1)</f>
        <v>-0.145161290322581</v>
      </c>
      <c r="BI29" s="37" t="n">
        <f aca="false" t="array" ref="BI29:BI29">IF(OR(BI15="",ЕТАЛОН_ПЛ="",IFERROR(INDEX(БАЗА_RO,4,IFERROR(MATCH(ЕТАЛОН_ПЛ,ПЛ_РЯДОК,0),0)),"")=""),"",BI15-IFERROR(INDEX(БАЗА_RO,4,IFERROR(MATCH(ЕТАЛОН_ПЛ,ПЛ_РЯДОК,0),0)),""))</f>
        <v>0</v>
      </c>
      <c r="BJ29" s="86" t="n">
        <f aca="false" t="array" ref="BJ29:BJ29">IF(OR(BI15="",ЕТАЛОН_ПЛ="",IFERROR(INDEX(БАЗА_RO,4,IFERROR(MATCH(ЕТАЛОН_ПЛ,ПЛ_РЯДОК,0),0)),"")="",IFERROR(INDEX(БАЗА_RO,4,IFERROR(MATCH(ЕТАЛОН_ПЛ,ПЛ_РЯДОК,0),0)),"")=0),"",BI15/IFERROR(INDEX(БАЗА_RO,4,IFERROR(MATCH(ЕТАЛОН_ПЛ,ПЛ_РЯДОК,0),0)),"")-1)</f>
        <v>0</v>
      </c>
      <c r="BK29" s="37" t="n">
        <f aca="false" t="array" ref="BK29:BK29">IF(OR(BK15="",ЕТАЛОН_ПЛ="",IFERROR(INDEX(БАЗА_RO,4,IFERROR(MATCH(ЕТАЛОН_ПЛ,ПЛ_РЯДОК,0),0)),"")=""),"",BK15-IFERROR(INDEX(БАЗА_RO,4,IFERROR(MATCH(ЕТАЛОН_ПЛ,ПЛ_РЯДОК,0),0)),""))</f>
        <v>4500</v>
      </c>
      <c r="BL29" s="86" t="n">
        <f aca="false" t="array" ref="BL29:BL29">IF(OR(BK15="",ЕТАЛОН_ПЛ="",IFERROR(INDEX(БАЗА_RO,4,IFERROR(MATCH(ЕТАЛОН_ПЛ,ПЛ_РЯДОК,0),0)),"")="",IFERROR(INDEX(БАЗА_RO,4,IFERROR(MATCH(ЕТАЛОН_ПЛ,ПЛ_РЯДОК,0),0)),"")=0),"",BK15/IFERROR(INDEX(БАЗА_RO,4,IFERROR(MATCH(ЕТАЛОН_ПЛ,ПЛ_РЯДОК,0),0)),"")-1)</f>
        <v>0.725806451612903</v>
      </c>
      <c r="BM29" s="37" t="str">
        <f aca="false" t="array" ref="BM29:BM29">IF(OR(BM15="",ЕТАЛОН_ПЛ="",IFERROR(INDEX(БАЗА_RO,4,IFERROR(MATCH(ЕТАЛОН_ПЛ,ПЛ_РЯДОК,0),0)),"")=""),"",BM15-IFERROR(INDEX(БАЗА_RO,4,IFERROR(MATCH(ЕТАЛОН_ПЛ,ПЛ_РЯДОК,0),0)),""))</f>
        <v/>
      </c>
      <c r="BN29" s="86" t="str">
        <f aca="false" t="array" ref="BN29:BN29">IF(OR(BM15="",ЕТАЛОН_ПЛ="",IFERROR(INDEX(БАЗА_RO,4,IFERROR(MATCH(ЕТАЛОН_ПЛ,ПЛ_РЯДОК,0),0)),"")="",IFERROR(INDEX(БАЗА_RO,4,IFERROR(MATCH(ЕТАЛОН_ПЛ,ПЛ_РЯДОК,0),0)),"")=0),"",BM15/IFERROR(INDEX(БАЗА_RO,4,IFERROR(MATCH(ЕТАЛОН_ПЛ,ПЛ_РЯДОК,0),0)),"")-1)</f>
        <v/>
      </c>
      <c r="BO29" s="37" t="str">
        <f aca="false" t="array" ref="BO29:BO29">IF(OR(BO15="",ЕТАЛОН_ПЛ="",IFERROR(INDEX(БАЗА_RO,4,IFERROR(MATCH(ЕТАЛОН_ПЛ,ПЛ_РЯДОК,0),0)),"")=""),"",BO15-IFERROR(INDEX(БАЗА_RO,4,IFERROR(MATCH(ЕТАЛОН_ПЛ,ПЛ_РЯДОК,0),0)),""))</f>
        <v/>
      </c>
      <c r="BP29" s="86" t="str">
        <f aca="false" t="array" ref="BP29:BP29">IF(OR(BO15="",ЕТАЛОН_ПЛ="",IFERROR(INDEX(БАЗА_RO,4,IFERROR(MATCH(ЕТАЛОН_ПЛ,ПЛ_РЯДОК,0),0)),"")="",IFERROR(INDEX(БАЗА_RO,4,IFERROR(MATCH(ЕТАЛОН_ПЛ,ПЛ_РЯДОК,0),0)),"")=0),"",BO15/IFERROR(INDEX(БАЗА_RO,4,IFERROR(MATCH(ЕТАЛОН_ПЛ,ПЛ_РЯДОК,0),0)),"")-1)</f>
        <v/>
      </c>
      <c r="BQ29" s="37" t="str">
        <f aca="false" t="array" ref="BQ29:BQ29">IF(OR(BQ15="",ЕТАЛОН_ПЛ="",IFERROR(INDEX(БАЗА_RO,4,IFERROR(MATCH(ЕТАЛОН_ПЛ,ПЛ_РЯДОК,0),0)),"")=""),"",BQ15-IFERROR(INDEX(БАЗА_RO,4,IFERROR(MATCH(ЕТАЛОН_ПЛ,ПЛ_РЯДОК,0),0)),""))</f>
        <v/>
      </c>
      <c r="BR29" s="86" t="str">
        <f aca="false" t="array" ref="BR29:BR29">IF(OR(BQ15="",ЕТАЛОН_ПЛ="",IFERROR(INDEX(БАЗА_RO,4,IFERROR(MATCH(ЕТАЛОН_ПЛ,ПЛ_РЯДОК,0),0)),"")="",IFERROR(INDEX(БАЗА_RO,4,IFERROR(MATCH(ЕТАЛОН_ПЛ,ПЛ_РЯДОК,0),0)),"")=0),"",BQ15/IFERROR(INDEX(БАЗА_RO,4,IFERROR(MATCH(ЕТАЛОН_ПЛ,ПЛ_РЯДОК,0),0)),"")-1)</f>
        <v/>
      </c>
      <c r="BS29" s="37" t="str">
        <f aca="false" t="array" ref="BS29:BS29">IF(OR(BS15="",ЕТАЛОН_ПЛ="",IFERROR(INDEX(БАЗА_RO,4,IFERROR(MATCH(ЕТАЛОН_ПЛ,ПЛ_РЯДОК,0),0)),"")=""),"",BS15-IFERROR(INDEX(БАЗА_RO,4,IFERROR(MATCH(ЕТАЛОН_ПЛ,ПЛ_РЯДОК,0),0)),""))</f>
        <v/>
      </c>
      <c r="BT29" s="86" t="str">
        <f aca="false" t="array" ref="BT29:BT29">IF(OR(BS15="",ЕТАЛОН_ПЛ="",IFERROR(INDEX(БАЗА_RO,4,IFERROR(MATCH(ЕТАЛОН_ПЛ,ПЛ_РЯДОК,0),0)),"")="",IFERROR(INDEX(БАЗА_RO,4,IFERROR(MATCH(ЕТАЛОН_ПЛ,ПЛ_РЯДОК,0),0)),"")=0),"",BS15/IFERROR(INDEX(БАЗА_RO,4,IFERROR(MATCH(ЕТАЛОН_ПЛ,ПЛ_РЯДОК,0),0)),"")-1)</f>
        <v/>
      </c>
      <c r="BU29" s="37" t="str">
        <f aca="false" t="array" ref="BU29:BU29">IF(OR(BU15="",ЕТАЛОН_ПЛ="",IFERROR(INDEX(БАЗА_RO,4,IFERROR(MATCH(ЕТАЛОН_ПЛ,ПЛ_РЯДОК,0),0)),"")=""),"",BU15-IFERROR(INDEX(БАЗА_RO,4,IFERROR(MATCH(ЕТАЛОН_ПЛ,ПЛ_РЯДОК,0),0)),""))</f>
        <v/>
      </c>
      <c r="BV29" s="86" t="str">
        <f aca="false" t="array" ref="BV29:BV29">IF(OR(BU15="",ЕТАЛОН_ПЛ="",IFERROR(INDEX(БАЗА_RO,4,IFERROR(MATCH(ЕТАЛОН_ПЛ,ПЛ_РЯДОК,0),0)),"")="",IFERROR(INDEX(БАЗА_RO,4,IFERROR(MATCH(ЕТАЛОН_ПЛ,ПЛ_РЯДОК,0),0)),"")=0),"",BU15/IFERROR(INDEX(БАЗА_RO,4,IFERROR(MATCH(ЕТАЛОН_ПЛ,ПЛ_РЯДОК,0),0)),"")-1)</f>
        <v/>
      </c>
      <c r="BW29" s="37" t="str">
        <f aca="false" t="array" ref="BW29:BW29">IF(OR(BW15="",ЕТАЛОН_ПЛ="",IFERROR(INDEX(БАЗА_RO,4,IFERROR(MATCH(ЕТАЛОН_ПЛ,ПЛ_РЯДОК,0),0)),"")=""),"",BW15-IFERROR(INDEX(БАЗА_RO,4,IFERROR(MATCH(ЕТАЛОН_ПЛ,ПЛ_РЯДОК,0),0)),""))</f>
        <v/>
      </c>
      <c r="BX29" s="86" t="str">
        <f aca="false" t="array" ref="BX29:BX29">IF(OR(BW15="",ЕТАЛОН_ПЛ="",IFERROR(INDEX(БАЗА_RO,4,IFERROR(MATCH(ЕТАЛОН_ПЛ,ПЛ_РЯДОК,0),0)),"")="",IFERROR(INDEX(БАЗА_RO,4,IFERROR(MATCH(ЕТАЛОН_ПЛ,ПЛ_РЯДОК,0),0)),"")=0),"",BW15/IFERROR(INDEX(БАЗА_RO,4,IFERROR(MATCH(ЕТАЛОН_ПЛ,ПЛ_РЯДОК,0),0)),"")-1)</f>
        <v/>
      </c>
      <c r="BY29" s="37" t="str">
        <f aca="false" t="array" ref="BY29:BY29">IF(OR(BY15="",ЕТАЛОН_ПЛ="",IFERROR(INDEX(БАЗА_RO,4,IFERROR(MATCH(ЕТАЛОН_ПЛ,ПЛ_РЯДОК,0),0)),"")=""),"",BY15-IFERROR(INDEX(БАЗА_RO,4,IFERROR(MATCH(ЕТАЛОН_ПЛ,ПЛ_РЯДОК,0),0)),""))</f>
        <v/>
      </c>
      <c r="BZ29" s="86" t="str">
        <f aca="false" t="array" ref="BZ29:BZ29">IF(OR(BY15="",ЕТАЛОН_ПЛ="",IFERROR(INDEX(БАЗА_RO,4,IFERROR(MATCH(ЕТАЛОН_ПЛ,ПЛ_РЯДОК,0),0)),"")="",IFERROR(INDEX(БАЗА_RO,4,IFERROR(MATCH(ЕТАЛОН_ПЛ,ПЛ_РЯДОК,0),0)),"")=0),"",BY15/IFERROR(INDEX(БАЗА_RO,4,IFERROR(MATCH(ЕТАЛОН_ПЛ,ПЛ_РЯДОК,0),0)),"")-1)</f>
        <v/>
      </c>
      <c r="CA29" s="37" t="str">
        <f aca="false" t="array" ref="CA29:CA29">IF(OR(CA15="",ЕТАЛОН_ПЛ="",IFERROR(INDEX(БАЗА_RO,4,IFERROR(MATCH(ЕТАЛОН_ПЛ,ПЛ_РЯДОК,0),0)),"")=""),"",CA15-IFERROR(INDEX(БАЗА_RO,4,IFERROR(MATCH(ЕТАЛОН_ПЛ,ПЛ_РЯДОК,0),0)),""))</f>
        <v/>
      </c>
      <c r="CB29" s="86" t="str">
        <f aca="false" t="array" ref="CB29:CB29">IF(OR(CA15="",ЕТАЛОН_ПЛ="",IFERROR(INDEX(БАЗА_RO,4,IFERROR(MATCH(ЕТАЛОН_ПЛ,ПЛ_РЯДОК,0),0)),"")="",IFERROR(INDEX(БАЗА_RO,4,IFERROR(MATCH(ЕТАЛОН_ПЛ,ПЛ_РЯДОК,0),0)),"")=0),"",CA15/IFERROR(INDEX(БАЗА_RO,4,IFERROR(MATCH(ЕТАЛОН_ПЛ,ПЛ_РЯДОК,0),0)),"")-1)</f>
        <v/>
      </c>
      <c r="CC29" s="37" t="str">
        <f aca="false" t="array" ref="CC29:CC29">IF(OR(CC15="",ЕТАЛОН_ПЛ="",IFERROR(INDEX(БАЗА_RO,4,IFERROR(MATCH(ЕТАЛОН_ПЛ,ПЛ_РЯДОК,0),0)),"")=""),"",CC15-IFERROR(INDEX(БАЗА_RO,4,IFERROR(MATCH(ЕТАЛОН_ПЛ,ПЛ_РЯДОК,0),0)),""))</f>
        <v/>
      </c>
      <c r="CD29" s="86" t="str">
        <f aca="false" t="array" ref="CD29:CD29">IF(OR(CC15="",ЕТАЛОН_ПЛ="",IFERROR(INDEX(БАЗА_RO,4,IFERROR(MATCH(ЕТАЛОН_ПЛ,ПЛ_РЯДОК,0),0)),"")="",IFERROR(INDEX(БАЗА_RO,4,IFERROR(MATCH(ЕТАЛОН_ПЛ,ПЛ_РЯДОК,0),0)),"")=0),"",CC15/IFERROR(INDEX(БАЗА_RO,4,IFERROR(MATCH(ЕТАЛОН_ПЛ,ПЛ_РЯДОК,0),0)),"")-1)</f>
        <v/>
      </c>
      <c r="CE29" s="37" t="str">
        <f aca="false" t="array" ref="CE29:CE29">IF(OR(CE15="",ЕТАЛОН_ПЛ="",IFERROR(INDEX(БАЗА_RO,4,IFERROR(MATCH(ЕТАЛОН_ПЛ,ПЛ_РЯДОК,0),0)),"")=""),"",CE15-IFERROR(INDEX(БАЗА_RO,4,IFERROR(MATCH(ЕТАЛОН_ПЛ,ПЛ_РЯДОК,0),0)),""))</f>
        <v/>
      </c>
      <c r="CF29" s="86" t="str">
        <f aca="false" t="array" ref="CF29:CF29">IF(OR(CE15="",ЕТАЛОН_ПЛ="",IFERROR(INDEX(БАЗА_RO,4,IFERROR(MATCH(ЕТАЛОН_ПЛ,ПЛ_РЯДОК,0),0)),"")="",IFERROR(INDEX(БАЗА_RO,4,IFERROR(MATCH(ЕТАЛОН_ПЛ,ПЛ_РЯДОК,0),0)),"")=0),"",CE15/IFERROR(INDEX(БАЗА_RO,4,IFERROR(MATCH(ЕТАЛОН_ПЛ,ПЛ_РЯДОК,0),0)),"")-1)</f>
        <v/>
      </c>
      <c r="CG29" s="37" t="str">
        <f aca="false" t="array" ref="CG29:CG29">IF(OR(CG15="",ЕТАЛОН_ПЛ="",IFERROR(INDEX(БАЗА_RO,4,IFERROR(MATCH(ЕТАЛОН_ПЛ,ПЛ_РЯДОК,0),0)),"")=""),"",CG15-IFERROR(INDEX(БАЗА_RO,4,IFERROR(MATCH(ЕТАЛОН_ПЛ,ПЛ_РЯДОК,0),0)),""))</f>
        <v/>
      </c>
      <c r="CH29" s="86" t="str">
        <f aca="false" t="array" ref="CH29:CH29">IF(OR(CG15="",ЕТАЛОН_ПЛ="",IFERROR(INDEX(БАЗА_RO,4,IFERROR(MATCH(ЕТАЛОН_ПЛ,ПЛ_РЯДОК,0),0)),"")="",IFERROR(INDEX(БАЗА_RO,4,IFERROR(MATCH(ЕТАЛОН_ПЛ,ПЛ_РЯДОК,0),0)),"")=0),"",CG15/IFERROR(INDEX(БАЗА_RO,4,IFERROR(MATCH(ЕТАЛОН_ПЛ,ПЛ_РЯДОК,0),0)),"")-1)</f>
        <v/>
      </c>
      <c r="CI29" s="37" t="str">
        <f aca="false" t="array" ref="CI29:CI29">IF(OR(CI15="",ЕТАЛОН_ПЛ="",IFERROR(INDEX(БАЗА_RO,4,IFERROR(MATCH(ЕТАЛОН_ПЛ,ПЛ_РЯДОК,0),0)),"")=""),"",CI15-IFERROR(INDEX(БАЗА_RO,4,IFERROR(MATCH(ЕТАЛОН_ПЛ,ПЛ_РЯДОК,0),0)),""))</f>
        <v/>
      </c>
      <c r="CJ29" s="86" t="str">
        <f aca="false" t="array" ref="CJ29:CJ29">IF(OR(CI15="",ЕТАЛОН_ПЛ="",IFERROR(INDEX(БАЗА_RO,4,IFERROR(MATCH(ЕТАЛОН_ПЛ,ПЛ_РЯДОК,0),0)),"")="",IFERROR(INDEX(БАЗА_RO,4,IFERROR(MATCH(ЕТАЛОН_ПЛ,ПЛ_РЯДОК,0),0)),"")=0),"",CI15/IFERROR(INDEX(БАЗА_RO,4,IFERROR(MATCH(ЕТАЛОН_ПЛ,ПЛ_РЯДОК,0),0)),"")-1)</f>
        <v/>
      </c>
      <c r="CK29" s="37" t="str">
        <f aca="false" t="array" ref="CK29:CK29">IF(OR(CK15="",ЕТАЛОН_ПЛ="",IFERROR(INDEX(БАЗА_RO,4,IFERROR(MATCH(ЕТАЛОН_ПЛ,ПЛ_РЯДОК,0),0)),"")=""),"",CK15-IFERROR(INDEX(БАЗА_RO,4,IFERROR(MATCH(ЕТАЛОН_ПЛ,ПЛ_РЯДОК,0),0)),""))</f>
        <v/>
      </c>
      <c r="CL29" s="86" t="str">
        <f aca="false" t="array" ref="CL29:CL29">IF(OR(CK15="",ЕТАЛОН_ПЛ="",IFERROR(INDEX(БАЗА_RO,4,IFERROR(MATCH(ЕТАЛОН_ПЛ,ПЛ_РЯДОК,0),0)),"")="",IFERROR(INDEX(БАЗА_RO,4,IFERROR(MATCH(ЕТАЛОН_ПЛ,ПЛ_РЯДОК,0),0)),"")=0),"",CK15/IFERROR(INDEX(БАЗА_RO,4,IFERROR(MATCH(ЕТАЛОН_ПЛ,ПЛ_РЯДОК,0),0)),"")-1)</f>
        <v/>
      </c>
      <c r="CM29" s="37" t="str">
        <f aca="false" t="array" ref="CM29:CM29">IF(OR(CM15="",ЕТАЛОН_ПЛ="",IFERROR(INDEX(БАЗА_RO,4,IFERROR(MATCH(ЕТАЛОН_ПЛ,ПЛ_РЯДОК,0),0)),"")=""),"",CM15-IFERROR(INDEX(БАЗА_RO,4,IFERROR(MATCH(ЕТАЛОН_ПЛ,ПЛ_РЯДОК,0),0)),""))</f>
        <v/>
      </c>
      <c r="CN29" s="86" t="str">
        <f aca="false" t="array" ref="CN29:CN29">IF(OR(CM15="",ЕТАЛОН_ПЛ="",IFERROR(INDEX(БАЗА_RO,4,IFERROR(MATCH(ЕТАЛОН_ПЛ,ПЛ_РЯДОК,0),0)),"")="",IFERROR(INDEX(БАЗА_RO,4,IFERROR(MATCH(ЕТАЛОН_ПЛ,ПЛ_РЯДОК,0),0)),"")=0),"",CM15/IFERROR(INDEX(БАЗА_RO,4,IFERROR(MATCH(ЕТАЛОН_ПЛ,ПЛ_РЯДОК,0),0)),"")-1)</f>
        <v/>
      </c>
      <c r="CO29" s="37" t="str">
        <f aca="false" t="array" ref="CO29:CO29">IF(OR(CO15="",ЕТАЛОН_ПЛ="",IFERROR(INDEX(БАЗА_RO,4,IFERROR(MATCH(ЕТАЛОН_ПЛ,ПЛ_РЯДОК,0),0)),"")=""),"",CO15-IFERROR(INDEX(БАЗА_RO,4,IFERROR(MATCH(ЕТАЛОН_ПЛ,ПЛ_РЯДОК,0),0)),""))</f>
        <v/>
      </c>
      <c r="CP29" s="86" t="str">
        <f aca="false" t="array" ref="CP29:CP29">IF(OR(CO15="",ЕТАЛОН_ПЛ="",IFERROR(INDEX(БАЗА_RO,4,IFERROR(MATCH(ЕТАЛОН_ПЛ,ПЛ_РЯДОК,0),0)),"")="",IFERROR(INDEX(БАЗА_RO,4,IFERROR(MATCH(ЕТАЛОН_ПЛ,ПЛ_РЯДОК,0),0)),"")=0),"",CO15/IFERROR(INDEX(БАЗА_RO,4,IFERROR(MATCH(ЕТАЛОН_ПЛ,ПЛ_РЯДОК,0),0)),"")-1)</f>
        <v/>
      </c>
      <c r="CQ29" s="37" t="str">
        <f aca="false" t="array" ref="CQ29:CQ29">IF(OR(CQ15="",ЕТАЛОН_ПЛ="",IFERROR(INDEX(БАЗА_RO,4,IFERROR(MATCH(ЕТАЛОН_ПЛ,ПЛ_РЯДОК,0),0)),"")=""),"",CQ15-IFERROR(INDEX(БАЗА_RO,4,IFERROR(MATCH(ЕТАЛОН_ПЛ,ПЛ_РЯДОК,0),0)),""))</f>
        <v/>
      </c>
      <c r="CR29" s="86" t="str">
        <f aca="false" t="array" ref="CR29:CR29">IF(OR(CQ15="",ЕТАЛОН_ПЛ="",IFERROR(INDEX(БАЗА_RO,4,IFERROR(MATCH(ЕТАЛОН_ПЛ,ПЛ_РЯДОК,0),0)),"")="",IFERROR(INDEX(БАЗА_RO,4,IFERROR(MATCH(ЕТАЛОН_ПЛ,ПЛ_РЯДОК,0),0)),"")=0),"",CQ15/IFERROR(INDEX(БАЗА_RO,4,IFERROR(MATCH(ЕТАЛОН_ПЛ,ПЛ_РЯДОК,0),0)),"")-1)</f>
        <v/>
      </c>
      <c r="CS29" s="37" t="str">
        <f aca="false" t="array" ref="CS29:CS29">IF(OR(CS15="",ЕТАЛОН_ПЛ="",IFERROR(INDEX(БАЗА_RO,4,IFERROR(MATCH(ЕТАЛОН_ПЛ,ПЛ_РЯДОК,0),0)),"")=""),"",CS15-IFERROR(INDEX(БАЗА_RO,4,IFERROR(MATCH(ЕТАЛОН_ПЛ,ПЛ_РЯДОК,0),0)),""))</f>
        <v/>
      </c>
      <c r="CT29" s="86" t="str">
        <f aca="false" t="array" ref="CT29:CT29">IF(OR(CS15="",ЕТАЛОН_ПЛ="",IFERROR(INDEX(БАЗА_RO,4,IFERROR(MATCH(ЕТАЛОН_ПЛ,ПЛ_РЯДОК,0),0)),"")="",IFERROR(INDEX(БАЗА_RO,4,IFERROR(MATCH(ЕТАЛОН_ПЛ,ПЛ_РЯДОК,0),0)),"")=0),"",CS15/IFERROR(INDEX(БАЗА_RO,4,IFERROR(MATCH(ЕТАЛОН_ПЛ,ПЛ_РЯДОК,0),0)),"")-1)</f>
        <v/>
      </c>
      <c r="CU29" s="37" t="str">
        <f aca="false" t="array" ref="CU29:CU29">IF(OR(CU15="",ЕТАЛОН_ПЛ="",IFERROR(INDEX(БАЗА_RO,4,IFERROR(MATCH(ЕТАЛОН_ПЛ,ПЛ_РЯДОК,0),0)),"")=""),"",CU15-IFERROR(INDEX(БАЗА_RO,4,IFERROR(MATCH(ЕТАЛОН_ПЛ,ПЛ_РЯДОК,0),0)),""))</f>
        <v/>
      </c>
      <c r="CV29" s="86" t="str">
        <f aca="false" t="array" ref="CV29:CV29">IF(OR(CU15="",ЕТАЛОН_ПЛ="",IFERROR(INDEX(БАЗА_RO,4,IFERROR(MATCH(ЕТАЛОН_ПЛ,ПЛ_РЯДОК,0),0)),"")="",IFERROR(INDEX(БАЗА_RO,4,IFERROR(MATCH(ЕТАЛОН_ПЛ,ПЛ_РЯДОК,0),0)),"")=0),"",CU15/IFERROR(INDEX(БАЗА_RO,4,IFERROR(MATCH(ЕТАЛОН_ПЛ,ПЛ_РЯДОК,0),0)),"")-1)</f>
        <v/>
      </c>
      <c r="CW29" s="37" t="str">
        <f aca="false" t="array" ref="CW29:CW29">IF(OR(CW15="",ЕТАЛОН_ПЛ="",IFERROR(INDEX(БАЗА_RO,4,IFERROR(MATCH(ЕТАЛОН_ПЛ,ПЛ_РЯДОК,0),0)),"")=""),"",CW15-IFERROR(INDEX(БАЗА_RO,4,IFERROR(MATCH(ЕТАЛОН_ПЛ,ПЛ_РЯДОК,0),0)),""))</f>
        <v/>
      </c>
      <c r="CX29" s="86" t="str">
        <f aca="false" t="array" ref="CX29:CX29">IF(OR(CW15="",ЕТАЛОН_ПЛ="",IFERROR(INDEX(БАЗА_RO,4,IFERROR(MATCH(ЕТАЛОН_ПЛ,ПЛ_РЯДОК,0),0)),"")="",IFERROR(INDEX(БАЗА_RO,4,IFERROR(MATCH(ЕТАЛОН_ПЛ,ПЛ_РЯДОК,0),0)),"")=0),"",CW15/IFERROR(INDEX(БАЗА_RO,4,IFERROR(MATCH(ЕТАЛОН_ПЛ,ПЛ_РЯДОК,0),0)),"")-1)</f>
        <v/>
      </c>
      <c r="CY29" s="37" t="str">
        <f aca="false" t="array" ref="CY29:CY29">IF(OR(CY15="",ЕТАЛОН_ПЛ="",IFERROR(INDEX(БАЗА_RO,4,IFERROR(MATCH(ЕТАЛОН_ПЛ,ПЛ_РЯДОК,0),0)),"")=""),"",CY15-IFERROR(INDEX(БАЗА_RO,4,IFERROR(MATCH(ЕТАЛОН_ПЛ,ПЛ_РЯДОК,0),0)),""))</f>
        <v/>
      </c>
      <c r="CZ29" s="86" t="str">
        <f aca="false" t="array" ref="CZ29:CZ29">IF(OR(CY15="",ЕТАЛОН_ПЛ="",IFERROR(INDEX(БАЗА_RO,4,IFERROR(MATCH(ЕТАЛОН_ПЛ,ПЛ_РЯДОК,0),0)),"")="",IFERROR(INDEX(БАЗА_RO,4,IFERROR(MATCH(ЕТАЛОН_ПЛ,ПЛ_РЯДОК,0),0)),"")=0),"",CY15/IFERROR(INDEX(БАЗА_RO,4,IFERROR(MATCH(ЕТАЛОН_ПЛ,ПЛ_РЯДОК,0),0)),"")-1)</f>
        <v/>
      </c>
      <c r="DA29" s="37" t="str">
        <f aca="false" t="array" ref="DA29:DA29">IF(OR(DA15="",ЕТАЛОН_ПЛ="",IFERROR(INDEX(БАЗА_RO,4,IFERROR(MATCH(ЕТАЛОН_ПЛ,ПЛ_РЯДОК,0),0)),"")=""),"",DA15-IFERROR(INDEX(БАЗА_RO,4,IFERROR(MATCH(ЕТАЛОН_ПЛ,ПЛ_РЯДОК,0),0)),""))</f>
        <v/>
      </c>
      <c r="DB29" s="86" t="str">
        <f aca="false" t="array" ref="DB29:DB29">IF(OR(DA15="",ЕТАЛОН_ПЛ="",IFERROR(INDEX(БАЗА_RO,4,IFERROR(MATCH(ЕТАЛОН_ПЛ,ПЛ_РЯДОК,0),0)),"")="",IFERROR(INDEX(БАЗА_RO,4,IFERROR(MATCH(ЕТАЛОН_ПЛ,ПЛ_РЯДОК,0),0)),"")=0),"",DA15/IFERROR(INDEX(БАЗА_RO,4,IFERROR(MATCH(ЕТАЛОН_ПЛ,ПЛ_РЯДОК,0),0)),"")-1)</f>
        <v/>
      </c>
      <c r="DC29" s="37" t="str">
        <f aca="false" t="array" ref="DC29:DC29">IF(OR(DC15="",ЕТАЛОН_ПЛ="",IFERROR(INDEX(БАЗА_RO,4,IFERROR(MATCH(ЕТАЛОН_ПЛ,ПЛ_РЯДОК,0),0)),"")=""),"",DC15-IFERROR(INDEX(БАЗА_RO,4,IFERROR(MATCH(ЕТАЛОН_ПЛ,ПЛ_РЯДОК,0),0)),""))</f>
        <v/>
      </c>
      <c r="DD29" s="86" t="str">
        <f aca="false" t="array" ref="DD29:DD29">IF(OR(DC15="",ЕТАЛОН_ПЛ="",IFERROR(INDEX(БАЗА_RO,4,IFERROR(MATCH(ЕТАЛОН_ПЛ,ПЛ_РЯДОК,0),0)),"")="",IFERROR(INDEX(БАЗА_RO,4,IFERROR(MATCH(ЕТАЛОН_ПЛ,ПЛ_РЯДОК,0),0)),"")=0),"",DC15/IFERROR(INDEX(БАЗА_RO,4,IFERROR(MATCH(ЕТАЛОН_ПЛ,ПЛ_РЯДОК,0),0)),"")-1)</f>
        <v/>
      </c>
      <c r="DE29" s="37" t="str">
        <f aca="false" t="array" ref="DE29:DE29">IF(OR(DE15="",ЕТАЛОН_ПЛ="",IFERROR(INDEX(БАЗА_RO,4,IFERROR(MATCH(ЕТАЛОН_ПЛ,ПЛ_РЯДОК,0),0)),"")=""),"",DE15-IFERROR(INDEX(БАЗА_RO,4,IFERROR(MATCH(ЕТАЛОН_ПЛ,ПЛ_РЯДОК,0),0)),""))</f>
        <v/>
      </c>
      <c r="DF29" s="86" t="str">
        <f aca="false" t="array" ref="DF29:DF29">IF(OR(DE15="",ЕТАЛОН_ПЛ="",IFERROR(INDEX(БАЗА_RO,4,IFERROR(MATCH(ЕТАЛОН_ПЛ,ПЛ_РЯДОК,0),0)),"")="",IFERROR(INDEX(БАЗА_RO,4,IFERROR(MATCH(ЕТАЛОН_ПЛ,ПЛ_РЯДОК,0),0)),"")=0),"",DE15/IFERROR(INDEX(БАЗА_RO,4,IFERROR(MATCH(ЕТАЛОН_ПЛ,ПЛ_РЯДОК,0),0)),"")-1)</f>
        <v/>
      </c>
      <c r="DG29" s="37" t="str">
        <f aca="false" t="array" ref="DG29:DG29">IF(OR(DG15="",ЕТАЛОН_ПЛ="",IFERROR(INDEX(БАЗА_RO,4,IFERROR(MATCH(ЕТАЛОН_ПЛ,ПЛ_РЯДОК,0),0)),"")=""),"",DG15-IFERROR(INDEX(БАЗА_RO,4,IFERROR(MATCH(ЕТАЛОН_ПЛ,ПЛ_РЯДОК,0),0)),""))</f>
        <v/>
      </c>
      <c r="DH29" s="86" t="str">
        <f aca="false" t="array" ref="DH29:DH29">IF(OR(DG15="",ЕТАЛОН_ПЛ="",IFERROR(INDEX(БАЗА_RO,4,IFERROR(MATCH(ЕТАЛОН_ПЛ,ПЛ_РЯДОК,0),0)),"")="",IFERROR(INDEX(БАЗА_RO,4,IFERROR(MATCH(ЕТАЛОН_ПЛ,ПЛ_РЯДОК,0),0)),"")=0),"",DG15/IFERROR(INDEX(БАЗА_RO,4,IFERROR(MATCH(ЕТАЛОН_ПЛ,ПЛ_РЯДОК,0),0)),"")-1)</f>
        <v/>
      </c>
      <c r="DI29" s="37" t="str">
        <f aca="false" t="array" ref="DI29:DI29">IF(OR(DI15="",ЕТАЛОН_ПЛ="",IFERROR(INDEX(БАЗА_RO,4,IFERROR(MATCH(ЕТАЛОН_ПЛ,ПЛ_РЯДОК,0),0)),"")=""),"",DI15-IFERROR(INDEX(БАЗА_RO,4,IFERROR(MATCH(ЕТАЛОН_ПЛ,ПЛ_РЯДОК,0),0)),""))</f>
        <v/>
      </c>
      <c r="DJ29" s="86" t="str">
        <f aca="false" t="array" ref="DJ29:DJ29">IF(OR(DI15="",ЕТАЛОН_ПЛ="",IFERROR(INDEX(БАЗА_RO,4,IFERROR(MATCH(ЕТАЛОН_ПЛ,ПЛ_РЯДОК,0),0)),"")="",IFERROR(INDEX(БАЗА_RO,4,IFERROR(MATCH(ЕТАЛОН_ПЛ,ПЛ_РЯДОК,0),0)),"")=0),"",DI15/IFERROR(INDEX(БАЗА_RO,4,IFERROR(MATCH(ЕТАЛОН_ПЛ,ПЛ_РЯДОК,0),0)),"")-1)</f>
        <v/>
      </c>
      <c r="DK29" s="37" t="str">
        <f aca="false" t="array" ref="DK29:DK29">IF(OR(DK15="",ЕТАЛОН_ПЛ="",IFERROR(INDEX(БАЗА_RO,4,IFERROR(MATCH(ЕТАЛОН_ПЛ,ПЛ_РЯДОК,0),0)),"")=""),"",DK15-IFERROR(INDEX(БАЗА_RO,4,IFERROR(MATCH(ЕТАЛОН_ПЛ,ПЛ_РЯДОК,0),0)),""))</f>
        <v/>
      </c>
      <c r="DL29" s="86" t="str">
        <f aca="false" t="array" ref="DL29:DL29">IF(OR(DK15="",ЕТАЛОН_ПЛ="",IFERROR(INDEX(БАЗА_RO,4,IFERROR(MATCH(ЕТАЛОН_ПЛ,ПЛ_РЯДОК,0),0)),"")="",IFERROR(INDEX(БАЗА_RO,4,IFERROR(MATCH(ЕТАЛОН_ПЛ,ПЛ_РЯДОК,0),0)),"")=0),"",DK15/IFERROR(INDEX(БАЗА_RO,4,IFERROR(MATCH(ЕТАЛОН_ПЛ,ПЛ_РЯДОК,0),0)),"")-1)</f>
        <v/>
      </c>
      <c r="DM29" s="37" t="str">
        <f aca="false" t="array" ref="DM29:DM29">IF(OR(DM15="",ЕТАЛОН_ПЛ="",IFERROR(INDEX(БАЗА_RO,4,IFERROR(MATCH(ЕТАЛОН_ПЛ,ПЛ_РЯДОК,0),0)),"")=""),"",DM15-IFERROR(INDEX(БАЗА_RO,4,IFERROR(MATCH(ЕТАЛОН_ПЛ,ПЛ_РЯДОК,0),0)),""))</f>
        <v/>
      </c>
      <c r="DN29" s="86" t="str">
        <f aca="false" t="array" ref="DN29:DN29">IF(OR(DM15="",ЕТАЛОН_ПЛ="",IFERROR(INDEX(БАЗА_RO,4,IFERROR(MATCH(ЕТАЛОН_ПЛ,ПЛ_РЯДОК,0),0)),"")="",IFERROR(INDEX(БАЗА_RO,4,IFERROR(MATCH(ЕТАЛОН_ПЛ,ПЛ_РЯДОК,0),0)),"")=0),"",DM15/IFERROR(INDEX(БАЗА_RO,4,IFERROR(MATCH(ЕТАЛОН_ПЛ,ПЛ_РЯДОК,0),0)),"")-1)</f>
        <v/>
      </c>
      <c r="DO29" s="37" t="str">
        <f aca="false" t="array" ref="DO29:DO29">IF(OR(DO15="",ЕТАЛОН_ПЛ="",IFERROR(INDEX(БАЗА_RO,4,IFERROR(MATCH(ЕТАЛОН_ПЛ,ПЛ_РЯДОК,0),0)),"")=""),"",DO15-IFERROR(INDEX(БАЗА_RO,4,IFERROR(MATCH(ЕТАЛОН_ПЛ,ПЛ_РЯДОК,0),0)),""))</f>
        <v/>
      </c>
      <c r="DP29" s="86" t="str">
        <f aca="false" t="array" ref="DP29:DP29">IF(OR(DO15="",ЕТАЛОН_ПЛ="",IFERROR(INDEX(БАЗА_RO,4,IFERROR(MATCH(ЕТАЛОН_ПЛ,ПЛ_РЯДОК,0),0)),"")="",IFERROR(INDEX(БАЗА_RO,4,IFERROR(MATCH(ЕТАЛОН_ПЛ,ПЛ_РЯДОК,0),0)),"")=0),"",DO15/IFERROR(INDEX(БАЗА_RO,4,IFERROR(MATCH(ЕТАЛОН_ПЛ,ПЛ_РЯДОК,0),0)),"")-1)</f>
        <v/>
      </c>
      <c r="DQ29" s="37" t="str">
        <f aca="false" t="array" ref="DQ29:DQ29">IF(OR(DQ15="",ЕТАЛОН_ПЛ="",IFERROR(INDEX(БАЗА_RO,4,IFERROR(MATCH(ЕТАЛОН_ПЛ,ПЛ_РЯДОК,0),0)),"")=""),"",DQ15-IFERROR(INDEX(БАЗА_RO,4,IFERROR(MATCH(ЕТАЛОН_ПЛ,ПЛ_РЯДОК,0),0)),""))</f>
        <v/>
      </c>
      <c r="DR29" s="86" t="str">
        <f aca="false" t="array" ref="DR29:DR29">IF(OR(DQ15="",ЕТАЛОН_ПЛ="",IFERROR(INDEX(БАЗА_RO,4,IFERROR(MATCH(ЕТАЛОН_ПЛ,ПЛ_РЯДОК,0),0)),"")="",IFERROR(INDEX(БАЗА_RO,4,IFERROR(MATCH(ЕТАЛОН_ПЛ,ПЛ_РЯДОК,0),0)),"")=0),"",DQ15/IFERROR(INDEX(БАЗА_RO,4,IFERROR(MATCH(ЕТАЛОН_ПЛ,ПЛ_РЯДОК,0),0)),"")-1)</f>
        <v/>
      </c>
      <c r="DS29" s="37" t="str">
        <f aca="false" t="array" ref="DS29:DS29">IF(OR(DS15="",ЕТАЛОН_ПЛ="",IFERROR(INDEX(БАЗА_RO,4,IFERROR(MATCH(ЕТАЛОН_ПЛ,ПЛ_РЯДОК,0),0)),"")=""),"",DS15-IFERROR(INDEX(БАЗА_RO,4,IFERROR(MATCH(ЕТАЛОН_ПЛ,ПЛ_РЯДОК,0),0)),""))</f>
        <v/>
      </c>
      <c r="DT29" s="86" t="str">
        <f aca="false" t="array" ref="DT29:DT29">IF(OR(DS15="",ЕТАЛОН_ПЛ="",IFERROR(INDEX(БАЗА_RO,4,IFERROR(MATCH(ЕТАЛОН_ПЛ,ПЛ_РЯДОК,0),0)),"")="",IFERROR(INDEX(БАЗА_RO,4,IFERROR(MATCH(ЕТАЛОН_ПЛ,ПЛ_РЯДОК,0),0)),"")=0),"",DS15/IFERROR(INDEX(БАЗА_RO,4,IFERROR(MATCH(ЕТАЛОН_ПЛ,ПЛ_РЯДОК,0),0)),"")-1)</f>
        <v/>
      </c>
      <c r="DU29" s="37" t="str">
        <f aca="false" t="array" ref="DU29:DU29">IF(OR(DU15="",ЕТАЛОН_ПЛ="",IFERROR(INDEX(БАЗА_RO,4,IFERROR(MATCH(ЕТАЛОН_ПЛ,ПЛ_РЯДОК,0),0)),"")=""),"",DU15-IFERROR(INDEX(БАЗА_RO,4,IFERROR(MATCH(ЕТАЛОН_ПЛ,ПЛ_РЯДОК,0),0)),""))</f>
        <v/>
      </c>
      <c r="DV29" s="86" t="str">
        <f aca="false" t="array" ref="DV29:DV29">IF(OR(DU15="",ЕТАЛОН_ПЛ="",IFERROR(INDEX(БАЗА_RO,4,IFERROR(MATCH(ЕТАЛОН_ПЛ,ПЛ_РЯДОК,0),0)),"")="",IFERROR(INDEX(БАЗА_RO,4,IFERROR(MATCH(ЕТАЛОН_ПЛ,ПЛ_РЯДОК,0),0)),"")=0),"",DU15/IFERROR(INDEX(БАЗА_RO,4,IFERROR(MATCH(ЕТАЛОН_ПЛ,ПЛ_РЯДОК,0),0)),"")-1)</f>
        <v/>
      </c>
      <c r="DW29" s="37" t="str">
        <f aca="false" t="array" ref="DW29:DW29">IF(OR(DW15="",ЕТАЛОН_ПЛ="",IFERROR(INDEX(БАЗА_RO,4,IFERROR(MATCH(ЕТАЛОН_ПЛ,ПЛ_РЯДОК,0),0)),"")=""),"",DW15-IFERROR(INDEX(БАЗА_RO,4,IFERROR(MATCH(ЕТАЛОН_ПЛ,ПЛ_РЯДОК,0),0)),""))</f>
        <v/>
      </c>
      <c r="DX29" s="86" t="str">
        <f aca="false" t="array" ref="DX29:DX29">IF(OR(DW15="",ЕТАЛОН_ПЛ="",IFERROR(INDEX(БАЗА_RO,4,IFERROR(MATCH(ЕТАЛОН_ПЛ,ПЛ_РЯДОК,0),0)),"")="",IFERROR(INDEX(БАЗА_RO,4,IFERROR(MATCH(ЕТАЛОН_ПЛ,ПЛ_РЯДОК,0),0)),"")=0),"",DW15/IFERROR(INDEX(БАЗА_RO,4,IFERROR(MATCH(ЕТАЛОН_ПЛ,ПЛ_РЯДОК,0),0)),"")-1)</f>
        <v/>
      </c>
    </row>
    <row r="30" customFormat="false" ht="15.75" hidden="false" customHeight="true" outlineLevel="0" collapsed="false">
      <c r="A30" s="6" t="s">
        <v>95</v>
      </c>
      <c r="B30" s="87" t="n">
        <v>46357</v>
      </c>
      <c r="C30" s="87" t="n">
        <v>46081</v>
      </c>
      <c r="D30" s="6"/>
      <c r="E30" s="88"/>
      <c r="F30" s="4"/>
      <c r="G30" s="4"/>
      <c r="H30" s="67"/>
      <c r="I30" s="84"/>
      <c r="J30" s="67"/>
      <c r="K30" s="84"/>
      <c r="L30" s="67"/>
      <c r="M30" s="84"/>
      <c r="N30" s="67"/>
      <c r="O30" s="84"/>
      <c r="P30" s="67"/>
      <c r="Q30" s="84"/>
      <c r="R30" s="67"/>
      <c r="S30" s="84"/>
      <c r="T30" s="67"/>
      <c r="U30" s="84"/>
      <c r="V30" s="67"/>
      <c r="W30" s="84"/>
      <c r="X30" s="67"/>
      <c r="Y30" s="84"/>
      <c r="Z30" s="67"/>
      <c r="AA30" s="84"/>
      <c r="AB30" s="67"/>
      <c r="AC30" s="84"/>
      <c r="AD30" s="67"/>
      <c r="AE30" s="84"/>
      <c r="AF30" s="67"/>
      <c r="AG30" s="84"/>
      <c r="AH30" s="67"/>
      <c r="AI30" s="84"/>
      <c r="AJ30" s="67"/>
      <c r="AK30" s="84"/>
      <c r="AL30" s="67"/>
      <c r="AM30" s="84"/>
      <c r="AN30" s="67"/>
      <c r="AO30" s="84"/>
      <c r="AP30" s="67"/>
      <c r="AQ30" s="84"/>
      <c r="AR30" s="67"/>
      <c r="AS30" s="84"/>
      <c r="AT30" s="67"/>
      <c r="AU30" s="84"/>
      <c r="AV30" s="67"/>
      <c r="AW30" s="84"/>
      <c r="AX30" s="67"/>
      <c r="AY30" s="84"/>
      <c r="AZ30" s="67"/>
      <c r="BA30" s="84"/>
      <c r="BB30" s="67"/>
      <c r="BC30" s="84"/>
      <c r="BD30" s="67"/>
      <c r="BE30" s="84"/>
      <c r="BF30" s="67"/>
      <c r="BG30" s="84"/>
      <c r="BH30" s="67"/>
      <c r="BI30" s="84"/>
      <c r="BJ30" s="67"/>
      <c r="BK30" s="84"/>
      <c r="BL30" s="67"/>
      <c r="BM30" s="84"/>
      <c r="BN30" s="67"/>
      <c r="BO30" s="84"/>
      <c r="BP30" s="67"/>
      <c r="BQ30" s="84"/>
      <c r="BR30" s="67"/>
      <c r="BS30" s="84"/>
      <c r="BT30" s="67"/>
      <c r="BU30" s="84"/>
      <c r="BV30" s="67"/>
      <c r="BW30" s="84"/>
      <c r="BX30" s="67"/>
      <c r="BY30" s="84"/>
      <c r="BZ30" s="67"/>
      <c r="CA30" s="84"/>
      <c r="CB30" s="67"/>
      <c r="CC30" s="84"/>
      <c r="CD30" s="67"/>
      <c r="CE30" s="84"/>
      <c r="CF30" s="67"/>
      <c r="CG30" s="84"/>
      <c r="CH30" s="67"/>
      <c r="CI30" s="84"/>
      <c r="CJ30" s="67"/>
      <c r="CK30" s="84"/>
      <c r="CL30" s="67"/>
      <c r="CM30" s="84"/>
      <c r="CN30" s="67"/>
      <c r="CO30" s="84"/>
      <c r="CP30" s="67"/>
      <c r="CQ30" s="84"/>
      <c r="CR30" s="67"/>
      <c r="CS30" s="84"/>
      <c r="CT30" s="67"/>
      <c r="CU30" s="84"/>
      <c r="CV30" s="67"/>
      <c r="CW30" s="84"/>
      <c r="CX30" s="67"/>
      <c r="CY30" s="84"/>
      <c r="CZ30" s="67"/>
      <c r="DA30" s="84"/>
      <c r="DB30" s="67"/>
      <c r="DC30" s="84"/>
      <c r="DD30" s="67"/>
      <c r="DE30" s="84"/>
      <c r="DF30" s="67"/>
      <c r="DG30" s="84"/>
      <c r="DH30" s="67"/>
      <c r="DI30" s="84"/>
      <c r="DJ30" s="67"/>
      <c r="DK30" s="84"/>
      <c r="DL30" s="67"/>
      <c r="DM30" s="84"/>
      <c r="DN30" s="67"/>
      <c r="DO30" s="84"/>
      <c r="DP30" s="67"/>
      <c r="DQ30" s="84"/>
      <c r="DR30" s="67"/>
      <c r="DS30" s="84"/>
      <c r="DT30" s="67"/>
      <c r="DU30" s="84"/>
      <c r="DV30" s="67"/>
      <c r="DW30" s="84"/>
      <c r="DX30" s="67"/>
    </row>
    <row r="31" customFormat="false" ht="15" hidden="false" customHeight="true" outlineLevel="0" collapsed="false">
      <c r="A31" s="89" t="s">
        <v>2</v>
      </c>
      <c r="B31" s="90"/>
      <c r="C31" s="90"/>
      <c r="D31" s="89"/>
      <c r="E31" s="91"/>
      <c r="F31" s="13" t="s">
        <v>96</v>
      </c>
      <c r="G31" s="4"/>
      <c r="H31" s="70" t="s">
        <v>97</v>
      </c>
      <c r="I31" s="71"/>
      <c r="J31" s="72"/>
      <c r="K31" s="71"/>
      <c r="L31" s="72"/>
      <c r="M31" s="71"/>
      <c r="N31" s="72"/>
      <c r="O31" s="71"/>
      <c r="P31" s="72"/>
      <c r="Q31" s="71"/>
      <c r="R31" s="72"/>
      <c r="S31" s="71"/>
      <c r="T31" s="72"/>
      <c r="U31" s="71"/>
      <c r="V31" s="72"/>
      <c r="W31" s="71"/>
      <c r="X31" s="72"/>
      <c r="Y31" s="71"/>
      <c r="Z31" s="72"/>
      <c r="AA31" s="71"/>
      <c r="AB31" s="72"/>
      <c r="AC31" s="71"/>
      <c r="AD31" s="72"/>
      <c r="AE31" s="71"/>
      <c r="AF31" s="72"/>
      <c r="AG31" s="71"/>
      <c r="AH31" s="72"/>
      <c r="AI31" s="71"/>
      <c r="AJ31" s="72"/>
      <c r="AK31" s="71"/>
      <c r="AL31" s="72"/>
      <c r="AM31" s="71"/>
      <c r="AN31" s="72"/>
      <c r="AO31" s="71"/>
      <c r="AP31" s="72"/>
      <c r="AQ31" s="71"/>
      <c r="AR31" s="72"/>
      <c r="AS31" s="71"/>
      <c r="AT31" s="72"/>
      <c r="AU31" s="71"/>
      <c r="AV31" s="72"/>
      <c r="AW31" s="71"/>
      <c r="AX31" s="72"/>
      <c r="AY31" s="71"/>
      <c r="AZ31" s="72"/>
      <c r="BA31" s="71"/>
      <c r="BB31" s="72"/>
      <c r="BC31" s="71"/>
      <c r="BD31" s="72"/>
      <c r="BE31" s="71"/>
      <c r="BF31" s="72"/>
      <c r="BG31" s="71"/>
      <c r="BH31" s="72"/>
      <c r="BI31" s="71"/>
      <c r="BJ31" s="72"/>
      <c r="BK31" s="71"/>
      <c r="BL31" s="72"/>
      <c r="BM31" s="71"/>
      <c r="BN31" s="72"/>
      <c r="BO31" s="71"/>
      <c r="BP31" s="72"/>
      <c r="BQ31" s="71"/>
      <c r="BR31" s="72"/>
      <c r="BS31" s="71"/>
      <c r="BT31" s="72"/>
      <c r="BU31" s="71"/>
      <c r="BV31" s="72"/>
      <c r="BW31" s="71"/>
      <c r="BX31" s="72"/>
      <c r="BY31" s="71"/>
      <c r="BZ31" s="72"/>
      <c r="CA31" s="71"/>
      <c r="CB31" s="72"/>
      <c r="CC31" s="71"/>
      <c r="CD31" s="72"/>
      <c r="CE31" s="71"/>
      <c r="CF31" s="72"/>
      <c r="CG31" s="71"/>
      <c r="CH31" s="72"/>
      <c r="CI31" s="71"/>
      <c r="CJ31" s="72"/>
      <c r="CK31" s="71"/>
      <c r="CL31" s="72"/>
      <c r="CM31" s="71"/>
      <c r="CN31" s="72"/>
      <c r="CO31" s="71"/>
      <c r="CP31" s="72"/>
      <c r="CQ31" s="71"/>
      <c r="CR31" s="72"/>
      <c r="CS31" s="71"/>
      <c r="CT31" s="72"/>
      <c r="CU31" s="71"/>
      <c r="CV31" s="72"/>
      <c r="CW31" s="71"/>
      <c r="CX31" s="72"/>
      <c r="CY31" s="71"/>
      <c r="CZ31" s="72"/>
      <c r="DA31" s="71"/>
      <c r="DB31" s="72"/>
      <c r="DC31" s="71"/>
      <c r="DD31" s="72"/>
      <c r="DE31" s="71"/>
      <c r="DF31" s="72"/>
      <c r="DG31" s="71"/>
      <c r="DH31" s="72"/>
      <c r="DI31" s="71"/>
      <c r="DJ31" s="72"/>
      <c r="DK31" s="71"/>
      <c r="DL31" s="72"/>
      <c r="DM31" s="71"/>
      <c r="DN31" s="72"/>
      <c r="DO31" s="71"/>
      <c r="DP31" s="72"/>
      <c r="DQ31" s="71"/>
      <c r="DR31" s="72"/>
      <c r="DS31" s="71"/>
      <c r="DT31" s="72"/>
      <c r="DU31" s="71"/>
      <c r="DV31" s="72"/>
      <c r="DW31" s="71"/>
      <c r="DX31" s="72"/>
    </row>
    <row r="32" customFormat="false" ht="12.75" hidden="false" customHeight="true" outlineLevel="0" collapsed="false">
      <c r="A32" s="6" t="s">
        <v>49</v>
      </c>
      <c r="B32" s="87"/>
      <c r="C32" s="87"/>
      <c r="D32" s="6"/>
      <c r="E32" s="88"/>
      <c r="F32" s="97" t="s">
        <v>98</v>
      </c>
      <c r="G32" s="4"/>
      <c r="H32" s="13" t="s">
        <v>14</v>
      </c>
      <c r="I32" s="74" t="s">
        <v>99</v>
      </c>
      <c r="J32" s="13" t="s">
        <v>100</v>
      </c>
      <c r="K32" s="74" t="s">
        <v>99</v>
      </c>
      <c r="L32" s="13" t="s">
        <v>100</v>
      </c>
      <c r="M32" s="74" t="s">
        <v>99</v>
      </c>
      <c r="N32" s="13" t="s">
        <v>100</v>
      </c>
      <c r="O32" s="74" t="s">
        <v>99</v>
      </c>
      <c r="P32" s="13" t="s">
        <v>100</v>
      </c>
      <c r="Q32" s="74" t="s">
        <v>99</v>
      </c>
      <c r="R32" s="13" t="s">
        <v>100</v>
      </c>
      <c r="S32" s="74" t="s">
        <v>99</v>
      </c>
      <c r="T32" s="13" t="s">
        <v>100</v>
      </c>
      <c r="U32" s="74" t="s">
        <v>99</v>
      </c>
      <c r="V32" s="13" t="s">
        <v>100</v>
      </c>
      <c r="W32" s="74" t="s">
        <v>99</v>
      </c>
      <c r="X32" s="13" t="s">
        <v>100</v>
      </c>
      <c r="Y32" s="74" t="s">
        <v>99</v>
      </c>
      <c r="Z32" s="13" t="s">
        <v>100</v>
      </c>
      <c r="AA32" s="74" t="s">
        <v>99</v>
      </c>
      <c r="AB32" s="13" t="s">
        <v>100</v>
      </c>
      <c r="AC32" s="74" t="s">
        <v>99</v>
      </c>
      <c r="AD32" s="13" t="s">
        <v>100</v>
      </c>
      <c r="AE32" s="74" t="s">
        <v>99</v>
      </c>
      <c r="AF32" s="13" t="s">
        <v>100</v>
      </c>
      <c r="AG32" s="74" t="s">
        <v>99</v>
      </c>
      <c r="AH32" s="13" t="s">
        <v>100</v>
      </c>
      <c r="AI32" s="74" t="s">
        <v>99</v>
      </c>
      <c r="AJ32" s="13" t="s">
        <v>100</v>
      </c>
      <c r="AK32" s="74" t="s">
        <v>99</v>
      </c>
      <c r="AL32" s="13" t="s">
        <v>100</v>
      </c>
      <c r="AM32" s="74" t="s">
        <v>99</v>
      </c>
      <c r="AN32" s="13" t="s">
        <v>100</v>
      </c>
      <c r="AO32" s="74" t="s">
        <v>99</v>
      </c>
      <c r="AP32" s="13" t="s">
        <v>100</v>
      </c>
      <c r="AQ32" s="74" t="s">
        <v>99</v>
      </c>
      <c r="AR32" s="13" t="s">
        <v>100</v>
      </c>
      <c r="AS32" s="74" t="s">
        <v>99</v>
      </c>
      <c r="AT32" s="13" t="s">
        <v>100</v>
      </c>
      <c r="AU32" s="74" t="s">
        <v>99</v>
      </c>
      <c r="AV32" s="13" t="s">
        <v>100</v>
      </c>
      <c r="AW32" s="74" t="s">
        <v>99</v>
      </c>
      <c r="AX32" s="13" t="s">
        <v>100</v>
      </c>
      <c r="AY32" s="74" t="s">
        <v>99</v>
      </c>
      <c r="AZ32" s="13" t="s">
        <v>100</v>
      </c>
      <c r="BA32" s="74" t="s">
        <v>99</v>
      </c>
      <c r="BB32" s="13" t="s">
        <v>100</v>
      </c>
      <c r="BC32" s="74" t="s">
        <v>99</v>
      </c>
      <c r="BD32" s="13" t="s">
        <v>100</v>
      </c>
      <c r="BE32" s="74" t="s">
        <v>99</v>
      </c>
      <c r="BF32" s="13" t="s">
        <v>100</v>
      </c>
      <c r="BG32" s="74" t="s">
        <v>99</v>
      </c>
      <c r="BH32" s="13" t="s">
        <v>100</v>
      </c>
      <c r="BI32" s="74" t="s">
        <v>99</v>
      </c>
      <c r="BJ32" s="13" t="s">
        <v>100</v>
      </c>
      <c r="BK32" s="74" t="s">
        <v>99</v>
      </c>
      <c r="BL32" s="13" t="s">
        <v>100</v>
      </c>
      <c r="BM32" s="74" t="s">
        <v>99</v>
      </c>
      <c r="BN32" s="13" t="s">
        <v>100</v>
      </c>
      <c r="BO32" s="74" t="s">
        <v>99</v>
      </c>
      <c r="BP32" s="13" t="s">
        <v>100</v>
      </c>
      <c r="BQ32" s="74" t="s">
        <v>99</v>
      </c>
      <c r="BR32" s="13" t="s">
        <v>100</v>
      </c>
      <c r="BS32" s="74" t="s">
        <v>99</v>
      </c>
      <c r="BT32" s="13" t="s">
        <v>100</v>
      </c>
      <c r="BU32" s="74" t="s">
        <v>99</v>
      </c>
      <c r="BV32" s="13" t="s">
        <v>100</v>
      </c>
      <c r="BW32" s="74" t="s">
        <v>99</v>
      </c>
      <c r="BX32" s="13" t="s">
        <v>100</v>
      </c>
      <c r="BY32" s="74" t="s">
        <v>99</v>
      </c>
      <c r="BZ32" s="13" t="s">
        <v>100</v>
      </c>
      <c r="CA32" s="74" t="s">
        <v>99</v>
      </c>
      <c r="CB32" s="13" t="s">
        <v>100</v>
      </c>
      <c r="CC32" s="74" t="s">
        <v>99</v>
      </c>
      <c r="CD32" s="13" t="s">
        <v>100</v>
      </c>
      <c r="CE32" s="74" t="s">
        <v>99</v>
      </c>
      <c r="CF32" s="13" t="s">
        <v>100</v>
      </c>
      <c r="CG32" s="74" t="s">
        <v>99</v>
      </c>
      <c r="CH32" s="13" t="s">
        <v>100</v>
      </c>
      <c r="CI32" s="74" t="s">
        <v>99</v>
      </c>
      <c r="CJ32" s="13" t="s">
        <v>100</v>
      </c>
      <c r="CK32" s="74" t="s">
        <v>99</v>
      </c>
      <c r="CL32" s="13" t="s">
        <v>100</v>
      </c>
      <c r="CM32" s="74" t="s">
        <v>99</v>
      </c>
      <c r="CN32" s="13" t="s">
        <v>100</v>
      </c>
      <c r="CO32" s="74" t="s">
        <v>99</v>
      </c>
      <c r="CP32" s="13" t="s">
        <v>100</v>
      </c>
      <c r="CQ32" s="74" t="s">
        <v>99</v>
      </c>
      <c r="CR32" s="13" t="s">
        <v>100</v>
      </c>
      <c r="CS32" s="74" t="s">
        <v>99</v>
      </c>
      <c r="CT32" s="13" t="s">
        <v>100</v>
      </c>
      <c r="CU32" s="74" t="s">
        <v>99</v>
      </c>
      <c r="CV32" s="13" t="s">
        <v>100</v>
      </c>
      <c r="CW32" s="74" t="s">
        <v>99</v>
      </c>
      <c r="CX32" s="13" t="s">
        <v>100</v>
      </c>
      <c r="CY32" s="74" t="s">
        <v>99</v>
      </c>
      <c r="CZ32" s="13" t="s">
        <v>100</v>
      </c>
      <c r="DA32" s="74" t="s">
        <v>99</v>
      </c>
      <c r="DB32" s="13" t="s">
        <v>100</v>
      </c>
      <c r="DC32" s="74" t="s">
        <v>99</v>
      </c>
      <c r="DD32" s="13" t="s">
        <v>100</v>
      </c>
      <c r="DE32" s="74" t="s">
        <v>99</v>
      </c>
      <c r="DF32" s="13" t="s">
        <v>100</v>
      </c>
      <c r="DG32" s="74" t="s">
        <v>99</v>
      </c>
      <c r="DH32" s="13" t="s">
        <v>100</v>
      </c>
      <c r="DI32" s="74" t="s">
        <v>99</v>
      </c>
      <c r="DJ32" s="13" t="s">
        <v>100</v>
      </c>
      <c r="DK32" s="74" t="s">
        <v>99</v>
      </c>
      <c r="DL32" s="13" t="s">
        <v>100</v>
      </c>
      <c r="DM32" s="74" t="s">
        <v>99</v>
      </c>
      <c r="DN32" s="13" t="s">
        <v>100</v>
      </c>
      <c r="DO32" s="74" t="s">
        <v>99</v>
      </c>
      <c r="DP32" s="13" t="s">
        <v>100</v>
      </c>
      <c r="DQ32" s="74" t="s">
        <v>99</v>
      </c>
      <c r="DR32" s="13" t="s">
        <v>100</v>
      </c>
      <c r="DS32" s="74" t="s">
        <v>99</v>
      </c>
      <c r="DT32" s="13" t="s">
        <v>100</v>
      </c>
      <c r="DU32" s="74" t="s">
        <v>99</v>
      </c>
      <c r="DV32" s="13" t="s">
        <v>100</v>
      </c>
      <c r="DW32" s="74" t="s">
        <v>99</v>
      </c>
      <c r="DX32" s="13" t="s">
        <v>100</v>
      </c>
    </row>
    <row r="33" customFormat="false" ht="15.75" hidden="false" customHeight="true" outlineLevel="0" collapsed="false">
      <c r="A33" s="89" t="s">
        <v>101</v>
      </c>
      <c r="B33" s="90"/>
      <c r="C33" s="90"/>
      <c r="D33" s="89"/>
      <c r="E33" s="91"/>
      <c r="F33" s="98" t="s">
        <v>102</v>
      </c>
      <c r="G33" s="4"/>
      <c r="H33" s="97" t="s">
        <v>58</v>
      </c>
      <c r="I33" s="99" t="n">
        <v>1</v>
      </c>
      <c r="J33" s="100" t="n">
        <v>1.139</v>
      </c>
      <c r="K33" s="99" t="n">
        <v>1</v>
      </c>
      <c r="L33" s="100" t="n">
        <v>1.1</v>
      </c>
      <c r="M33" s="99" t="n">
        <v>1</v>
      </c>
      <c r="N33" s="100" t="n">
        <v>1.1</v>
      </c>
      <c r="O33" s="99" t="n">
        <v>1</v>
      </c>
      <c r="P33" s="100" t="n">
        <v>1.1</v>
      </c>
      <c r="Q33" s="99" t="n">
        <v>1</v>
      </c>
      <c r="R33" s="100" t="n">
        <v>1.1</v>
      </c>
      <c r="S33" s="99"/>
      <c r="T33" s="100"/>
      <c r="U33" s="99" t="n">
        <v>1</v>
      </c>
      <c r="V33" s="100" t="n">
        <v>1.1</v>
      </c>
      <c r="W33" s="99"/>
      <c r="X33" s="100"/>
      <c r="Y33" s="99"/>
      <c r="Z33" s="100"/>
      <c r="AA33" s="99"/>
      <c r="AB33" s="100"/>
      <c r="AC33" s="99"/>
      <c r="AD33" s="100"/>
      <c r="AE33" s="99"/>
      <c r="AF33" s="100"/>
      <c r="AG33" s="99"/>
      <c r="AH33" s="100"/>
      <c r="AI33" s="99"/>
      <c r="AJ33" s="100"/>
      <c r="AK33" s="99"/>
      <c r="AL33" s="100"/>
      <c r="AM33" s="99"/>
      <c r="AN33" s="100"/>
      <c r="AO33" s="99"/>
      <c r="AP33" s="100"/>
      <c r="AQ33" s="99"/>
      <c r="AR33" s="100"/>
      <c r="AS33" s="99"/>
      <c r="AT33" s="100"/>
      <c r="AU33" s="99"/>
      <c r="AV33" s="100"/>
      <c r="AW33" s="101" t="n">
        <v>1</v>
      </c>
      <c r="AX33" s="102" t="n">
        <v>1.068</v>
      </c>
      <c r="AY33" s="101" t="n">
        <v>1</v>
      </c>
      <c r="AZ33" s="102" t="n">
        <v>1.052</v>
      </c>
      <c r="BA33" s="101" t="n">
        <v>1</v>
      </c>
      <c r="BB33" s="102" t="n">
        <v>1</v>
      </c>
      <c r="BC33" s="101" t="n">
        <v>1</v>
      </c>
      <c r="BD33" s="102" t="n">
        <v>1</v>
      </c>
      <c r="BE33" s="101" t="n">
        <v>1</v>
      </c>
      <c r="BF33" s="102" t="n">
        <v>1.05</v>
      </c>
      <c r="BG33" s="101" t="n">
        <v>1</v>
      </c>
      <c r="BH33" s="102" t="n">
        <v>1.05</v>
      </c>
      <c r="BI33" s="101" t="n">
        <v>1</v>
      </c>
      <c r="BJ33" s="102" t="n">
        <v>1</v>
      </c>
      <c r="BK33" s="101" t="n">
        <v>1</v>
      </c>
      <c r="BL33" s="102" t="n">
        <v>1</v>
      </c>
      <c r="BM33" s="99"/>
      <c r="BN33" s="100"/>
      <c r="BO33" s="99"/>
      <c r="BP33" s="100"/>
      <c r="BQ33" s="99"/>
      <c r="BR33" s="100"/>
      <c r="BS33" s="99"/>
      <c r="BT33" s="100"/>
      <c r="BU33" s="99"/>
      <c r="BV33" s="100"/>
      <c r="BW33" s="99"/>
      <c r="BX33" s="100"/>
      <c r="BY33" s="99"/>
      <c r="BZ33" s="100"/>
      <c r="CA33" s="99"/>
      <c r="CB33" s="100"/>
      <c r="CC33" s="99"/>
      <c r="CD33" s="100"/>
      <c r="CE33" s="99"/>
      <c r="CF33" s="100"/>
      <c r="CG33" s="99"/>
      <c r="CH33" s="100"/>
      <c r="CI33" s="99"/>
      <c r="CJ33" s="100"/>
      <c r="CK33" s="99"/>
      <c r="CL33" s="100"/>
      <c r="CM33" s="99"/>
      <c r="CN33" s="100"/>
      <c r="CO33" s="99"/>
      <c r="CP33" s="100"/>
      <c r="CQ33" s="99"/>
      <c r="CR33" s="100"/>
      <c r="CS33" s="99"/>
      <c r="CT33" s="100"/>
      <c r="CU33" s="99"/>
      <c r="CV33" s="100"/>
      <c r="CW33" s="99"/>
      <c r="CX33" s="100"/>
      <c r="CY33" s="99"/>
      <c r="CZ33" s="100"/>
      <c r="DA33" s="99"/>
      <c r="DB33" s="100"/>
      <c r="DC33" s="99"/>
      <c r="DD33" s="100"/>
      <c r="DE33" s="99"/>
      <c r="DF33" s="100"/>
      <c r="DG33" s="99"/>
      <c r="DH33" s="100"/>
      <c r="DI33" s="99"/>
      <c r="DJ33" s="100"/>
      <c r="DK33" s="99"/>
      <c r="DL33" s="100"/>
      <c r="DM33" s="99"/>
      <c r="DN33" s="100"/>
      <c r="DO33" s="99"/>
      <c r="DP33" s="100"/>
      <c r="DQ33" s="99"/>
      <c r="DR33" s="100"/>
      <c r="DS33" s="99"/>
      <c r="DT33" s="100"/>
      <c r="DU33" s="99"/>
      <c r="DV33" s="100"/>
      <c r="DW33" s="99"/>
      <c r="DX33" s="100"/>
    </row>
    <row r="34" customFormat="false" ht="15.75" hidden="false" customHeight="true" outlineLevel="0" collapsed="false">
      <c r="A34" s="6"/>
      <c r="B34" s="87"/>
      <c r="C34" s="87"/>
      <c r="D34" s="6"/>
      <c r="E34" s="88"/>
      <c r="F34" s="4"/>
      <c r="G34" s="4"/>
      <c r="H34" s="98" t="s">
        <v>103</v>
      </c>
      <c r="I34" s="103" t="n">
        <v>1.23</v>
      </c>
      <c r="J34" s="104" t="n">
        <v>1.1029</v>
      </c>
      <c r="K34" s="103" t="n">
        <v>1.05</v>
      </c>
      <c r="L34" s="104" t="n">
        <v>1.09</v>
      </c>
      <c r="M34" s="103" t="n">
        <v>1.05</v>
      </c>
      <c r="N34" s="104" t="n">
        <v>1.09</v>
      </c>
      <c r="O34" s="103" t="n">
        <v>1.05</v>
      </c>
      <c r="P34" s="104" t="n">
        <v>1.09</v>
      </c>
      <c r="Q34" s="103" t="n">
        <v>1.08</v>
      </c>
      <c r="R34" s="104" t="n">
        <v>1.09</v>
      </c>
      <c r="S34" s="103"/>
      <c r="T34" s="104"/>
      <c r="U34" s="103" t="n">
        <v>1.08</v>
      </c>
      <c r="V34" s="104" t="n">
        <v>1.09</v>
      </c>
      <c r="W34" s="103"/>
      <c r="X34" s="104"/>
      <c r="Y34" s="103"/>
      <c r="Z34" s="104"/>
      <c r="AA34" s="103"/>
      <c r="AB34" s="104"/>
      <c r="AC34" s="103"/>
      <c r="AD34" s="104"/>
      <c r="AE34" s="103"/>
      <c r="AF34" s="104"/>
      <c r="AG34" s="103"/>
      <c r="AH34" s="104"/>
      <c r="AI34" s="103"/>
      <c r="AJ34" s="104"/>
      <c r="AK34" s="103"/>
      <c r="AL34" s="104"/>
      <c r="AM34" s="103"/>
      <c r="AN34" s="104"/>
      <c r="AO34" s="103"/>
      <c r="AP34" s="104"/>
      <c r="AQ34" s="103"/>
      <c r="AR34" s="104"/>
      <c r="AS34" s="103"/>
      <c r="AT34" s="104"/>
      <c r="AU34" s="103"/>
      <c r="AV34" s="104"/>
      <c r="AW34" s="105" t="n">
        <v>1.153</v>
      </c>
      <c r="AX34" s="106" t="n">
        <v>1.103</v>
      </c>
      <c r="AY34" s="105" t="n">
        <v>1.156</v>
      </c>
      <c r="AZ34" s="106" t="n">
        <v>1.051</v>
      </c>
      <c r="BA34" s="105" t="n">
        <v>1.156</v>
      </c>
      <c r="BB34" s="106" t="n">
        <v>1</v>
      </c>
      <c r="BC34" s="105" t="n">
        <v>1.156</v>
      </c>
      <c r="BD34" s="106" t="n">
        <v>1</v>
      </c>
      <c r="BE34" s="105" t="n">
        <v>1.1</v>
      </c>
      <c r="BF34" s="106" t="n">
        <v>1.05</v>
      </c>
      <c r="BG34" s="105" t="n">
        <v>1.12</v>
      </c>
      <c r="BH34" s="106" t="n">
        <v>1.05</v>
      </c>
      <c r="BI34" s="105" t="n">
        <v>1.1</v>
      </c>
      <c r="BJ34" s="106" t="n">
        <v>1</v>
      </c>
      <c r="BK34" s="105" t="n">
        <v>1.13</v>
      </c>
      <c r="BL34" s="106" t="n">
        <v>1</v>
      </c>
      <c r="BM34" s="103"/>
      <c r="BN34" s="104"/>
      <c r="BO34" s="103"/>
      <c r="BP34" s="104"/>
      <c r="BQ34" s="103"/>
      <c r="BR34" s="104"/>
      <c r="BS34" s="103"/>
      <c r="BT34" s="104"/>
      <c r="BU34" s="103"/>
      <c r="BV34" s="104"/>
      <c r="BW34" s="103"/>
      <c r="BX34" s="104"/>
      <c r="BY34" s="103"/>
      <c r="BZ34" s="104"/>
      <c r="CA34" s="103"/>
      <c r="CB34" s="104"/>
      <c r="CC34" s="103"/>
      <c r="CD34" s="104"/>
      <c r="CE34" s="103"/>
      <c r="CF34" s="104"/>
      <c r="CG34" s="103"/>
      <c r="CH34" s="104"/>
      <c r="CI34" s="103"/>
      <c r="CJ34" s="104"/>
      <c r="CK34" s="103"/>
      <c r="CL34" s="104"/>
      <c r="CM34" s="103"/>
      <c r="CN34" s="104"/>
      <c r="CO34" s="103"/>
      <c r="CP34" s="104"/>
      <c r="CQ34" s="103"/>
      <c r="CR34" s="104"/>
      <c r="CS34" s="103"/>
      <c r="CT34" s="104"/>
      <c r="CU34" s="103"/>
      <c r="CV34" s="104"/>
      <c r="CW34" s="103"/>
      <c r="CX34" s="104"/>
      <c r="CY34" s="103"/>
      <c r="CZ34" s="104"/>
      <c r="DA34" s="103"/>
      <c r="DB34" s="104"/>
      <c r="DC34" s="103"/>
      <c r="DD34" s="104"/>
      <c r="DE34" s="103"/>
      <c r="DF34" s="104"/>
      <c r="DG34" s="103"/>
      <c r="DH34" s="104"/>
      <c r="DI34" s="103"/>
      <c r="DJ34" s="104"/>
      <c r="DK34" s="103"/>
      <c r="DL34" s="104"/>
      <c r="DM34" s="103"/>
      <c r="DN34" s="104"/>
      <c r="DO34" s="103"/>
      <c r="DP34" s="104"/>
      <c r="DQ34" s="103"/>
      <c r="DR34" s="104"/>
      <c r="DS34" s="103"/>
      <c r="DT34" s="104"/>
      <c r="DU34" s="103"/>
      <c r="DV34" s="104"/>
      <c r="DW34" s="103"/>
      <c r="DX34" s="104"/>
    </row>
    <row r="35" customFormat="false" ht="15.75" hidden="false" customHeight="true" outlineLevel="0" collapsed="false">
      <c r="A35" s="94"/>
      <c r="B35" s="95"/>
      <c r="C35" s="95"/>
      <c r="D35" s="94"/>
      <c r="E35" s="96"/>
      <c r="F35" s="13" t="s">
        <v>104</v>
      </c>
      <c r="G35" s="4"/>
      <c r="H35" s="97" t="s">
        <v>62</v>
      </c>
      <c r="I35" s="99" t="n">
        <v>1</v>
      </c>
      <c r="J35" s="100" t="n">
        <v>1.0986</v>
      </c>
      <c r="K35" s="99" t="n">
        <v>1</v>
      </c>
      <c r="L35" s="100" t="n">
        <v>1.1</v>
      </c>
      <c r="M35" s="99" t="n">
        <v>1</v>
      </c>
      <c r="N35" s="100" t="n">
        <v>1.1</v>
      </c>
      <c r="O35" s="99" t="n">
        <v>1</v>
      </c>
      <c r="P35" s="100" t="n">
        <v>1.1</v>
      </c>
      <c r="Q35" s="99" t="n">
        <v>1</v>
      </c>
      <c r="R35" s="100" t="n">
        <v>1.09</v>
      </c>
      <c r="S35" s="99"/>
      <c r="T35" s="100"/>
      <c r="U35" s="99" t="n">
        <v>1</v>
      </c>
      <c r="V35" s="100" t="n">
        <v>1.09</v>
      </c>
      <c r="W35" s="99"/>
      <c r="X35" s="100"/>
      <c r="Y35" s="99"/>
      <c r="Z35" s="100"/>
      <c r="AA35" s="99"/>
      <c r="AB35" s="100"/>
      <c r="AC35" s="99"/>
      <c r="AD35" s="100"/>
      <c r="AE35" s="99"/>
      <c r="AF35" s="100"/>
      <c r="AG35" s="99"/>
      <c r="AH35" s="100"/>
      <c r="AI35" s="99"/>
      <c r="AJ35" s="100"/>
      <c r="AK35" s="99"/>
      <c r="AL35" s="100"/>
      <c r="AM35" s="99"/>
      <c r="AN35" s="100"/>
      <c r="AO35" s="99"/>
      <c r="AP35" s="100"/>
      <c r="AQ35" s="99"/>
      <c r="AR35" s="100"/>
      <c r="AS35" s="99"/>
      <c r="AT35" s="100"/>
      <c r="AU35" s="99"/>
      <c r="AV35" s="100"/>
      <c r="AW35" s="101" t="n">
        <v>1</v>
      </c>
      <c r="AX35" s="102" t="n">
        <v>1.099</v>
      </c>
      <c r="AY35" s="101" t="n">
        <v>1</v>
      </c>
      <c r="AZ35" s="102" t="n">
        <v>1.086</v>
      </c>
      <c r="BA35" s="101" t="n">
        <v>1</v>
      </c>
      <c r="BB35" s="102" t="n">
        <v>1</v>
      </c>
      <c r="BC35" s="101" t="n">
        <v>1</v>
      </c>
      <c r="BD35" s="102" t="n">
        <v>1</v>
      </c>
      <c r="BE35" s="101" t="n">
        <v>1</v>
      </c>
      <c r="BF35" s="102" t="n">
        <v>1.1</v>
      </c>
      <c r="BG35" s="101" t="n">
        <v>1</v>
      </c>
      <c r="BH35" s="102" t="n">
        <v>1.1</v>
      </c>
      <c r="BI35" s="101" t="n">
        <v>1</v>
      </c>
      <c r="BJ35" s="102" t="n">
        <v>1</v>
      </c>
      <c r="BK35" s="101" t="n">
        <v>1</v>
      </c>
      <c r="BL35" s="102" t="n">
        <v>1</v>
      </c>
      <c r="BM35" s="99"/>
      <c r="BN35" s="100"/>
      <c r="BO35" s="99"/>
      <c r="BP35" s="100"/>
      <c r="BQ35" s="99"/>
      <c r="BR35" s="100"/>
      <c r="BS35" s="99"/>
      <c r="BT35" s="100"/>
      <c r="BU35" s="99"/>
      <c r="BV35" s="100"/>
      <c r="BW35" s="99"/>
      <c r="BX35" s="100"/>
      <c r="BY35" s="99"/>
      <c r="BZ35" s="100"/>
      <c r="CA35" s="99"/>
      <c r="CB35" s="100"/>
      <c r="CC35" s="99"/>
      <c r="CD35" s="100"/>
      <c r="CE35" s="99"/>
      <c r="CF35" s="100"/>
      <c r="CG35" s="99"/>
      <c r="CH35" s="100"/>
      <c r="CI35" s="99"/>
      <c r="CJ35" s="100"/>
      <c r="CK35" s="99"/>
      <c r="CL35" s="100"/>
      <c r="CM35" s="99"/>
      <c r="CN35" s="100"/>
      <c r="CO35" s="99"/>
      <c r="CP35" s="100"/>
      <c r="CQ35" s="99"/>
      <c r="CR35" s="100"/>
      <c r="CS35" s="99"/>
      <c r="CT35" s="100"/>
      <c r="CU35" s="99"/>
      <c r="CV35" s="100"/>
      <c r="CW35" s="99"/>
      <c r="CX35" s="100"/>
      <c r="CY35" s="99"/>
      <c r="CZ35" s="100"/>
      <c r="DA35" s="99"/>
      <c r="DB35" s="100"/>
      <c r="DC35" s="99"/>
      <c r="DD35" s="100"/>
      <c r="DE35" s="99"/>
      <c r="DF35" s="100"/>
      <c r="DG35" s="99"/>
      <c r="DH35" s="100"/>
      <c r="DI35" s="99"/>
      <c r="DJ35" s="100"/>
      <c r="DK35" s="99"/>
      <c r="DL35" s="100"/>
      <c r="DM35" s="99"/>
      <c r="DN35" s="100"/>
      <c r="DO35" s="99"/>
      <c r="DP35" s="100"/>
      <c r="DQ35" s="99"/>
      <c r="DR35" s="100"/>
      <c r="DS35" s="99"/>
      <c r="DT35" s="100"/>
      <c r="DU35" s="99"/>
      <c r="DV35" s="100"/>
      <c r="DW35" s="99"/>
      <c r="DX35" s="100"/>
    </row>
    <row r="36" customFormat="false" ht="15.75" hidden="false" customHeight="true" outlineLevel="0" collapsed="false">
      <c r="A36" s="6"/>
      <c r="B36" s="87"/>
      <c r="C36" s="87"/>
      <c r="D36" s="6"/>
      <c r="E36" s="88"/>
      <c r="F36" s="97" t="s">
        <v>42</v>
      </c>
      <c r="G36" s="4"/>
      <c r="H36" s="97" t="s">
        <v>105</v>
      </c>
      <c r="I36" s="99" t="n">
        <v>1</v>
      </c>
      <c r="J36" s="100" t="n">
        <v>1.0986</v>
      </c>
      <c r="K36" s="99" t="n">
        <v>1.05</v>
      </c>
      <c r="L36" s="100" t="n">
        <v>1.08</v>
      </c>
      <c r="M36" s="99" t="n">
        <v>1.05</v>
      </c>
      <c r="N36" s="100" t="n">
        <v>1.08</v>
      </c>
      <c r="O36" s="99" t="n">
        <v>1.05</v>
      </c>
      <c r="P36" s="100" t="n">
        <v>1.08</v>
      </c>
      <c r="Q36" s="99" t="n">
        <v>1.06</v>
      </c>
      <c r="R36" s="100" t="n">
        <v>1.08</v>
      </c>
      <c r="S36" s="99"/>
      <c r="T36" s="100"/>
      <c r="U36" s="99" t="n">
        <v>1.06</v>
      </c>
      <c r="V36" s="100" t="n">
        <v>1.08</v>
      </c>
      <c r="W36" s="99"/>
      <c r="X36" s="100"/>
      <c r="Y36" s="99"/>
      <c r="Z36" s="100"/>
      <c r="AA36" s="99"/>
      <c r="AB36" s="100"/>
      <c r="AC36" s="99"/>
      <c r="AD36" s="100"/>
      <c r="AE36" s="99"/>
      <c r="AF36" s="100"/>
      <c r="AG36" s="99"/>
      <c r="AH36" s="100"/>
      <c r="AI36" s="99"/>
      <c r="AJ36" s="100"/>
      <c r="AK36" s="99"/>
      <c r="AL36" s="100"/>
      <c r="AM36" s="99"/>
      <c r="AN36" s="100"/>
      <c r="AO36" s="99"/>
      <c r="AP36" s="100"/>
      <c r="AQ36" s="99"/>
      <c r="AR36" s="100"/>
      <c r="AS36" s="99"/>
      <c r="AT36" s="100"/>
      <c r="AU36" s="99"/>
      <c r="AV36" s="100"/>
      <c r="AW36" s="101" t="n">
        <v>1</v>
      </c>
      <c r="AX36" s="102" t="n">
        <v>1.099</v>
      </c>
      <c r="AY36" s="101" t="n">
        <v>1</v>
      </c>
      <c r="AZ36" s="102" t="n">
        <v>1.086</v>
      </c>
      <c r="BA36" s="101" t="n">
        <v>1</v>
      </c>
      <c r="BB36" s="102" t="n">
        <v>1</v>
      </c>
      <c r="BC36" s="101" t="n">
        <v>1</v>
      </c>
      <c r="BD36" s="102" t="n">
        <v>1</v>
      </c>
      <c r="BE36" s="101" t="n">
        <v>1.08</v>
      </c>
      <c r="BF36" s="102" t="n">
        <v>1.1</v>
      </c>
      <c r="BG36" s="101" t="n">
        <v>1.08</v>
      </c>
      <c r="BH36" s="102" t="n">
        <v>1.1</v>
      </c>
      <c r="BI36" s="101" t="n">
        <v>1.1</v>
      </c>
      <c r="BJ36" s="102" t="n">
        <v>1</v>
      </c>
      <c r="BK36" s="101" t="n">
        <v>1.1</v>
      </c>
      <c r="BL36" s="102" t="n">
        <v>1</v>
      </c>
      <c r="BM36" s="99"/>
      <c r="BN36" s="100"/>
      <c r="BO36" s="99"/>
      <c r="BP36" s="100"/>
      <c r="BQ36" s="99"/>
      <c r="BR36" s="100"/>
      <c r="BS36" s="99"/>
      <c r="BT36" s="100"/>
      <c r="BU36" s="99"/>
      <c r="BV36" s="100"/>
      <c r="BW36" s="99"/>
      <c r="BX36" s="100"/>
      <c r="BY36" s="99"/>
      <c r="BZ36" s="100"/>
      <c r="CA36" s="99"/>
      <c r="CB36" s="100"/>
      <c r="CC36" s="99"/>
      <c r="CD36" s="100"/>
      <c r="CE36" s="99"/>
      <c r="CF36" s="100"/>
      <c r="CG36" s="99"/>
      <c r="CH36" s="100"/>
      <c r="CI36" s="99"/>
      <c r="CJ36" s="100"/>
      <c r="CK36" s="99"/>
      <c r="CL36" s="100"/>
      <c r="CM36" s="99"/>
      <c r="CN36" s="100"/>
      <c r="CO36" s="99"/>
      <c r="CP36" s="100"/>
      <c r="CQ36" s="99"/>
      <c r="CR36" s="100"/>
      <c r="CS36" s="99"/>
      <c r="CT36" s="100"/>
      <c r="CU36" s="99"/>
      <c r="CV36" s="100"/>
      <c r="CW36" s="99"/>
      <c r="CX36" s="100"/>
      <c r="CY36" s="99"/>
      <c r="CZ36" s="100"/>
      <c r="DA36" s="99"/>
      <c r="DB36" s="100"/>
      <c r="DC36" s="99"/>
      <c r="DD36" s="100"/>
      <c r="DE36" s="99"/>
      <c r="DF36" s="100"/>
      <c r="DG36" s="99"/>
      <c r="DH36" s="100"/>
      <c r="DI36" s="99"/>
      <c r="DJ36" s="100"/>
      <c r="DK36" s="99"/>
      <c r="DL36" s="100"/>
      <c r="DM36" s="99"/>
      <c r="DN36" s="100"/>
      <c r="DO36" s="99"/>
      <c r="DP36" s="100"/>
      <c r="DQ36" s="99"/>
      <c r="DR36" s="100"/>
      <c r="DS36" s="99"/>
      <c r="DT36" s="100"/>
      <c r="DU36" s="99"/>
      <c r="DV36" s="100"/>
      <c r="DW36" s="99"/>
      <c r="DX36" s="100"/>
    </row>
    <row r="37" customFormat="false" ht="15.75" hidden="false" customHeight="true" outlineLevel="0" collapsed="false">
      <c r="A37" s="89"/>
      <c r="B37" s="90"/>
      <c r="C37" s="90"/>
      <c r="D37" s="89"/>
      <c r="E37" s="91"/>
      <c r="F37" s="97" t="s">
        <v>36</v>
      </c>
      <c r="G37" s="4"/>
      <c r="H37" s="97" t="s">
        <v>106</v>
      </c>
      <c r="I37" s="99" t="n">
        <v>1.4</v>
      </c>
      <c r="J37" s="100" t="n">
        <v>1.0707</v>
      </c>
      <c r="K37" s="99" t="n">
        <v>1.1</v>
      </c>
      <c r="L37" s="100" t="n">
        <v>1.07</v>
      </c>
      <c r="M37" s="99" t="n">
        <v>1.1</v>
      </c>
      <c r="N37" s="100" t="n">
        <v>1.07</v>
      </c>
      <c r="O37" s="99" t="n">
        <v>1.1</v>
      </c>
      <c r="P37" s="100" t="n">
        <v>1.07</v>
      </c>
      <c r="Q37" s="99" t="n">
        <v>1.1</v>
      </c>
      <c r="R37" s="100" t="n">
        <v>1.07</v>
      </c>
      <c r="S37" s="99"/>
      <c r="T37" s="100"/>
      <c r="U37" s="99" t="n">
        <v>1.1</v>
      </c>
      <c r="V37" s="100" t="n">
        <v>1.07</v>
      </c>
      <c r="W37" s="99"/>
      <c r="X37" s="100"/>
      <c r="Y37" s="99"/>
      <c r="Z37" s="100"/>
      <c r="AA37" s="99"/>
      <c r="AB37" s="100"/>
      <c r="AC37" s="99"/>
      <c r="AD37" s="100"/>
      <c r="AE37" s="99"/>
      <c r="AF37" s="100"/>
      <c r="AG37" s="99"/>
      <c r="AH37" s="100"/>
      <c r="AI37" s="99"/>
      <c r="AJ37" s="100"/>
      <c r="AK37" s="99"/>
      <c r="AL37" s="100"/>
      <c r="AM37" s="99"/>
      <c r="AN37" s="100"/>
      <c r="AO37" s="99"/>
      <c r="AP37" s="100"/>
      <c r="AQ37" s="99"/>
      <c r="AR37" s="100"/>
      <c r="AS37" s="99"/>
      <c r="AT37" s="100"/>
      <c r="AU37" s="99"/>
      <c r="AV37" s="100"/>
      <c r="AW37" s="101" t="n">
        <v>1.394</v>
      </c>
      <c r="AX37" s="102" t="n">
        <v>1.071</v>
      </c>
      <c r="AY37" s="101" t="n">
        <v>1.395</v>
      </c>
      <c r="AZ37" s="102" t="n">
        <v>1.062</v>
      </c>
      <c r="BA37" s="101" t="n">
        <v>1.395</v>
      </c>
      <c r="BB37" s="102" t="n">
        <v>1</v>
      </c>
      <c r="BC37" s="101" t="n">
        <v>1.395</v>
      </c>
      <c r="BD37" s="102" t="n">
        <v>1</v>
      </c>
      <c r="BE37" s="101" t="n">
        <v>1.32</v>
      </c>
      <c r="BF37" s="102" t="n">
        <v>1.07</v>
      </c>
      <c r="BG37" s="101" t="n">
        <v>1.32</v>
      </c>
      <c r="BH37" s="102" t="n">
        <v>1.06</v>
      </c>
      <c r="BI37" s="101" t="n">
        <v>1.35</v>
      </c>
      <c r="BJ37" s="102" t="n">
        <v>1</v>
      </c>
      <c r="BK37" s="101" t="n">
        <v>1.33</v>
      </c>
      <c r="BL37" s="102" t="n">
        <v>1</v>
      </c>
      <c r="BM37" s="99"/>
      <c r="BN37" s="100"/>
      <c r="BO37" s="99"/>
      <c r="BP37" s="100"/>
      <c r="BQ37" s="99"/>
      <c r="BR37" s="100"/>
      <c r="BS37" s="99"/>
      <c r="BT37" s="100"/>
      <c r="BU37" s="99"/>
      <c r="BV37" s="100"/>
      <c r="BW37" s="99"/>
      <c r="BX37" s="100"/>
      <c r="BY37" s="99"/>
      <c r="BZ37" s="100"/>
      <c r="CA37" s="99"/>
      <c r="CB37" s="100"/>
      <c r="CC37" s="99"/>
      <c r="CD37" s="100"/>
      <c r="CE37" s="99"/>
      <c r="CF37" s="100"/>
      <c r="CG37" s="99"/>
      <c r="CH37" s="100"/>
      <c r="CI37" s="99"/>
      <c r="CJ37" s="100"/>
      <c r="CK37" s="99"/>
      <c r="CL37" s="100"/>
      <c r="CM37" s="99"/>
      <c r="CN37" s="100"/>
      <c r="CO37" s="99"/>
      <c r="CP37" s="100"/>
      <c r="CQ37" s="99"/>
      <c r="CR37" s="100"/>
      <c r="CS37" s="99"/>
      <c r="CT37" s="100"/>
      <c r="CU37" s="99"/>
      <c r="CV37" s="100"/>
      <c r="CW37" s="99"/>
      <c r="CX37" s="100"/>
      <c r="CY37" s="99"/>
      <c r="CZ37" s="100"/>
      <c r="DA37" s="99"/>
      <c r="DB37" s="100"/>
      <c r="DC37" s="99"/>
      <c r="DD37" s="100"/>
      <c r="DE37" s="99"/>
      <c r="DF37" s="100"/>
      <c r="DG37" s="99"/>
      <c r="DH37" s="100"/>
      <c r="DI37" s="99"/>
      <c r="DJ37" s="100"/>
      <c r="DK37" s="99"/>
      <c r="DL37" s="100"/>
      <c r="DM37" s="99"/>
      <c r="DN37" s="100"/>
      <c r="DO37" s="99"/>
      <c r="DP37" s="100"/>
      <c r="DQ37" s="99"/>
      <c r="DR37" s="100"/>
      <c r="DS37" s="99"/>
      <c r="DT37" s="100"/>
      <c r="DU37" s="99"/>
      <c r="DV37" s="100"/>
      <c r="DW37" s="99"/>
      <c r="DX37" s="100"/>
    </row>
    <row r="38" customFormat="false" ht="15.75" hidden="false" customHeight="true" outlineLevel="0" collapsed="false">
      <c r="A38" s="6"/>
      <c r="B38" s="87"/>
      <c r="C38" s="87"/>
      <c r="D38" s="6"/>
      <c r="E38" s="88"/>
      <c r="F38" s="98" t="s">
        <v>107</v>
      </c>
      <c r="G38" s="4"/>
      <c r="H38" s="97" t="s">
        <v>108</v>
      </c>
      <c r="I38" s="99" t="n">
        <v>1.64</v>
      </c>
      <c r="J38" s="100" t="n">
        <v>1.0614</v>
      </c>
      <c r="K38" s="99" t="n">
        <v>1.15</v>
      </c>
      <c r="L38" s="100" t="n">
        <v>1.06</v>
      </c>
      <c r="M38" s="99" t="n">
        <v>1.15</v>
      </c>
      <c r="N38" s="100" t="n">
        <v>1.06</v>
      </c>
      <c r="O38" s="99" t="n">
        <v>1.15</v>
      </c>
      <c r="P38" s="100" t="n">
        <v>1.06</v>
      </c>
      <c r="Q38" s="99" t="n">
        <v>1.15</v>
      </c>
      <c r="R38" s="100" t="n">
        <v>1.06</v>
      </c>
      <c r="S38" s="99"/>
      <c r="T38" s="100"/>
      <c r="U38" s="99" t="n">
        <v>1.15</v>
      </c>
      <c r="V38" s="100" t="n">
        <v>1.06</v>
      </c>
      <c r="W38" s="99"/>
      <c r="X38" s="100"/>
      <c r="Y38" s="99"/>
      <c r="Z38" s="100"/>
      <c r="AA38" s="99"/>
      <c r="AB38" s="100"/>
      <c r="AC38" s="99"/>
      <c r="AD38" s="100"/>
      <c r="AE38" s="99"/>
      <c r="AF38" s="100"/>
      <c r="AG38" s="99"/>
      <c r="AH38" s="100"/>
      <c r="AI38" s="99"/>
      <c r="AJ38" s="100"/>
      <c r="AK38" s="99"/>
      <c r="AL38" s="100"/>
      <c r="AM38" s="99"/>
      <c r="AN38" s="100"/>
      <c r="AO38" s="99"/>
      <c r="AP38" s="100"/>
      <c r="AQ38" s="99"/>
      <c r="AR38" s="100"/>
      <c r="AS38" s="99"/>
      <c r="AT38" s="100"/>
      <c r="AU38" s="99"/>
      <c r="AV38" s="100"/>
      <c r="AW38" s="101" t="n">
        <v>1.606</v>
      </c>
      <c r="AX38" s="102" t="n">
        <v>1.061</v>
      </c>
      <c r="AY38" s="101" t="n">
        <v>1.617</v>
      </c>
      <c r="AZ38" s="102" t="n">
        <v>1.053</v>
      </c>
      <c r="BA38" s="101" t="n">
        <v>1.617</v>
      </c>
      <c r="BB38" s="102" t="n">
        <v>1</v>
      </c>
      <c r="BC38" s="101" t="n">
        <v>1.617</v>
      </c>
      <c r="BD38" s="102" t="n">
        <v>1</v>
      </c>
      <c r="BE38" s="101" t="n">
        <v>1.52</v>
      </c>
      <c r="BF38" s="102" t="n">
        <v>1.055</v>
      </c>
      <c r="BG38" s="101" t="n">
        <v>1.52</v>
      </c>
      <c r="BH38" s="102" t="n">
        <v>1.055</v>
      </c>
      <c r="BI38" s="101" t="n">
        <v>1.55</v>
      </c>
      <c r="BJ38" s="102" t="n">
        <v>1</v>
      </c>
      <c r="BK38" s="101" t="n">
        <v>1.55</v>
      </c>
      <c r="BL38" s="102" t="n">
        <v>1</v>
      </c>
      <c r="BM38" s="99"/>
      <c r="BN38" s="100"/>
      <c r="BO38" s="99"/>
      <c r="BP38" s="100"/>
      <c r="BQ38" s="99"/>
      <c r="BR38" s="100"/>
      <c r="BS38" s="99"/>
      <c r="BT38" s="100"/>
      <c r="BU38" s="99"/>
      <c r="BV38" s="100"/>
      <c r="BW38" s="99"/>
      <c r="BX38" s="100"/>
      <c r="BY38" s="99"/>
      <c r="BZ38" s="100"/>
      <c r="CA38" s="99"/>
      <c r="CB38" s="100"/>
      <c r="CC38" s="99"/>
      <c r="CD38" s="100"/>
      <c r="CE38" s="99"/>
      <c r="CF38" s="100"/>
      <c r="CG38" s="99"/>
      <c r="CH38" s="100"/>
      <c r="CI38" s="99"/>
      <c r="CJ38" s="100"/>
      <c r="CK38" s="99"/>
      <c r="CL38" s="100"/>
      <c r="CM38" s="99"/>
      <c r="CN38" s="100"/>
      <c r="CO38" s="99"/>
      <c r="CP38" s="100"/>
      <c r="CQ38" s="99"/>
      <c r="CR38" s="100"/>
      <c r="CS38" s="99"/>
      <c r="CT38" s="100"/>
      <c r="CU38" s="99"/>
      <c r="CV38" s="100"/>
      <c r="CW38" s="99"/>
      <c r="CX38" s="100"/>
      <c r="CY38" s="99"/>
      <c r="CZ38" s="100"/>
      <c r="DA38" s="99"/>
      <c r="DB38" s="100"/>
      <c r="DC38" s="99"/>
      <c r="DD38" s="100"/>
      <c r="DE38" s="99"/>
      <c r="DF38" s="100"/>
      <c r="DG38" s="99"/>
      <c r="DH38" s="100"/>
      <c r="DI38" s="99"/>
      <c r="DJ38" s="100"/>
      <c r="DK38" s="99"/>
      <c r="DL38" s="100"/>
      <c r="DM38" s="99"/>
      <c r="DN38" s="100"/>
      <c r="DO38" s="99"/>
      <c r="DP38" s="100"/>
      <c r="DQ38" s="99"/>
      <c r="DR38" s="100"/>
      <c r="DS38" s="99"/>
      <c r="DT38" s="100"/>
      <c r="DU38" s="99"/>
      <c r="DV38" s="100"/>
      <c r="DW38" s="99"/>
      <c r="DX38" s="100"/>
    </row>
    <row r="39" customFormat="false" ht="15.75" hidden="false" customHeight="true" outlineLevel="0" collapsed="false">
      <c r="A39" s="89"/>
      <c r="B39" s="90"/>
      <c r="C39" s="90"/>
      <c r="D39" s="89"/>
      <c r="E39" s="91"/>
      <c r="F39" s="4"/>
      <c r="G39" s="4"/>
      <c r="H39" s="98" t="s">
        <v>109</v>
      </c>
      <c r="I39" s="103" t="n">
        <v>1.9</v>
      </c>
      <c r="J39" s="104" t="n">
        <v>1.0365</v>
      </c>
      <c r="K39" s="103" t="n">
        <v>1.5</v>
      </c>
      <c r="L39" s="104" t="n">
        <v>1.04</v>
      </c>
      <c r="M39" s="103" t="n">
        <v>1.5</v>
      </c>
      <c r="N39" s="104" t="n">
        <v>1.04</v>
      </c>
      <c r="O39" s="103" t="n">
        <v>1.5</v>
      </c>
      <c r="P39" s="104" t="n">
        <v>1.04</v>
      </c>
      <c r="Q39" s="103" t="n">
        <v>1.5</v>
      </c>
      <c r="R39" s="104" t="n">
        <v>1.04</v>
      </c>
      <c r="S39" s="103"/>
      <c r="T39" s="104"/>
      <c r="U39" s="103" t="n">
        <v>1.5</v>
      </c>
      <c r="V39" s="104" t="n">
        <v>1.04</v>
      </c>
      <c r="W39" s="103"/>
      <c r="X39" s="104"/>
      <c r="Y39" s="103"/>
      <c r="Z39" s="104"/>
      <c r="AA39" s="103"/>
      <c r="AB39" s="104"/>
      <c r="AC39" s="103"/>
      <c r="AD39" s="104"/>
      <c r="AE39" s="103"/>
      <c r="AF39" s="104"/>
      <c r="AG39" s="103"/>
      <c r="AH39" s="104"/>
      <c r="AI39" s="103"/>
      <c r="AJ39" s="104"/>
      <c r="AK39" s="103"/>
      <c r="AL39" s="104"/>
      <c r="AM39" s="103"/>
      <c r="AN39" s="104"/>
      <c r="AO39" s="103"/>
      <c r="AP39" s="104"/>
      <c r="AQ39" s="103"/>
      <c r="AR39" s="104"/>
      <c r="AS39" s="103"/>
      <c r="AT39" s="104"/>
      <c r="AU39" s="103"/>
      <c r="AV39" s="104"/>
      <c r="AW39" s="105" t="n">
        <v>1.927</v>
      </c>
      <c r="AX39" s="106" t="n">
        <v>1.037</v>
      </c>
      <c r="AY39" s="105" t="n">
        <v>1.938</v>
      </c>
      <c r="AZ39" s="106" t="n">
        <v>1.038</v>
      </c>
      <c r="BA39" s="105" t="n">
        <v>1.938</v>
      </c>
      <c r="BB39" s="106" t="n">
        <v>1</v>
      </c>
      <c r="BC39" s="105" t="n">
        <v>1.938</v>
      </c>
      <c r="BD39" s="106" t="n">
        <v>1</v>
      </c>
      <c r="BE39" s="105" t="n">
        <v>1.8</v>
      </c>
      <c r="BF39" s="106" t="n">
        <v>1.03</v>
      </c>
      <c r="BG39" s="105" t="n">
        <v>1.8</v>
      </c>
      <c r="BH39" s="106" t="n">
        <v>1.03</v>
      </c>
      <c r="BI39" s="105" t="n">
        <v>1.9</v>
      </c>
      <c r="BJ39" s="106" t="n">
        <v>1</v>
      </c>
      <c r="BK39" s="105" t="n">
        <v>1.9</v>
      </c>
      <c r="BL39" s="106" t="n">
        <v>1</v>
      </c>
      <c r="BM39" s="103"/>
      <c r="BN39" s="104"/>
      <c r="BO39" s="103"/>
      <c r="BP39" s="104"/>
      <c r="BQ39" s="103"/>
      <c r="BR39" s="104"/>
      <c r="BS39" s="103"/>
      <c r="BT39" s="104"/>
      <c r="BU39" s="103"/>
      <c r="BV39" s="104"/>
      <c r="BW39" s="103"/>
      <c r="BX39" s="104"/>
      <c r="BY39" s="103"/>
      <c r="BZ39" s="104"/>
      <c r="CA39" s="103"/>
      <c r="CB39" s="104"/>
      <c r="CC39" s="103"/>
      <c r="CD39" s="104"/>
      <c r="CE39" s="103"/>
      <c r="CF39" s="104"/>
      <c r="CG39" s="103"/>
      <c r="CH39" s="104"/>
      <c r="CI39" s="103"/>
      <c r="CJ39" s="104"/>
      <c r="CK39" s="103"/>
      <c r="CL39" s="104"/>
      <c r="CM39" s="103"/>
      <c r="CN39" s="104"/>
      <c r="CO39" s="103"/>
      <c r="CP39" s="104"/>
      <c r="CQ39" s="103"/>
      <c r="CR39" s="104"/>
      <c r="CS39" s="103"/>
      <c r="CT39" s="104"/>
      <c r="CU39" s="103"/>
      <c r="CV39" s="104"/>
      <c r="CW39" s="103"/>
      <c r="CX39" s="104"/>
      <c r="CY39" s="103"/>
      <c r="CZ39" s="104"/>
      <c r="DA39" s="103"/>
      <c r="DB39" s="104"/>
      <c r="DC39" s="103"/>
      <c r="DD39" s="104"/>
      <c r="DE39" s="103"/>
      <c r="DF39" s="104"/>
      <c r="DG39" s="103"/>
      <c r="DH39" s="104"/>
      <c r="DI39" s="103"/>
      <c r="DJ39" s="104"/>
      <c r="DK39" s="103"/>
      <c r="DL39" s="104"/>
      <c r="DM39" s="103"/>
      <c r="DN39" s="104"/>
      <c r="DO39" s="103"/>
      <c r="DP39" s="104"/>
      <c r="DQ39" s="103"/>
      <c r="DR39" s="104"/>
      <c r="DS39" s="103"/>
      <c r="DT39" s="104"/>
      <c r="DU39" s="103"/>
      <c r="DV39" s="104"/>
      <c r="DW39" s="103"/>
      <c r="DX39" s="104"/>
    </row>
    <row r="40" customFormat="false" ht="15.75" hidden="false" customHeight="true" outlineLevel="0" collapsed="false">
      <c r="A40" s="6"/>
      <c r="B40" s="87"/>
      <c r="C40" s="87"/>
      <c r="D40" s="6"/>
      <c r="E40" s="88"/>
      <c r="F40" s="4"/>
      <c r="G40" s="4"/>
      <c r="H40" s="97" t="s">
        <v>65</v>
      </c>
      <c r="I40" s="99" t="n">
        <v>1</v>
      </c>
      <c r="J40" s="100" t="n">
        <v>1.1034</v>
      </c>
      <c r="K40" s="99" t="n">
        <v>1</v>
      </c>
      <c r="L40" s="100" t="n">
        <v>1.1</v>
      </c>
      <c r="M40" s="99" t="n">
        <v>1</v>
      </c>
      <c r="N40" s="100" t="n">
        <v>1.1</v>
      </c>
      <c r="O40" s="99" t="n">
        <v>1</v>
      </c>
      <c r="P40" s="100" t="n">
        <v>1.1</v>
      </c>
      <c r="Q40" s="99" t="n">
        <v>1</v>
      </c>
      <c r="R40" s="100" t="n">
        <v>1.1</v>
      </c>
      <c r="S40" s="99"/>
      <c r="T40" s="100"/>
      <c r="U40" s="99" t="n">
        <v>1</v>
      </c>
      <c r="V40" s="100" t="n">
        <v>1.1</v>
      </c>
      <c r="W40" s="99"/>
      <c r="X40" s="100"/>
      <c r="Y40" s="99"/>
      <c r="Z40" s="100"/>
      <c r="AA40" s="99"/>
      <c r="AB40" s="100"/>
      <c r="AC40" s="99"/>
      <c r="AD40" s="100"/>
      <c r="AE40" s="99"/>
      <c r="AF40" s="100"/>
      <c r="AG40" s="99"/>
      <c r="AH40" s="100"/>
      <c r="AI40" s="99"/>
      <c r="AJ40" s="100"/>
      <c r="AK40" s="99"/>
      <c r="AL40" s="100"/>
      <c r="AM40" s="99"/>
      <c r="AN40" s="100"/>
      <c r="AO40" s="99"/>
      <c r="AP40" s="100"/>
      <c r="AQ40" s="99"/>
      <c r="AR40" s="100"/>
      <c r="AS40" s="99"/>
      <c r="AT40" s="100"/>
      <c r="AU40" s="99"/>
      <c r="AV40" s="100"/>
      <c r="AW40" s="101" t="n">
        <v>1</v>
      </c>
      <c r="AX40" s="102" t="n">
        <v>1.103</v>
      </c>
      <c r="AY40" s="101" t="n">
        <v>1</v>
      </c>
      <c r="AZ40" s="102" t="n">
        <v>1.091</v>
      </c>
      <c r="BA40" s="101" t="n">
        <v>1</v>
      </c>
      <c r="BB40" s="102" t="n">
        <v>1</v>
      </c>
      <c r="BC40" s="101" t="n">
        <v>1</v>
      </c>
      <c r="BD40" s="102" t="n">
        <v>1</v>
      </c>
      <c r="BE40" s="101" t="n">
        <v>1</v>
      </c>
      <c r="BF40" s="102" t="n">
        <v>1.1</v>
      </c>
      <c r="BG40" s="101" t="n">
        <v>1</v>
      </c>
      <c r="BH40" s="102" t="n">
        <v>1.1</v>
      </c>
      <c r="BI40" s="101" t="n">
        <v>1</v>
      </c>
      <c r="BJ40" s="102" t="n">
        <v>1</v>
      </c>
      <c r="BK40" s="101" t="n">
        <v>1</v>
      </c>
      <c r="BL40" s="102" t="n">
        <v>1</v>
      </c>
      <c r="BM40" s="99"/>
      <c r="BN40" s="100"/>
      <c r="BO40" s="99"/>
      <c r="BP40" s="100"/>
      <c r="BQ40" s="99"/>
      <c r="BR40" s="100"/>
      <c r="BS40" s="99"/>
      <c r="BT40" s="100"/>
      <c r="BU40" s="99"/>
      <c r="BV40" s="100"/>
      <c r="BW40" s="99"/>
      <c r="BX40" s="100"/>
      <c r="BY40" s="99"/>
      <c r="BZ40" s="100"/>
      <c r="CA40" s="99"/>
      <c r="CB40" s="100"/>
      <c r="CC40" s="99"/>
      <c r="CD40" s="100"/>
      <c r="CE40" s="99"/>
      <c r="CF40" s="100"/>
      <c r="CG40" s="99"/>
      <c r="CH40" s="100"/>
      <c r="CI40" s="99"/>
      <c r="CJ40" s="100"/>
      <c r="CK40" s="99"/>
      <c r="CL40" s="100"/>
      <c r="CM40" s="99"/>
      <c r="CN40" s="100"/>
      <c r="CO40" s="99"/>
      <c r="CP40" s="100"/>
      <c r="CQ40" s="99"/>
      <c r="CR40" s="100"/>
      <c r="CS40" s="99"/>
      <c r="CT40" s="100"/>
      <c r="CU40" s="99"/>
      <c r="CV40" s="100"/>
      <c r="CW40" s="99"/>
      <c r="CX40" s="100"/>
      <c r="CY40" s="99"/>
      <c r="CZ40" s="100"/>
      <c r="DA40" s="99"/>
      <c r="DB40" s="100"/>
      <c r="DC40" s="99"/>
      <c r="DD40" s="100"/>
      <c r="DE40" s="99"/>
      <c r="DF40" s="100"/>
      <c r="DG40" s="99"/>
      <c r="DH40" s="100"/>
      <c r="DI40" s="99"/>
      <c r="DJ40" s="100"/>
      <c r="DK40" s="99"/>
      <c r="DL40" s="100"/>
      <c r="DM40" s="99"/>
      <c r="DN40" s="100"/>
      <c r="DO40" s="99"/>
      <c r="DP40" s="100"/>
      <c r="DQ40" s="99"/>
      <c r="DR40" s="100"/>
      <c r="DS40" s="99"/>
      <c r="DT40" s="100"/>
      <c r="DU40" s="99"/>
      <c r="DV40" s="100"/>
      <c r="DW40" s="99"/>
      <c r="DX40" s="100"/>
    </row>
    <row r="41" customFormat="false" ht="15.75" hidden="false" customHeight="true" outlineLevel="0" collapsed="false">
      <c r="A41" s="89"/>
      <c r="B41" s="90"/>
      <c r="C41" s="90"/>
      <c r="D41" s="89"/>
      <c r="E41" s="91"/>
      <c r="F41" s="4"/>
      <c r="G41" s="4"/>
      <c r="H41" s="97" t="s">
        <v>110</v>
      </c>
      <c r="I41" s="99" t="n">
        <v>1.137</v>
      </c>
      <c r="J41" s="100" t="n">
        <v>1.0909</v>
      </c>
      <c r="K41" s="99" t="n">
        <v>1.15</v>
      </c>
      <c r="L41" s="100" t="n">
        <v>1.1</v>
      </c>
      <c r="M41" s="99" t="n">
        <v>1.15</v>
      </c>
      <c r="N41" s="100" t="n">
        <v>1.1</v>
      </c>
      <c r="O41" s="99" t="n">
        <v>1.15</v>
      </c>
      <c r="P41" s="100" t="n">
        <v>1.1</v>
      </c>
      <c r="Q41" s="99" t="n">
        <v>1.17</v>
      </c>
      <c r="R41" s="100" t="n">
        <v>1.1</v>
      </c>
      <c r="S41" s="99"/>
      <c r="T41" s="100"/>
      <c r="U41" s="99" t="n">
        <v>1.17</v>
      </c>
      <c r="V41" s="100" t="n">
        <v>1.1</v>
      </c>
      <c r="W41" s="99"/>
      <c r="X41" s="100"/>
      <c r="Y41" s="99"/>
      <c r="Z41" s="100"/>
      <c r="AA41" s="99"/>
      <c r="AB41" s="100"/>
      <c r="AC41" s="99"/>
      <c r="AD41" s="100"/>
      <c r="AE41" s="99"/>
      <c r="AF41" s="100"/>
      <c r="AG41" s="99"/>
      <c r="AH41" s="100"/>
      <c r="AI41" s="99"/>
      <c r="AJ41" s="100"/>
      <c r="AK41" s="99"/>
      <c r="AL41" s="100"/>
      <c r="AM41" s="99"/>
      <c r="AN41" s="100"/>
      <c r="AO41" s="99"/>
      <c r="AP41" s="100"/>
      <c r="AQ41" s="99"/>
      <c r="AR41" s="100"/>
      <c r="AS41" s="99"/>
      <c r="AT41" s="100"/>
      <c r="AU41" s="99"/>
      <c r="AV41" s="100"/>
      <c r="AW41" s="101" t="n">
        <v>1.138</v>
      </c>
      <c r="AX41" s="102" t="n">
        <v>1.091</v>
      </c>
      <c r="AY41" s="101" t="n">
        <v>1.121</v>
      </c>
      <c r="AZ41" s="102" t="n">
        <v>1.081</v>
      </c>
      <c r="BA41" s="101" t="n">
        <v>1.121</v>
      </c>
      <c r="BB41" s="102" t="n">
        <v>1</v>
      </c>
      <c r="BC41" s="101" t="n">
        <v>1.121</v>
      </c>
      <c r="BD41" s="102" t="n">
        <v>1</v>
      </c>
      <c r="BE41" s="101" t="n">
        <v>1.14</v>
      </c>
      <c r="BF41" s="102" t="n">
        <v>1.1</v>
      </c>
      <c r="BG41" s="101" t="n">
        <v>1.14</v>
      </c>
      <c r="BH41" s="102" t="n">
        <v>1.1</v>
      </c>
      <c r="BI41" s="101" t="n">
        <v>1.15</v>
      </c>
      <c r="BJ41" s="102" t="n">
        <v>1</v>
      </c>
      <c r="BK41" s="101" t="n">
        <v>1.14</v>
      </c>
      <c r="BL41" s="102" t="n">
        <v>1</v>
      </c>
      <c r="BM41" s="99"/>
      <c r="BN41" s="100"/>
      <c r="BO41" s="99"/>
      <c r="BP41" s="100"/>
      <c r="BQ41" s="99"/>
      <c r="BR41" s="100"/>
      <c r="BS41" s="99"/>
      <c r="BT41" s="100"/>
      <c r="BU41" s="99"/>
      <c r="BV41" s="100"/>
      <c r="BW41" s="99"/>
      <c r="BX41" s="100"/>
      <c r="BY41" s="99"/>
      <c r="BZ41" s="100"/>
      <c r="CA41" s="99"/>
      <c r="CB41" s="100"/>
      <c r="CC41" s="99"/>
      <c r="CD41" s="100"/>
      <c r="CE41" s="99"/>
      <c r="CF41" s="100"/>
      <c r="CG41" s="99"/>
      <c r="CH41" s="100"/>
      <c r="CI41" s="99"/>
      <c r="CJ41" s="100"/>
      <c r="CK41" s="99"/>
      <c r="CL41" s="100"/>
      <c r="CM41" s="99"/>
      <c r="CN41" s="100"/>
      <c r="CO41" s="99"/>
      <c r="CP41" s="100"/>
      <c r="CQ41" s="99"/>
      <c r="CR41" s="100"/>
      <c r="CS41" s="99"/>
      <c r="CT41" s="100"/>
      <c r="CU41" s="99"/>
      <c r="CV41" s="100"/>
      <c r="CW41" s="99"/>
      <c r="CX41" s="100"/>
      <c r="CY41" s="99"/>
      <c r="CZ41" s="100"/>
      <c r="DA41" s="99"/>
      <c r="DB41" s="100"/>
      <c r="DC41" s="99"/>
      <c r="DD41" s="100"/>
      <c r="DE41" s="99"/>
      <c r="DF41" s="100"/>
      <c r="DG41" s="99"/>
      <c r="DH41" s="100"/>
      <c r="DI41" s="99"/>
      <c r="DJ41" s="100"/>
      <c r="DK41" s="99"/>
      <c r="DL41" s="100"/>
      <c r="DM41" s="99"/>
      <c r="DN41" s="100"/>
      <c r="DO41" s="99"/>
      <c r="DP41" s="100"/>
      <c r="DQ41" s="99"/>
      <c r="DR41" s="100"/>
      <c r="DS41" s="99"/>
      <c r="DT41" s="100"/>
      <c r="DU41" s="99"/>
      <c r="DV41" s="100"/>
      <c r="DW41" s="99"/>
      <c r="DX41" s="100"/>
    </row>
    <row r="42" customFormat="false" ht="15.75" hidden="false" customHeight="true" outlineLevel="0" collapsed="false">
      <c r="A42" s="6"/>
      <c r="B42" s="87"/>
      <c r="C42" s="87"/>
      <c r="D42" s="6"/>
      <c r="E42" s="88"/>
      <c r="F42" s="4"/>
      <c r="G42" s="4"/>
      <c r="H42" s="97" t="s">
        <v>111</v>
      </c>
      <c r="I42" s="99" t="n">
        <v>1.44</v>
      </c>
      <c r="J42" s="100" t="n">
        <v>1.0714</v>
      </c>
      <c r="K42" s="99" t="n">
        <v>1.35</v>
      </c>
      <c r="L42" s="100" t="n">
        <v>1.07</v>
      </c>
      <c r="M42" s="99" t="n">
        <v>1.35</v>
      </c>
      <c r="N42" s="100" t="n">
        <v>1.07</v>
      </c>
      <c r="O42" s="99" t="n">
        <v>1.35</v>
      </c>
      <c r="P42" s="100" t="n">
        <v>1.07</v>
      </c>
      <c r="Q42" s="99" t="n">
        <v>1.4</v>
      </c>
      <c r="R42" s="100" t="n">
        <v>1.07</v>
      </c>
      <c r="S42" s="99"/>
      <c r="T42" s="100"/>
      <c r="U42" s="99" t="n">
        <v>1.4</v>
      </c>
      <c r="V42" s="100" t="n">
        <v>1.07</v>
      </c>
      <c r="W42" s="99"/>
      <c r="X42" s="100"/>
      <c r="Y42" s="99"/>
      <c r="Z42" s="100"/>
      <c r="AA42" s="99"/>
      <c r="AB42" s="100"/>
      <c r="AC42" s="99"/>
      <c r="AD42" s="100"/>
      <c r="AE42" s="99"/>
      <c r="AF42" s="100"/>
      <c r="AG42" s="99"/>
      <c r="AH42" s="100"/>
      <c r="AI42" s="99"/>
      <c r="AJ42" s="100"/>
      <c r="AK42" s="99"/>
      <c r="AL42" s="100"/>
      <c r="AM42" s="99"/>
      <c r="AN42" s="100"/>
      <c r="AO42" s="99"/>
      <c r="AP42" s="100"/>
      <c r="AQ42" s="99"/>
      <c r="AR42" s="100"/>
      <c r="AS42" s="99"/>
      <c r="AT42" s="100"/>
      <c r="AU42" s="99"/>
      <c r="AV42" s="100"/>
      <c r="AW42" s="101" t="n">
        <v>1.448</v>
      </c>
      <c r="AX42" s="102" t="n">
        <v>1.071</v>
      </c>
      <c r="AY42" s="101" t="n">
        <v>1.455</v>
      </c>
      <c r="AZ42" s="102" t="n">
        <v>1.063</v>
      </c>
      <c r="BA42" s="101" t="n">
        <v>1.455</v>
      </c>
      <c r="BB42" s="102" t="n">
        <v>1</v>
      </c>
      <c r="BC42" s="101" t="n">
        <v>1.455</v>
      </c>
      <c r="BD42" s="102" t="n">
        <v>1</v>
      </c>
      <c r="BE42" s="101" t="n">
        <v>1.4</v>
      </c>
      <c r="BF42" s="102" t="n">
        <v>1.05</v>
      </c>
      <c r="BG42" s="101" t="n">
        <v>1.4</v>
      </c>
      <c r="BH42" s="102" t="n">
        <v>1.05</v>
      </c>
      <c r="BI42" s="101" t="n">
        <v>1.4</v>
      </c>
      <c r="BJ42" s="102" t="n">
        <v>1</v>
      </c>
      <c r="BK42" s="101" t="n">
        <v>1.455</v>
      </c>
      <c r="BL42" s="102" t="n">
        <v>1</v>
      </c>
      <c r="BM42" s="99"/>
      <c r="BN42" s="100"/>
      <c r="BO42" s="99"/>
      <c r="BP42" s="100"/>
      <c r="BQ42" s="99"/>
      <c r="BR42" s="100"/>
      <c r="BS42" s="99"/>
      <c r="BT42" s="100"/>
      <c r="BU42" s="99"/>
      <c r="BV42" s="100"/>
      <c r="BW42" s="99"/>
      <c r="BX42" s="100"/>
      <c r="BY42" s="99"/>
      <c r="BZ42" s="100"/>
      <c r="CA42" s="99"/>
      <c r="CB42" s="100"/>
      <c r="CC42" s="99"/>
      <c r="CD42" s="100"/>
      <c r="CE42" s="99"/>
      <c r="CF42" s="100"/>
      <c r="CG42" s="99"/>
      <c r="CH42" s="100"/>
      <c r="CI42" s="99"/>
      <c r="CJ42" s="100"/>
      <c r="CK42" s="99"/>
      <c r="CL42" s="100"/>
      <c r="CM42" s="99"/>
      <c r="CN42" s="100"/>
      <c r="CO42" s="99"/>
      <c r="CP42" s="100"/>
      <c r="CQ42" s="99"/>
      <c r="CR42" s="100"/>
      <c r="CS42" s="99"/>
      <c r="CT42" s="100"/>
      <c r="CU42" s="99"/>
      <c r="CV42" s="100"/>
      <c r="CW42" s="99"/>
      <c r="CX42" s="100"/>
      <c r="CY42" s="99"/>
      <c r="CZ42" s="100"/>
      <c r="DA42" s="99"/>
      <c r="DB42" s="100"/>
      <c r="DC42" s="99"/>
      <c r="DD42" s="100"/>
      <c r="DE42" s="99"/>
      <c r="DF42" s="100"/>
      <c r="DG42" s="99"/>
      <c r="DH42" s="100"/>
      <c r="DI42" s="99"/>
      <c r="DJ42" s="100"/>
      <c r="DK42" s="99"/>
      <c r="DL42" s="100"/>
      <c r="DM42" s="99"/>
      <c r="DN42" s="100"/>
      <c r="DO42" s="99"/>
      <c r="DP42" s="100"/>
      <c r="DQ42" s="99"/>
      <c r="DR42" s="100"/>
      <c r="DS42" s="99"/>
      <c r="DT42" s="100"/>
      <c r="DU42" s="99"/>
      <c r="DV42" s="100"/>
      <c r="DW42" s="99"/>
      <c r="DX42" s="100"/>
    </row>
    <row r="43" customFormat="false" ht="15.75" hidden="false" customHeight="true" outlineLevel="0" collapsed="false">
      <c r="A43" s="89"/>
      <c r="B43" s="90"/>
      <c r="C43" s="90"/>
      <c r="D43" s="89"/>
      <c r="E43" s="91"/>
      <c r="F43" s="4"/>
      <c r="G43" s="4"/>
      <c r="H43" s="97" t="s">
        <v>112</v>
      </c>
      <c r="I43" s="99" t="n">
        <v>1.58</v>
      </c>
      <c r="J43" s="100" t="n">
        <v>1.0652</v>
      </c>
      <c r="K43" s="99" t="n">
        <v>1.6</v>
      </c>
      <c r="L43" s="100" t="n">
        <v>1.0652</v>
      </c>
      <c r="M43" s="99" t="n">
        <v>1.6</v>
      </c>
      <c r="N43" s="100" t="n">
        <v>1.0652</v>
      </c>
      <c r="O43" s="99" t="n">
        <v>1.6</v>
      </c>
      <c r="P43" s="100" t="n">
        <v>1.0652</v>
      </c>
      <c r="Q43" s="99" t="n">
        <v>1.6</v>
      </c>
      <c r="R43" s="100" t="n">
        <v>1.0652</v>
      </c>
      <c r="S43" s="99"/>
      <c r="T43" s="100"/>
      <c r="U43" s="99" t="n">
        <v>1.6</v>
      </c>
      <c r="V43" s="100" t="n">
        <v>1.0652</v>
      </c>
      <c r="W43" s="99"/>
      <c r="X43" s="100"/>
      <c r="Y43" s="99"/>
      <c r="Z43" s="100"/>
      <c r="AA43" s="99"/>
      <c r="AB43" s="100"/>
      <c r="AC43" s="99"/>
      <c r="AD43" s="100"/>
      <c r="AE43" s="99"/>
      <c r="AF43" s="100"/>
      <c r="AG43" s="99"/>
      <c r="AH43" s="100"/>
      <c r="AI43" s="99"/>
      <c r="AJ43" s="100"/>
      <c r="AK43" s="99"/>
      <c r="AL43" s="100"/>
      <c r="AM43" s="99"/>
      <c r="AN43" s="100"/>
      <c r="AO43" s="99"/>
      <c r="AP43" s="100"/>
      <c r="AQ43" s="99"/>
      <c r="AR43" s="100"/>
      <c r="AS43" s="99"/>
      <c r="AT43" s="100"/>
      <c r="AU43" s="99"/>
      <c r="AV43" s="100"/>
      <c r="AW43" s="101" t="n">
        <v>1.586</v>
      </c>
      <c r="AX43" s="102" t="n">
        <v>1.065</v>
      </c>
      <c r="AY43" s="101" t="n">
        <v>1.606</v>
      </c>
      <c r="AZ43" s="102" t="n">
        <v>1.076</v>
      </c>
      <c r="BA43" s="101" t="n">
        <v>1.606</v>
      </c>
      <c r="BB43" s="102" t="n">
        <v>1</v>
      </c>
      <c r="BC43" s="101" t="n">
        <v>1.606</v>
      </c>
      <c r="BD43" s="102" t="n">
        <v>1</v>
      </c>
      <c r="BE43" s="101" t="n">
        <v>1.55</v>
      </c>
      <c r="BF43" s="102" t="n">
        <v>1.04</v>
      </c>
      <c r="BG43" s="101" t="n">
        <v>1.55</v>
      </c>
      <c r="BH43" s="102" t="n">
        <v>1.04</v>
      </c>
      <c r="BI43" s="101" t="n">
        <v>1.6</v>
      </c>
      <c r="BJ43" s="102" t="n">
        <v>1</v>
      </c>
      <c r="BK43" s="101" t="n">
        <v>1.6</v>
      </c>
      <c r="BL43" s="102" t="n">
        <v>1</v>
      </c>
      <c r="BM43" s="99"/>
      <c r="BN43" s="100"/>
      <c r="BO43" s="99"/>
      <c r="BP43" s="100"/>
      <c r="BQ43" s="99"/>
      <c r="BR43" s="100"/>
      <c r="BS43" s="99"/>
      <c r="BT43" s="100"/>
      <c r="BU43" s="99"/>
      <c r="BV43" s="100"/>
      <c r="BW43" s="99"/>
      <c r="BX43" s="100"/>
      <c r="BY43" s="99"/>
      <c r="BZ43" s="100"/>
      <c r="CA43" s="99"/>
      <c r="CB43" s="100"/>
      <c r="CC43" s="99"/>
      <c r="CD43" s="100"/>
      <c r="CE43" s="99"/>
      <c r="CF43" s="100"/>
      <c r="CG43" s="99"/>
      <c r="CH43" s="100"/>
      <c r="CI43" s="99"/>
      <c r="CJ43" s="100"/>
      <c r="CK43" s="99"/>
      <c r="CL43" s="100"/>
      <c r="CM43" s="99"/>
      <c r="CN43" s="100"/>
      <c r="CO43" s="99"/>
      <c r="CP43" s="100"/>
      <c r="CQ43" s="99"/>
      <c r="CR43" s="100"/>
      <c r="CS43" s="99"/>
      <c r="CT43" s="100"/>
      <c r="CU43" s="99"/>
      <c r="CV43" s="100"/>
      <c r="CW43" s="99"/>
      <c r="CX43" s="100"/>
      <c r="CY43" s="99"/>
      <c r="CZ43" s="100"/>
      <c r="DA43" s="99"/>
      <c r="DB43" s="100"/>
      <c r="DC43" s="99"/>
      <c r="DD43" s="100"/>
      <c r="DE43" s="99"/>
      <c r="DF43" s="100"/>
      <c r="DG43" s="99"/>
      <c r="DH43" s="100"/>
      <c r="DI43" s="99"/>
      <c r="DJ43" s="100"/>
      <c r="DK43" s="99"/>
      <c r="DL43" s="100"/>
      <c r="DM43" s="99"/>
      <c r="DN43" s="100"/>
      <c r="DO43" s="99"/>
      <c r="DP43" s="100"/>
      <c r="DQ43" s="99"/>
      <c r="DR43" s="100"/>
      <c r="DS43" s="99"/>
      <c r="DT43" s="100"/>
      <c r="DU43" s="99"/>
      <c r="DV43" s="100"/>
      <c r="DW43" s="99"/>
      <c r="DX43" s="100"/>
    </row>
    <row r="44" customFormat="false" ht="15.75" hidden="false" customHeight="true" outlineLevel="0" collapsed="false">
      <c r="A44" s="6"/>
      <c r="B44" s="87"/>
      <c r="C44" s="87"/>
      <c r="D44" s="6"/>
      <c r="E44" s="88"/>
      <c r="F44" s="4"/>
      <c r="G44" s="4"/>
      <c r="H44" s="98" t="s">
        <v>113</v>
      </c>
      <c r="I44" s="103" t="n">
        <v>1.89</v>
      </c>
      <c r="J44" s="104" t="n">
        <v>1.0727</v>
      </c>
      <c r="K44" s="103" t="n">
        <v>1.9</v>
      </c>
      <c r="L44" s="104" t="n">
        <v>1.07</v>
      </c>
      <c r="M44" s="103" t="n">
        <v>1.9</v>
      </c>
      <c r="N44" s="104" t="n">
        <v>1.07</v>
      </c>
      <c r="O44" s="103" t="n">
        <v>1.9</v>
      </c>
      <c r="P44" s="104" t="n">
        <v>1.07</v>
      </c>
      <c r="Q44" s="103" t="n">
        <v>1.9</v>
      </c>
      <c r="R44" s="104" t="n">
        <v>1.07</v>
      </c>
      <c r="S44" s="103"/>
      <c r="T44" s="104"/>
      <c r="U44" s="103" t="n">
        <v>1.9</v>
      </c>
      <c r="V44" s="104" t="n">
        <v>1.07</v>
      </c>
      <c r="W44" s="103"/>
      <c r="X44" s="104"/>
      <c r="Y44" s="103"/>
      <c r="Z44" s="104"/>
      <c r="AA44" s="103"/>
      <c r="AB44" s="104"/>
      <c r="AC44" s="103"/>
      <c r="AD44" s="104"/>
      <c r="AE44" s="103"/>
      <c r="AF44" s="104"/>
      <c r="AG44" s="103"/>
      <c r="AH44" s="104"/>
      <c r="AI44" s="103"/>
      <c r="AJ44" s="104"/>
      <c r="AK44" s="103"/>
      <c r="AL44" s="104"/>
      <c r="AM44" s="103"/>
      <c r="AN44" s="104"/>
      <c r="AO44" s="103"/>
      <c r="AP44" s="104"/>
      <c r="AQ44" s="103"/>
      <c r="AR44" s="104"/>
      <c r="AS44" s="103"/>
      <c r="AT44" s="104"/>
      <c r="AU44" s="103"/>
      <c r="AV44" s="104"/>
      <c r="AW44" s="105" t="n">
        <v>1.897</v>
      </c>
      <c r="AX44" s="106" t="n">
        <v>1.073</v>
      </c>
      <c r="AY44" s="105" t="n">
        <v>1.909</v>
      </c>
      <c r="AZ44" s="106" t="n">
        <v>1.079</v>
      </c>
      <c r="BA44" s="105" t="n">
        <v>1.909</v>
      </c>
      <c r="BB44" s="106" t="n">
        <v>1</v>
      </c>
      <c r="BC44" s="105" t="n">
        <v>1.909</v>
      </c>
      <c r="BD44" s="106" t="n">
        <v>1</v>
      </c>
      <c r="BE44" s="105" t="n">
        <v>1.9</v>
      </c>
      <c r="BF44" s="106" t="n">
        <v>1.05</v>
      </c>
      <c r="BG44" s="105" t="n">
        <v>1.9</v>
      </c>
      <c r="BH44" s="106" t="n">
        <v>1.05</v>
      </c>
      <c r="BI44" s="105" t="n">
        <v>1.9</v>
      </c>
      <c r="BJ44" s="106" t="n">
        <v>1</v>
      </c>
      <c r="BK44" s="105" t="n">
        <v>1.9</v>
      </c>
      <c r="BL44" s="106" t="n">
        <v>1</v>
      </c>
      <c r="BM44" s="103"/>
      <c r="BN44" s="104"/>
      <c r="BO44" s="103"/>
      <c r="BP44" s="104"/>
      <c r="BQ44" s="103"/>
      <c r="BR44" s="104"/>
      <c r="BS44" s="103"/>
      <c r="BT44" s="104"/>
      <c r="BU44" s="103"/>
      <c r="BV44" s="104"/>
      <c r="BW44" s="103"/>
      <c r="BX44" s="104"/>
      <c r="BY44" s="103"/>
      <c r="BZ44" s="104"/>
      <c r="CA44" s="103"/>
      <c r="CB44" s="104"/>
      <c r="CC44" s="103"/>
      <c r="CD44" s="104"/>
      <c r="CE44" s="103"/>
      <c r="CF44" s="104"/>
      <c r="CG44" s="103"/>
      <c r="CH44" s="104"/>
      <c r="CI44" s="103"/>
      <c r="CJ44" s="104"/>
      <c r="CK44" s="103"/>
      <c r="CL44" s="104"/>
      <c r="CM44" s="103"/>
      <c r="CN44" s="104"/>
      <c r="CO44" s="103"/>
      <c r="CP44" s="104"/>
      <c r="CQ44" s="103"/>
      <c r="CR44" s="104"/>
      <c r="CS44" s="103"/>
      <c r="CT44" s="104"/>
      <c r="CU44" s="103"/>
      <c r="CV44" s="104"/>
      <c r="CW44" s="103"/>
      <c r="CX44" s="104"/>
      <c r="CY44" s="103"/>
      <c r="CZ44" s="104"/>
      <c r="DA44" s="103"/>
      <c r="DB44" s="104"/>
      <c r="DC44" s="103"/>
      <c r="DD44" s="104"/>
      <c r="DE44" s="103"/>
      <c r="DF44" s="104"/>
      <c r="DG44" s="103"/>
      <c r="DH44" s="104"/>
      <c r="DI44" s="103"/>
      <c r="DJ44" s="104"/>
      <c r="DK44" s="103"/>
      <c r="DL44" s="104"/>
      <c r="DM44" s="103"/>
      <c r="DN44" s="104"/>
      <c r="DO44" s="103"/>
      <c r="DP44" s="104"/>
      <c r="DQ44" s="103"/>
      <c r="DR44" s="104"/>
      <c r="DS44" s="103"/>
      <c r="DT44" s="104"/>
      <c r="DU44" s="103"/>
      <c r="DV44" s="104"/>
      <c r="DW44" s="103"/>
      <c r="DX44" s="104"/>
    </row>
    <row r="45" customFormat="false" ht="15.75" hidden="false" customHeight="true" outlineLevel="0" collapsed="false">
      <c r="A45" s="94"/>
      <c r="B45" s="95"/>
      <c r="C45" s="95"/>
      <c r="D45" s="94"/>
      <c r="E45" s="96"/>
      <c r="F45" s="4"/>
      <c r="G45" s="4"/>
      <c r="H45" s="97" t="s">
        <v>67</v>
      </c>
      <c r="I45" s="99" t="n">
        <v>1</v>
      </c>
      <c r="J45" s="100" t="n">
        <v>1.0714</v>
      </c>
      <c r="K45" s="99" t="n">
        <v>1</v>
      </c>
      <c r="L45" s="100" t="n">
        <v>1.07</v>
      </c>
      <c r="M45" s="99" t="n">
        <v>1</v>
      </c>
      <c r="N45" s="100" t="n">
        <v>1.07</v>
      </c>
      <c r="O45" s="99" t="n">
        <v>1</v>
      </c>
      <c r="P45" s="100" t="n">
        <v>1.07</v>
      </c>
      <c r="Q45" s="99" t="n">
        <v>1</v>
      </c>
      <c r="R45" s="100" t="n">
        <v>1.07</v>
      </c>
      <c r="S45" s="99"/>
      <c r="T45" s="100"/>
      <c r="U45" s="99" t="n">
        <v>1</v>
      </c>
      <c r="V45" s="100" t="n">
        <v>1.07</v>
      </c>
      <c r="W45" s="99"/>
      <c r="X45" s="100"/>
      <c r="Y45" s="99"/>
      <c r="Z45" s="100"/>
      <c r="AA45" s="99"/>
      <c r="AB45" s="100"/>
      <c r="AC45" s="99"/>
      <c r="AD45" s="100"/>
      <c r="AE45" s="99"/>
      <c r="AF45" s="100"/>
      <c r="AG45" s="99"/>
      <c r="AH45" s="100"/>
      <c r="AI45" s="99"/>
      <c r="AJ45" s="100"/>
      <c r="AK45" s="99"/>
      <c r="AL45" s="100"/>
      <c r="AM45" s="99"/>
      <c r="AN45" s="100"/>
      <c r="AO45" s="99"/>
      <c r="AP45" s="100"/>
      <c r="AQ45" s="99"/>
      <c r="AR45" s="100"/>
      <c r="AS45" s="99"/>
      <c r="AT45" s="100"/>
      <c r="AU45" s="99"/>
      <c r="AV45" s="100"/>
      <c r="AW45" s="101" t="n">
        <v>1</v>
      </c>
      <c r="AX45" s="102" t="n">
        <v>1.071</v>
      </c>
      <c r="AY45" s="101" t="n">
        <v>1</v>
      </c>
      <c r="AZ45" s="102" t="n">
        <v>1.064</v>
      </c>
      <c r="BA45" s="101" t="n">
        <v>1</v>
      </c>
      <c r="BB45" s="102" t="n">
        <v>1</v>
      </c>
      <c r="BC45" s="101" t="n">
        <v>1</v>
      </c>
      <c r="BD45" s="102" t="n">
        <v>1</v>
      </c>
      <c r="BE45" s="101" t="n">
        <v>1</v>
      </c>
      <c r="BF45" s="102" t="n">
        <v>1.05</v>
      </c>
      <c r="BG45" s="101" t="n">
        <v>1</v>
      </c>
      <c r="BH45" s="102" t="n">
        <v>1.05</v>
      </c>
      <c r="BI45" s="101" t="n">
        <v>1</v>
      </c>
      <c r="BJ45" s="102" t="n">
        <v>1</v>
      </c>
      <c r="BK45" s="101" t="n">
        <v>1</v>
      </c>
      <c r="BL45" s="102" t="n">
        <v>1</v>
      </c>
      <c r="BM45" s="99"/>
      <c r="BN45" s="100"/>
      <c r="BO45" s="99"/>
      <c r="BP45" s="100"/>
      <c r="BQ45" s="99"/>
      <c r="BR45" s="100"/>
      <c r="BS45" s="99"/>
      <c r="BT45" s="100"/>
      <c r="BU45" s="99"/>
      <c r="BV45" s="100"/>
      <c r="BW45" s="99"/>
      <c r="BX45" s="100"/>
      <c r="BY45" s="99"/>
      <c r="BZ45" s="100"/>
      <c r="CA45" s="99"/>
      <c r="CB45" s="100"/>
      <c r="CC45" s="99"/>
      <c r="CD45" s="100"/>
      <c r="CE45" s="99"/>
      <c r="CF45" s="100"/>
      <c r="CG45" s="99"/>
      <c r="CH45" s="100"/>
      <c r="CI45" s="99"/>
      <c r="CJ45" s="100"/>
      <c r="CK45" s="99"/>
      <c r="CL45" s="100"/>
      <c r="CM45" s="99"/>
      <c r="CN45" s="100"/>
      <c r="CO45" s="99"/>
      <c r="CP45" s="100"/>
      <c r="CQ45" s="99"/>
      <c r="CR45" s="100"/>
      <c r="CS45" s="99"/>
      <c r="CT45" s="100"/>
      <c r="CU45" s="99"/>
      <c r="CV45" s="100"/>
      <c r="CW45" s="99"/>
      <c r="CX45" s="100"/>
      <c r="CY45" s="99"/>
      <c r="CZ45" s="100"/>
      <c r="DA45" s="99"/>
      <c r="DB45" s="100"/>
      <c r="DC45" s="99"/>
      <c r="DD45" s="100"/>
      <c r="DE45" s="99"/>
      <c r="DF45" s="100"/>
      <c r="DG45" s="99"/>
      <c r="DH45" s="100"/>
      <c r="DI45" s="99"/>
      <c r="DJ45" s="100"/>
      <c r="DK45" s="99"/>
      <c r="DL45" s="100"/>
      <c r="DM45" s="99"/>
      <c r="DN45" s="100"/>
      <c r="DO45" s="99"/>
      <c r="DP45" s="100"/>
      <c r="DQ45" s="99"/>
      <c r="DR45" s="100"/>
      <c r="DS45" s="99"/>
      <c r="DT45" s="100"/>
      <c r="DU45" s="99"/>
      <c r="DV45" s="100"/>
      <c r="DW45" s="99"/>
      <c r="DX45" s="100"/>
    </row>
    <row r="46" customFormat="false" ht="15.75" hidden="false" customHeight="true" outlineLevel="0" collapsed="false">
      <c r="A46" s="6"/>
      <c r="B46" s="87"/>
      <c r="C46" s="87"/>
      <c r="D46" s="6"/>
      <c r="E46" s="88"/>
      <c r="F46" s="4"/>
      <c r="G46" s="4"/>
      <c r="H46" s="97" t="s">
        <v>114</v>
      </c>
      <c r="I46" s="99" t="n">
        <v>1.09</v>
      </c>
      <c r="J46" s="100" t="n">
        <v>1.0652</v>
      </c>
      <c r="K46" s="99" t="n">
        <v>1.09</v>
      </c>
      <c r="L46" s="100" t="n">
        <v>1.0652</v>
      </c>
      <c r="M46" s="99" t="n">
        <v>1.09</v>
      </c>
      <c r="N46" s="100" t="n">
        <v>1.0652</v>
      </c>
      <c r="O46" s="99" t="n">
        <v>1.09</v>
      </c>
      <c r="P46" s="100" t="n">
        <v>1.0652</v>
      </c>
      <c r="Q46" s="99" t="n">
        <v>1.1</v>
      </c>
      <c r="R46" s="100" t="n">
        <v>1.0652</v>
      </c>
      <c r="S46" s="99"/>
      <c r="T46" s="100"/>
      <c r="U46" s="99" t="n">
        <v>1.1</v>
      </c>
      <c r="V46" s="100" t="n">
        <v>1.0652</v>
      </c>
      <c r="W46" s="99"/>
      <c r="X46" s="100"/>
      <c r="Y46" s="99"/>
      <c r="Z46" s="100"/>
      <c r="AA46" s="99"/>
      <c r="AB46" s="100"/>
      <c r="AC46" s="99"/>
      <c r="AD46" s="100"/>
      <c r="AE46" s="99"/>
      <c r="AF46" s="100"/>
      <c r="AG46" s="99"/>
      <c r="AH46" s="100"/>
      <c r="AI46" s="99"/>
      <c r="AJ46" s="100"/>
      <c r="AK46" s="99"/>
      <c r="AL46" s="100"/>
      <c r="AM46" s="99"/>
      <c r="AN46" s="100"/>
      <c r="AO46" s="99"/>
      <c r="AP46" s="100"/>
      <c r="AQ46" s="99"/>
      <c r="AR46" s="100"/>
      <c r="AS46" s="99"/>
      <c r="AT46" s="100"/>
      <c r="AU46" s="99"/>
      <c r="AV46" s="100"/>
      <c r="AW46" s="101" t="n">
        <v>1.095</v>
      </c>
      <c r="AX46" s="102" t="n">
        <v>1.065</v>
      </c>
      <c r="AY46" s="101" t="n">
        <v>1.128</v>
      </c>
      <c r="AZ46" s="102" t="n">
        <v>1.076</v>
      </c>
      <c r="BA46" s="101" t="n">
        <v>1.128</v>
      </c>
      <c r="BB46" s="102" t="n">
        <v>1</v>
      </c>
      <c r="BC46" s="101" t="n">
        <v>1.128</v>
      </c>
      <c r="BD46" s="102" t="n">
        <v>1</v>
      </c>
      <c r="BE46" s="101" t="n">
        <v>1.1</v>
      </c>
      <c r="BF46" s="102" t="n">
        <v>1.1</v>
      </c>
      <c r="BG46" s="101" t="n">
        <v>1.1</v>
      </c>
      <c r="BH46" s="102" t="n">
        <v>1.1</v>
      </c>
      <c r="BI46" s="101" t="n">
        <v>1.1</v>
      </c>
      <c r="BJ46" s="102" t="n">
        <v>1</v>
      </c>
      <c r="BK46" s="101" t="n">
        <v>1.1</v>
      </c>
      <c r="BL46" s="102" t="n">
        <v>1</v>
      </c>
      <c r="BM46" s="99"/>
      <c r="BN46" s="100"/>
      <c r="BO46" s="99"/>
      <c r="BP46" s="100"/>
      <c r="BQ46" s="99"/>
      <c r="BR46" s="100"/>
      <c r="BS46" s="99"/>
      <c r="BT46" s="100"/>
      <c r="BU46" s="99"/>
      <c r="BV46" s="100"/>
      <c r="BW46" s="99"/>
      <c r="BX46" s="100"/>
      <c r="BY46" s="99"/>
      <c r="BZ46" s="100"/>
      <c r="CA46" s="99"/>
      <c r="CB46" s="100"/>
      <c r="CC46" s="99"/>
      <c r="CD46" s="100"/>
      <c r="CE46" s="99"/>
      <c r="CF46" s="100"/>
      <c r="CG46" s="99"/>
      <c r="CH46" s="100"/>
      <c r="CI46" s="99"/>
      <c r="CJ46" s="100"/>
      <c r="CK46" s="99"/>
      <c r="CL46" s="100"/>
      <c r="CM46" s="99"/>
      <c r="CN46" s="100"/>
      <c r="CO46" s="99"/>
      <c r="CP46" s="100"/>
      <c r="CQ46" s="99"/>
      <c r="CR46" s="100"/>
      <c r="CS46" s="99"/>
      <c r="CT46" s="100"/>
      <c r="CU46" s="99"/>
      <c r="CV46" s="100"/>
      <c r="CW46" s="99"/>
      <c r="CX46" s="100"/>
      <c r="CY46" s="99"/>
      <c r="CZ46" s="100"/>
      <c r="DA46" s="99"/>
      <c r="DB46" s="100"/>
      <c r="DC46" s="99"/>
      <c r="DD46" s="100"/>
      <c r="DE46" s="99"/>
      <c r="DF46" s="100"/>
      <c r="DG46" s="99"/>
      <c r="DH46" s="100"/>
      <c r="DI46" s="99"/>
      <c r="DJ46" s="100"/>
      <c r="DK46" s="99"/>
      <c r="DL46" s="100"/>
      <c r="DM46" s="99"/>
      <c r="DN46" s="100"/>
      <c r="DO46" s="99"/>
      <c r="DP46" s="100"/>
      <c r="DQ46" s="99"/>
      <c r="DR46" s="100"/>
      <c r="DS46" s="99"/>
      <c r="DT46" s="100"/>
      <c r="DU46" s="99"/>
      <c r="DV46" s="100"/>
      <c r="DW46" s="99"/>
      <c r="DX46" s="100"/>
    </row>
    <row r="47" customFormat="false" ht="15.75" hidden="false" customHeight="true" outlineLevel="0" collapsed="false">
      <c r="A47" s="89"/>
      <c r="B47" s="90"/>
      <c r="C47" s="90"/>
      <c r="D47" s="89"/>
      <c r="E47" s="91"/>
      <c r="F47" s="4"/>
      <c r="G47" s="4"/>
      <c r="H47" s="97" t="s">
        <v>115</v>
      </c>
      <c r="I47" s="99" t="n">
        <v>1.09</v>
      </c>
      <c r="J47" s="100" t="n">
        <v>1.0652</v>
      </c>
      <c r="K47" s="99" t="n">
        <v>1.09</v>
      </c>
      <c r="L47" s="100" t="n">
        <v>1.0652</v>
      </c>
      <c r="M47" s="99" t="n">
        <v>1.09</v>
      </c>
      <c r="N47" s="100" t="n">
        <v>1.0652</v>
      </c>
      <c r="O47" s="99" t="n">
        <v>1.09</v>
      </c>
      <c r="P47" s="100" t="n">
        <v>1.0652</v>
      </c>
      <c r="Q47" s="99" t="n">
        <v>1.1</v>
      </c>
      <c r="R47" s="100" t="n">
        <v>1.0652</v>
      </c>
      <c r="S47" s="99"/>
      <c r="T47" s="100"/>
      <c r="U47" s="99" t="n">
        <v>1.1</v>
      </c>
      <c r="V47" s="100" t="n">
        <v>1.0652</v>
      </c>
      <c r="W47" s="99"/>
      <c r="X47" s="100"/>
      <c r="Y47" s="99"/>
      <c r="Z47" s="100"/>
      <c r="AA47" s="99"/>
      <c r="AB47" s="100"/>
      <c r="AC47" s="99"/>
      <c r="AD47" s="100"/>
      <c r="AE47" s="99"/>
      <c r="AF47" s="100"/>
      <c r="AG47" s="99"/>
      <c r="AH47" s="100"/>
      <c r="AI47" s="99"/>
      <c r="AJ47" s="100"/>
      <c r="AK47" s="99"/>
      <c r="AL47" s="100"/>
      <c r="AM47" s="99"/>
      <c r="AN47" s="100"/>
      <c r="AO47" s="99"/>
      <c r="AP47" s="100"/>
      <c r="AQ47" s="99"/>
      <c r="AR47" s="100"/>
      <c r="AS47" s="99"/>
      <c r="AT47" s="100"/>
      <c r="AU47" s="99"/>
      <c r="AV47" s="100"/>
      <c r="AW47" s="101" t="n">
        <v>1.095</v>
      </c>
      <c r="AX47" s="102" t="n">
        <v>1.065</v>
      </c>
      <c r="AY47" s="101" t="n">
        <v>1.128</v>
      </c>
      <c r="AZ47" s="102" t="n">
        <v>1.076</v>
      </c>
      <c r="BA47" s="101" t="n">
        <v>1.128</v>
      </c>
      <c r="BB47" s="102" t="n">
        <v>1</v>
      </c>
      <c r="BC47" s="101" t="n">
        <v>1.128</v>
      </c>
      <c r="BD47" s="102" t="n">
        <v>1</v>
      </c>
      <c r="BE47" s="101" t="n">
        <v>1.1</v>
      </c>
      <c r="BF47" s="102" t="n">
        <v>1.1</v>
      </c>
      <c r="BG47" s="101" t="n">
        <v>1.1</v>
      </c>
      <c r="BH47" s="102" t="n">
        <v>1.1</v>
      </c>
      <c r="BI47" s="101" t="n">
        <v>1.1</v>
      </c>
      <c r="BJ47" s="102" t="n">
        <v>1</v>
      </c>
      <c r="BK47" s="101" t="n">
        <v>1.1</v>
      </c>
      <c r="BL47" s="102" t="n">
        <v>1</v>
      </c>
      <c r="BM47" s="99"/>
      <c r="BN47" s="100"/>
      <c r="BO47" s="99"/>
      <c r="BP47" s="100"/>
      <c r="BQ47" s="99"/>
      <c r="BR47" s="100"/>
      <c r="BS47" s="99"/>
      <c r="BT47" s="100"/>
      <c r="BU47" s="99"/>
      <c r="BV47" s="100"/>
      <c r="BW47" s="99"/>
      <c r="BX47" s="100"/>
      <c r="BY47" s="99"/>
      <c r="BZ47" s="100"/>
      <c r="CA47" s="99"/>
      <c r="CB47" s="100"/>
      <c r="CC47" s="99"/>
      <c r="CD47" s="100"/>
      <c r="CE47" s="99"/>
      <c r="CF47" s="100"/>
      <c r="CG47" s="99"/>
      <c r="CH47" s="100"/>
      <c r="CI47" s="99"/>
      <c r="CJ47" s="100"/>
      <c r="CK47" s="99"/>
      <c r="CL47" s="100"/>
      <c r="CM47" s="99"/>
      <c r="CN47" s="100"/>
      <c r="CO47" s="99"/>
      <c r="CP47" s="100"/>
      <c r="CQ47" s="99"/>
      <c r="CR47" s="100"/>
      <c r="CS47" s="99"/>
      <c r="CT47" s="100"/>
      <c r="CU47" s="99"/>
      <c r="CV47" s="100"/>
      <c r="CW47" s="99"/>
      <c r="CX47" s="100"/>
      <c r="CY47" s="99"/>
      <c r="CZ47" s="100"/>
      <c r="DA47" s="99"/>
      <c r="DB47" s="100"/>
      <c r="DC47" s="99"/>
      <c r="DD47" s="100"/>
      <c r="DE47" s="99"/>
      <c r="DF47" s="100"/>
      <c r="DG47" s="99"/>
      <c r="DH47" s="100"/>
      <c r="DI47" s="99"/>
      <c r="DJ47" s="100"/>
      <c r="DK47" s="99"/>
      <c r="DL47" s="100"/>
      <c r="DM47" s="99"/>
      <c r="DN47" s="100"/>
      <c r="DO47" s="99"/>
      <c r="DP47" s="100"/>
      <c r="DQ47" s="99"/>
      <c r="DR47" s="100"/>
      <c r="DS47" s="99"/>
      <c r="DT47" s="100"/>
      <c r="DU47" s="99"/>
      <c r="DV47" s="100"/>
      <c r="DW47" s="99"/>
      <c r="DX47" s="100"/>
    </row>
    <row r="48" customFormat="false" ht="15.75" hidden="false" customHeight="true" outlineLevel="0" collapsed="false">
      <c r="A48" s="6"/>
      <c r="B48" s="87"/>
      <c r="C48" s="87"/>
      <c r="D48" s="6"/>
      <c r="E48" s="88"/>
      <c r="F48" s="4"/>
      <c r="G48" s="4"/>
      <c r="H48" s="97" t="s">
        <v>116</v>
      </c>
      <c r="I48" s="99" t="n">
        <v>1.09</v>
      </c>
      <c r="J48" s="100" t="n">
        <v>1.0652</v>
      </c>
      <c r="K48" s="99" t="n">
        <v>1.09</v>
      </c>
      <c r="L48" s="100" t="n">
        <v>1.0652</v>
      </c>
      <c r="M48" s="99" t="n">
        <v>1.09</v>
      </c>
      <c r="N48" s="100" t="n">
        <v>1.0652</v>
      </c>
      <c r="O48" s="99" t="n">
        <v>1.09</v>
      </c>
      <c r="P48" s="100" t="n">
        <v>1.0652</v>
      </c>
      <c r="Q48" s="99" t="n">
        <v>1.1</v>
      </c>
      <c r="R48" s="100" t="n">
        <v>1.0652</v>
      </c>
      <c r="S48" s="99"/>
      <c r="T48" s="100"/>
      <c r="U48" s="99" t="n">
        <v>1.1</v>
      </c>
      <c r="V48" s="100" t="n">
        <v>1.0652</v>
      </c>
      <c r="W48" s="99"/>
      <c r="X48" s="100"/>
      <c r="Y48" s="99"/>
      <c r="Z48" s="100"/>
      <c r="AA48" s="99"/>
      <c r="AB48" s="100"/>
      <c r="AC48" s="99"/>
      <c r="AD48" s="100"/>
      <c r="AE48" s="99"/>
      <c r="AF48" s="100"/>
      <c r="AG48" s="99"/>
      <c r="AH48" s="100"/>
      <c r="AI48" s="99"/>
      <c r="AJ48" s="100"/>
      <c r="AK48" s="99"/>
      <c r="AL48" s="100"/>
      <c r="AM48" s="99"/>
      <c r="AN48" s="100"/>
      <c r="AO48" s="99"/>
      <c r="AP48" s="100"/>
      <c r="AQ48" s="99"/>
      <c r="AR48" s="100"/>
      <c r="AS48" s="99"/>
      <c r="AT48" s="100"/>
      <c r="AU48" s="99"/>
      <c r="AV48" s="100"/>
      <c r="AW48" s="101" t="n">
        <v>1.095</v>
      </c>
      <c r="AX48" s="102" t="n">
        <v>1.065</v>
      </c>
      <c r="AY48" s="101" t="n">
        <v>1.128</v>
      </c>
      <c r="AZ48" s="102" t="n">
        <v>1.076</v>
      </c>
      <c r="BA48" s="101" t="n">
        <v>1.128</v>
      </c>
      <c r="BB48" s="102" t="n">
        <v>1</v>
      </c>
      <c r="BC48" s="101" t="n">
        <v>1.128</v>
      </c>
      <c r="BD48" s="102" t="n">
        <v>1</v>
      </c>
      <c r="BE48" s="101" t="n">
        <v>1.1</v>
      </c>
      <c r="BF48" s="102" t="n">
        <v>1.1</v>
      </c>
      <c r="BG48" s="101" t="n">
        <v>1.1</v>
      </c>
      <c r="BH48" s="102" t="n">
        <v>1.1</v>
      </c>
      <c r="BI48" s="101" t="n">
        <v>1.1</v>
      </c>
      <c r="BJ48" s="102" t="n">
        <v>1</v>
      </c>
      <c r="BK48" s="101" t="n">
        <v>1.1</v>
      </c>
      <c r="BL48" s="102" t="n">
        <v>1</v>
      </c>
      <c r="BM48" s="99"/>
      <c r="BN48" s="100"/>
      <c r="BO48" s="99"/>
      <c r="BP48" s="100"/>
      <c r="BQ48" s="99"/>
      <c r="BR48" s="100"/>
      <c r="BS48" s="99"/>
      <c r="BT48" s="100"/>
      <c r="BU48" s="99"/>
      <c r="BV48" s="100"/>
      <c r="BW48" s="99"/>
      <c r="BX48" s="100"/>
      <c r="BY48" s="99"/>
      <c r="BZ48" s="100"/>
      <c r="CA48" s="99"/>
      <c r="CB48" s="100"/>
      <c r="CC48" s="99"/>
      <c r="CD48" s="100"/>
      <c r="CE48" s="99"/>
      <c r="CF48" s="100"/>
      <c r="CG48" s="99"/>
      <c r="CH48" s="100"/>
      <c r="CI48" s="99"/>
      <c r="CJ48" s="100"/>
      <c r="CK48" s="99"/>
      <c r="CL48" s="100"/>
      <c r="CM48" s="99"/>
      <c r="CN48" s="100"/>
      <c r="CO48" s="99"/>
      <c r="CP48" s="100"/>
      <c r="CQ48" s="99"/>
      <c r="CR48" s="100"/>
      <c r="CS48" s="99"/>
      <c r="CT48" s="100"/>
      <c r="CU48" s="99"/>
      <c r="CV48" s="100"/>
      <c r="CW48" s="99"/>
      <c r="CX48" s="100"/>
      <c r="CY48" s="99"/>
      <c r="CZ48" s="100"/>
      <c r="DA48" s="99"/>
      <c r="DB48" s="100"/>
      <c r="DC48" s="99"/>
      <c r="DD48" s="100"/>
      <c r="DE48" s="99"/>
      <c r="DF48" s="100"/>
      <c r="DG48" s="99"/>
      <c r="DH48" s="100"/>
      <c r="DI48" s="99"/>
      <c r="DJ48" s="100"/>
      <c r="DK48" s="99"/>
      <c r="DL48" s="100"/>
      <c r="DM48" s="99"/>
      <c r="DN48" s="100"/>
      <c r="DO48" s="99"/>
      <c r="DP48" s="100"/>
      <c r="DQ48" s="99"/>
      <c r="DR48" s="100"/>
      <c r="DS48" s="99"/>
      <c r="DT48" s="100"/>
      <c r="DU48" s="99"/>
      <c r="DV48" s="100"/>
      <c r="DW48" s="99"/>
      <c r="DX48" s="100"/>
    </row>
    <row r="49" customFormat="false" ht="15.75" hidden="false" customHeight="true" outlineLevel="0" collapsed="false">
      <c r="A49" s="89"/>
      <c r="B49" s="90"/>
      <c r="C49" s="90"/>
      <c r="D49" s="89"/>
      <c r="E49" s="91"/>
      <c r="F49" s="4"/>
      <c r="G49" s="4"/>
      <c r="H49" s="97" t="s">
        <v>117</v>
      </c>
      <c r="I49" s="99" t="n">
        <v>1.09</v>
      </c>
      <c r="J49" s="100" t="n">
        <v>1.0652</v>
      </c>
      <c r="K49" s="99" t="n">
        <v>1.09</v>
      </c>
      <c r="L49" s="100" t="n">
        <v>1.0652</v>
      </c>
      <c r="M49" s="99" t="n">
        <v>1.09</v>
      </c>
      <c r="N49" s="100" t="n">
        <v>1.0652</v>
      </c>
      <c r="O49" s="99" t="n">
        <v>1.09</v>
      </c>
      <c r="P49" s="100" t="n">
        <v>1.0652</v>
      </c>
      <c r="Q49" s="99" t="n">
        <v>1.1</v>
      </c>
      <c r="R49" s="100" t="n">
        <v>1.0652</v>
      </c>
      <c r="S49" s="99"/>
      <c r="T49" s="100"/>
      <c r="U49" s="99" t="n">
        <v>1.1</v>
      </c>
      <c r="V49" s="100" t="n">
        <v>1.0652</v>
      </c>
      <c r="W49" s="99"/>
      <c r="X49" s="100"/>
      <c r="Y49" s="99"/>
      <c r="Z49" s="100"/>
      <c r="AA49" s="99"/>
      <c r="AB49" s="100"/>
      <c r="AC49" s="99"/>
      <c r="AD49" s="100"/>
      <c r="AE49" s="99"/>
      <c r="AF49" s="100"/>
      <c r="AG49" s="99"/>
      <c r="AH49" s="100"/>
      <c r="AI49" s="99"/>
      <c r="AJ49" s="100"/>
      <c r="AK49" s="99"/>
      <c r="AL49" s="100"/>
      <c r="AM49" s="99"/>
      <c r="AN49" s="100"/>
      <c r="AO49" s="99"/>
      <c r="AP49" s="100"/>
      <c r="AQ49" s="99"/>
      <c r="AR49" s="100"/>
      <c r="AS49" s="99"/>
      <c r="AT49" s="100"/>
      <c r="AU49" s="99"/>
      <c r="AV49" s="100"/>
      <c r="AW49" s="101" t="n">
        <v>1.095</v>
      </c>
      <c r="AX49" s="102" t="n">
        <v>1.065</v>
      </c>
      <c r="AY49" s="101" t="n">
        <v>1.128</v>
      </c>
      <c r="AZ49" s="102" t="n">
        <v>1.076</v>
      </c>
      <c r="BA49" s="101" t="n">
        <v>1.128</v>
      </c>
      <c r="BB49" s="102" t="n">
        <v>1</v>
      </c>
      <c r="BC49" s="101" t="n">
        <v>1.128</v>
      </c>
      <c r="BD49" s="102" t="n">
        <v>1</v>
      </c>
      <c r="BE49" s="101" t="n">
        <v>1.1</v>
      </c>
      <c r="BF49" s="102" t="n">
        <v>1.1</v>
      </c>
      <c r="BG49" s="101" t="n">
        <v>1.1</v>
      </c>
      <c r="BH49" s="102" t="n">
        <v>1.1</v>
      </c>
      <c r="BI49" s="101" t="n">
        <v>1.1</v>
      </c>
      <c r="BJ49" s="102" t="n">
        <v>1</v>
      </c>
      <c r="BK49" s="101" t="n">
        <v>1.1</v>
      </c>
      <c r="BL49" s="102" t="n">
        <v>1</v>
      </c>
      <c r="BM49" s="99"/>
      <c r="BN49" s="100"/>
      <c r="BO49" s="99"/>
      <c r="BP49" s="100"/>
      <c r="BQ49" s="99"/>
      <c r="BR49" s="100"/>
      <c r="BS49" s="99"/>
      <c r="BT49" s="100"/>
      <c r="BU49" s="99"/>
      <c r="BV49" s="100"/>
      <c r="BW49" s="99"/>
      <c r="BX49" s="100"/>
      <c r="BY49" s="99"/>
      <c r="BZ49" s="100"/>
      <c r="CA49" s="99"/>
      <c r="CB49" s="100"/>
      <c r="CC49" s="99"/>
      <c r="CD49" s="100"/>
      <c r="CE49" s="99"/>
      <c r="CF49" s="100"/>
      <c r="CG49" s="99"/>
      <c r="CH49" s="100"/>
      <c r="CI49" s="99"/>
      <c r="CJ49" s="100"/>
      <c r="CK49" s="99"/>
      <c r="CL49" s="100"/>
      <c r="CM49" s="99"/>
      <c r="CN49" s="100"/>
      <c r="CO49" s="99"/>
      <c r="CP49" s="100"/>
      <c r="CQ49" s="99"/>
      <c r="CR49" s="100"/>
      <c r="CS49" s="99"/>
      <c r="CT49" s="100"/>
      <c r="CU49" s="99"/>
      <c r="CV49" s="100"/>
      <c r="CW49" s="99"/>
      <c r="CX49" s="100"/>
      <c r="CY49" s="99"/>
      <c r="CZ49" s="100"/>
      <c r="DA49" s="99"/>
      <c r="DB49" s="100"/>
      <c r="DC49" s="99"/>
      <c r="DD49" s="100"/>
      <c r="DE49" s="99"/>
      <c r="DF49" s="100"/>
      <c r="DG49" s="99"/>
      <c r="DH49" s="100"/>
      <c r="DI49" s="99"/>
      <c r="DJ49" s="100"/>
      <c r="DK49" s="99"/>
      <c r="DL49" s="100"/>
      <c r="DM49" s="99"/>
      <c r="DN49" s="100"/>
      <c r="DO49" s="99"/>
      <c r="DP49" s="100"/>
      <c r="DQ49" s="99"/>
      <c r="DR49" s="100"/>
      <c r="DS49" s="99"/>
      <c r="DT49" s="100"/>
      <c r="DU49" s="99"/>
      <c r="DV49" s="100"/>
      <c r="DW49" s="99"/>
      <c r="DX49" s="100"/>
    </row>
    <row r="50" customFormat="false" ht="15.75" hidden="false" customHeight="true" outlineLevel="0" collapsed="false">
      <c r="A50" s="6"/>
      <c r="B50" s="87"/>
      <c r="C50" s="87"/>
      <c r="D50" s="6"/>
      <c r="E50" s="88"/>
      <c r="F50" s="4"/>
      <c r="G50" s="4"/>
      <c r="H50" s="97" t="s">
        <v>118</v>
      </c>
      <c r="I50" s="99" t="n">
        <v>1.57</v>
      </c>
      <c r="J50" s="100" t="n">
        <v>1.0606</v>
      </c>
      <c r="K50" s="99" t="n">
        <v>1.57</v>
      </c>
      <c r="L50" s="100" t="n">
        <v>1.06</v>
      </c>
      <c r="M50" s="99" t="n">
        <v>1.57</v>
      </c>
      <c r="N50" s="100" t="n">
        <v>1.06</v>
      </c>
      <c r="O50" s="99" t="n">
        <v>1.57</v>
      </c>
      <c r="P50" s="100" t="n">
        <v>1.06</v>
      </c>
      <c r="Q50" s="99" t="n">
        <v>1.57</v>
      </c>
      <c r="R50" s="100" t="n">
        <v>1.06</v>
      </c>
      <c r="S50" s="99"/>
      <c r="T50" s="100"/>
      <c r="U50" s="99" t="n">
        <v>1.57</v>
      </c>
      <c r="V50" s="100" t="n">
        <v>1.06</v>
      </c>
      <c r="W50" s="99"/>
      <c r="X50" s="100"/>
      <c r="Y50" s="99"/>
      <c r="Z50" s="100"/>
      <c r="AA50" s="99"/>
      <c r="AB50" s="100"/>
      <c r="AC50" s="99"/>
      <c r="AD50" s="100"/>
      <c r="AE50" s="99"/>
      <c r="AF50" s="100"/>
      <c r="AG50" s="99"/>
      <c r="AH50" s="100"/>
      <c r="AI50" s="99"/>
      <c r="AJ50" s="100"/>
      <c r="AK50" s="99"/>
      <c r="AL50" s="100"/>
      <c r="AM50" s="99"/>
      <c r="AN50" s="100"/>
      <c r="AO50" s="99"/>
      <c r="AP50" s="100"/>
      <c r="AQ50" s="99"/>
      <c r="AR50" s="100"/>
      <c r="AS50" s="99"/>
      <c r="AT50" s="100"/>
      <c r="AU50" s="99"/>
      <c r="AV50" s="100"/>
      <c r="AW50" s="101" t="n">
        <v>1.571</v>
      </c>
      <c r="AX50" s="102" t="n">
        <v>1.061</v>
      </c>
      <c r="AY50" s="101" t="n">
        <v>1.596</v>
      </c>
      <c r="AZ50" s="102" t="n">
        <v>1.053</v>
      </c>
      <c r="BA50" s="101" t="n">
        <v>1.596</v>
      </c>
      <c r="BB50" s="102" t="n">
        <v>1</v>
      </c>
      <c r="BC50" s="101" t="n">
        <v>1.596</v>
      </c>
      <c r="BD50" s="102" t="n">
        <v>1</v>
      </c>
      <c r="BE50" s="101" t="n">
        <v>1.6</v>
      </c>
      <c r="BF50" s="102" t="n">
        <v>1.06</v>
      </c>
      <c r="BG50" s="101" t="n">
        <v>1.6</v>
      </c>
      <c r="BH50" s="102" t="n">
        <v>1.06</v>
      </c>
      <c r="BI50" s="101" t="n">
        <v>1.6</v>
      </c>
      <c r="BJ50" s="102" t="n">
        <v>1</v>
      </c>
      <c r="BK50" s="101" t="n">
        <v>1.6</v>
      </c>
      <c r="BL50" s="102" t="n">
        <v>1</v>
      </c>
      <c r="BM50" s="99"/>
      <c r="BN50" s="100"/>
      <c r="BO50" s="99"/>
      <c r="BP50" s="100"/>
      <c r="BQ50" s="99"/>
      <c r="BR50" s="100"/>
      <c r="BS50" s="99"/>
      <c r="BT50" s="100"/>
      <c r="BU50" s="99"/>
      <c r="BV50" s="100"/>
      <c r="BW50" s="99"/>
      <c r="BX50" s="100"/>
      <c r="BY50" s="99"/>
      <c r="BZ50" s="100"/>
      <c r="CA50" s="99"/>
      <c r="CB50" s="100"/>
      <c r="CC50" s="99"/>
      <c r="CD50" s="100"/>
      <c r="CE50" s="99"/>
      <c r="CF50" s="100"/>
      <c r="CG50" s="99"/>
      <c r="CH50" s="100"/>
      <c r="CI50" s="99"/>
      <c r="CJ50" s="100"/>
      <c r="CK50" s="99"/>
      <c r="CL50" s="100"/>
      <c r="CM50" s="99"/>
      <c r="CN50" s="100"/>
      <c r="CO50" s="99"/>
      <c r="CP50" s="100"/>
      <c r="CQ50" s="99"/>
      <c r="CR50" s="100"/>
      <c r="CS50" s="99"/>
      <c r="CT50" s="100"/>
      <c r="CU50" s="99"/>
      <c r="CV50" s="100"/>
      <c r="CW50" s="99"/>
      <c r="CX50" s="100"/>
      <c r="CY50" s="99"/>
      <c r="CZ50" s="100"/>
      <c r="DA50" s="99"/>
      <c r="DB50" s="100"/>
      <c r="DC50" s="99"/>
      <c r="DD50" s="100"/>
      <c r="DE50" s="99"/>
      <c r="DF50" s="100"/>
      <c r="DG50" s="99"/>
      <c r="DH50" s="100"/>
      <c r="DI50" s="99"/>
      <c r="DJ50" s="100"/>
      <c r="DK50" s="99"/>
      <c r="DL50" s="100"/>
      <c r="DM50" s="99"/>
      <c r="DN50" s="100"/>
      <c r="DO50" s="99"/>
      <c r="DP50" s="100"/>
      <c r="DQ50" s="99"/>
      <c r="DR50" s="100"/>
      <c r="DS50" s="99"/>
      <c r="DT50" s="100"/>
      <c r="DU50" s="99"/>
      <c r="DV50" s="100"/>
      <c r="DW50" s="99"/>
      <c r="DX50" s="100"/>
    </row>
    <row r="51" customFormat="false" ht="15.75" hidden="false" customHeight="true" outlineLevel="0" collapsed="false">
      <c r="A51" s="89"/>
      <c r="B51" s="90"/>
      <c r="C51" s="90"/>
      <c r="D51" s="89"/>
      <c r="E51" s="91"/>
      <c r="F51" s="4"/>
      <c r="G51" s="4"/>
      <c r="H51" s="67"/>
      <c r="I51" s="84"/>
      <c r="J51" s="67"/>
      <c r="K51" s="84"/>
      <c r="L51" s="67"/>
      <c r="M51" s="84"/>
      <c r="N51" s="67"/>
      <c r="O51" s="84"/>
      <c r="P51" s="67"/>
      <c r="Q51" s="84"/>
      <c r="R51" s="67"/>
      <c r="S51" s="84"/>
      <c r="T51" s="67"/>
      <c r="U51" s="84"/>
      <c r="V51" s="67"/>
      <c r="W51" s="84"/>
      <c r="X51" s="67"/>
      <c r="Y51" s="84"/>
      <c r="Z51" s="67"/>
      <c r="AA51" s="84"/>
      <c r="AB51" s="67"/>
      <c r="AC51" s="84"/>
      <c r="AD51" s="67"/>
      <c r="AE51" s="84"/>
      <c r="AF51" s="67"/>
      <c r="AG51" s="84"/>
      <c r="AH51" s="67"/>
      <c r="AI51" s="84"/>
      <c r="AJ51" s="67"/>
      <c r="AK51" s="84"/>
      <c r="AL51" s="67"/>
      <c r="AM51" s="84"/>
      <c r="AN51" s="67"/>
      <c r="AO51" s="84"/>
      <c r="AP51" s="67"/>
      <c r="AQ51" s="84"/>
      <c r="AR51" s="67"/>
      <c r="AS51" s="84"/>
      <c r="AT51" s="67"/>
      <c r="AU51" s="84"/>
      <c r="AV51" s="67"/>
      <c r="AW51" s="84"/>
      <c r="AX51" s="67"/>
      <c r="AY51" s="84"/>
      <c r="AZ51" s="67"/>
      <c r="BA51" s="84"/>
      <c r="BB51" s="67"/>
      <c r="BC51" s="84"/>
      <c r="BD51" s="67"/>
      <c r="BE51" s="84"/>
      <c r="BF51" s="67"/>
      <c r="BG51" s="84"/>
      <c r="BH51" s="67"/>
      <c r="BI51" s="84"/>
      <c r="BJ51" s="67"/>
      <c r="BK51" s="84"/>
      <c r="BL51" s="67"/>
      <c r="BM51" s="84"/>
      <c r="BN51" s="67"/>
      <c r="BO51" s="84"/>
      <c r="BP51" s="67"/>
      <c r="BQ51" s="84"/>
      <c r="BR51" s="67"/>
      <c r="BS51" s="84"/>
      <c r="BT51" s="67"/>
      <c r="BU51" s="84"/>
      <c r="BV51" s="67"/>
      <c r="BW51" s="84"/>
      <c r="BX51" s="67"/>
      <c r="BY51" s="84"/>
      <c r="BZ51" s="67"/>
      <c r="CA51" s="84"/>
      <c r="CB51" s="67"/>
      <c r="CC51" s="84"/>
      <c r="CD51" s="67"/>
      <c r="CE51" s="84"/>
      <c r="CF51" s="67"/>
      <c r="CG51" s="84"/>
      <c r="CH51" s="67"/>
      <c r="CI51" s="84"/>
      <c r="CJ51" s="67"/>
      <c r="CK51" s="84"/>
      <c r="CL51" s="67"/>
      <c r="CM51" s="84"/>
      <c r="CN51" s="67"/>
      <c r="CO51" s="84"/>
      <c r="CP51" s="67"/>
      <c r="CQ51" s="84"/>
      <c r="CR51" s="67"/>
      <c r="CS51" s="84"/>
      <c r="CT51" s="67"/>
      <c r="CU51" s="84"/>
      <c r="CV51" s="67"/>
      <c r="CW51" s="84"/>
      <c r="CX51" s="67"/>
      <c r="CY51" s="84"/>
      <c r="CZ51" s="67"/>
      <c r="DA51" s="84"/>
      <c r="DB51" s="67"/>
      <c r="DC51" s="84"/>
      <c r="DD51" s="67"/>
      <c r="DE51" s="84"/>
      <c r="DF51" s="67"/>
      <c r="DG51" s="84"/>
      <c r="DH51" s="67"/>
      <c r="DI51" s="84"/>
      <c r="DJ51" s="67"/>
      <c r="DK51" s="84"/>
      <c r="DL51" s="67"/>
      <c r="DM51" s="84"/>
      <c r="DN51" s="67"/>
      <c r="DO51" s="84"/>
      <c r="DP51" s="67"/>
      <c r="DQ51" s="84"/>
      <c r="DR51" s="67"/>
      <c r="DS51" s="84"/>
      <c r="DT51" s="67"/>
      <c r="DU51" s="84"/>
      <c r="DV51" s="67"/>
      <c r="DW51" s="84"/>
      <c r="DX51" s="67"/>
    </row>
    <row r="52" customFormat="false" ht="15.75" hidden="false" customHeight="true" outlineLevel="0" collapsed="false">
      <c r="A52" s="6"/>
      <c r="B52" s="87"/>
      <c r="C52" s="87"/>
      <c r="D52" s="6"/>
      <c r="E52" s="88"/>
      <c r="F52" s="4"/>
      <c r="G52" s="4"/>
      <c r="H52" s="70" t="s">
        <v>119</v>
      </c>
      <c r="I52" s="71"/>
      <c r="J52" s="72"/>
      <c r="K52" s="71"/>
      <c r="L52" s="72"/>
      <c r="M52" s="71"/>
      <c r="N52" s="72"/>
      <c r="O52" s="71"/>
      <c r="P52" s="72"/>
      <c r="Q52" s="71"/>
      <c r="R52" s="72"/>
      <c r="S52" s="71"/>
      <c r="T52" s="72"/>
      <c r="U52" s="71"/>
      <c r="V52" s="72"/>
      <c r="W52" s="71"/>
      <c r="X52" s="72"/>
      <c r="Y52" s="71"/>
      <c r="Z52" s="72"/>
      <c r="AA52" s="71"/>
      <c r="AB52" s="72"/>
      <c r="AC52" s="71"/>
      <c r="AD52" s="72"/>
      <c r="AE52" s="71"/>
      <c r="AF52" s="72"/>
      <c r="AG52" s="71"/>
      <c r="AH52" s="72"/>
      <c r="AI52" s="71"/>
      <c r="AJ52" s="72"/>
      <c r="AK52" s="71"/>
      <c r="AL52" s="72"/>
      <c r="AM52" s="71"/>
      <c r="AN52" s="72"/>
      <c r="AO52" s="71"/>
      <c r="AP52" s="72"/>
      <c r="AQ52" s="71"/>
      <c r="AR52" s="72"/>
      <c r="AS52" s="71"/>
      <c r="AT52" s="72"/>
      <c r="AU52" s="71"/>
      <c r="AV52" s="72"/>
      <c r="AW52" s="71"/>
      <c r="AX52" s="72"/>
      <c r="AY52" s="71"/>
      <c r="AZ52" s="72"/>
      <c r="BA52" s="71"/>
      <c r="BB52" s="72"/>
      <c r="BC52" s="71"/>
      <c r="BD52" s="72"/>
      <c r="BE52" s="71"/>
      <c r="BF52" s="72"/>
      <c r="BG52" s="71"/>
      <c r="BH52" s="72"/>
      <c r="BI52" s="71"/>
      <c r="BJ52" s="72"/>
      <c r="BK52" s="71"/>
      <c r="BL52" s="72"/>
      <c r="BM52" s="71"/>
      <c r="BN52" s="72"/>
      <c r="BO52" s="71"/>
      <c r="BP52" s="72"/>
      <c r="BQ52" s="71"/>
      <c r="BR52" s="72"/>
      <c r="BS52" s="71"/>
      <c r="BT52" s="72"/>
      <c r="BU52" s="71"/>
      <c r="BV52" s="72"/>
      <c r="BW52" s="71"/>
      <c r="BX52" s="72"/>
      <c r="BY52" s="71"/>
      <c r="BZ52" s="72"/>
      <c r="CA52" s="71"/>
      <c r="CB52" s="72"/>
      <c r="CC52" s="71"/>
      <c r="CD52" s="72"/>
      <c r="CE52" s="71"/>
      <c r="CF52" s="72"/>
      <c r="CG52" s="71"/>
      <c r="CH52" s="72"/>
      <c r="CI52" s="71"/>
      <c r="CJ52" s="72"/>
      <c r="CK52" s="71"/>
      <c r="CL52" s="72"/>
      <c r="CM52" s="71"/>
      <c r="CN52" s="72"/>
      <c r="CO52" s="71"/>
      <c r="CP52" s="72"/>
      <c r="CQ52" s="71"/>
      <c r="CR52" s="72"/>
      <c r="CS52" s="71"/>
      <c r="CT52" s="72"/>
      <c r="CU52" s="71"/>
      <c r="CV52" s="72"/>
      <c r="CW52" s="71"/>
      <c r="CX52" s="72"/>
      <c r="CY52" s="71"/>
      <c r="CZ52" s="72"/>
      <c r="DA52" s="71"/>
      <c r="DB52" s="72"/>
      <c r="DC52" s="71"/>
      <c r="DD52" s="72"/>
      <c r="DE52" s="71"/>
      <c r="DF52" s="72"/>
      <c r="DG52" s="71"/>
      <c r="DH52" s="72"/>
      <c r="DI52" s="71"/>
      <c r="DJ52" s="72"/>
      <c r="DK52" s="71"/>
      <c r="DL52" s="72"/>
      <c r="DM52" s="71"/>
      <c r="DN52" s="72"/>
      <c r="DO52" s="71"/>
      <c r="DP52" s="72"/>
      <c r="DQ52" s="71"/>
      <c r="DR52" s="72"/>
      <c r="DS52" s="71"/>
      <c r="DT52" s="72"/>
      <c r="DU52" s="71"/>
      <c r="DV52" s="72"/>
      <c r="DW52" s="71"/>
      <c r="DX52" s="72"/>
    </row>
    <row r="53" customFormat="false" ht="15.75" hidden="false" customHeight="true" outlineLevel="0" collapsed="false">
      <c r="A53" s="89"/>
      <c r="B53" s="90"/>
      <c r="C53" s="90"/>
      <c r="D53" s="89"/>
      <c r="E53" s="91"/>
      <c r="F53" s="4"/>
      <c r="G53" s="4"/>
      <c r="H53" s="13" t="s">
        <v>120</v>
      </c>
      <c r="I53" s="74" t="s">
        <v>121</v>
      </c>
      <c r="J53" s="13" t="s">
        <v>122</v>
      </c>
      <c r="K53" s="74" t="s">
        <v>121</v>
      </c>
      <c r="L53" s="13" t="s">
        <v>122</v>
      </c>
      <c r="M53" s="74" t="s">
        <v>121</v>
      </c>
      <c r="N53" s="13" t="s">
        <v>122</v>
      </c>
      <c r="O53" s="74" t="s">
        <v>121</v>
      </c>
      <c r="P53" s="13" t="s">
        <v>122</v>
      </c>
      <c r="Q53" s="74" t="s">
        <v>121</v>
      </c>
      <c r="R53" s="13" t="s">
        <v>122</v>
      </c>
      <c r="S53" s="74" t="s">
        <v>121</v>
      </c>
      <c r="T53" s="13" t="s">
        <v>122</v>
      </c>
      <c r="U53" s="74" t="s">
        <v>121</v>
      </c>
      <c r="V53" s="13" t="s">
        <v>122</v>
      </c>
      <c r="W53" s="74" t="s">
        <v>121</v>
      </c>
      <c r="X53" s="13" t="s">
        <v>122</v>
      </c>
      <c r="Y53" s="74" t="s">
        <v>121</v>
      </c>
      <c r="Z53" s="13" t="s">
        <v>122</v>
      </c>
      <c r="AA53" s="74" t="s">
        <v>121</v>
      </c>
      <c r="AB53" s="13" t="s">
        <v>122</v>
      </c>
      <c r="AC53" s="74" t="s">
        <v>121</v>
      </c>
      <c r="AD53" s="13" t="s">
        <v>122</v>
      </c>
      <c r="AE53" s="74" t="s">
        <v>121</v>
      </c>
      <c r="AF53" s="13" t="s">
        <v>122</v>
      </c>
      <c r="AG53" s="74" t="s">
        <v>121</v>
      </c>
      <c r="AH53" s="13" t="s">
        <v>122</v>
      </c>
      <c r="AI53" s="74" t="s">
        <v>121</v>
      </c>
      <c r="AJ53" s="13" t="s">
        <v>122</v>
      </c>
      <c r="AK53" s="74" t="s">
        <v>121</v>
      </c>
      <c r="AL53" s="13" t="s">
        <v>122</v>
      </c>
      <c r="AM53" s="74" t="s">
        <v>121</v>
      </c>
      <c r="AN53" s="13" t="s">
        <v>122</v>
      </c>
      <c r="AO53" s="74" t="s">
        <v>121</v>
      </c>
      <c r="AP53" s="13" t="s">
        <v>122</v>
      </c>
      <c r="AQ53" s="74" t="s">
        <v>121</v>
      </c>
      <c r="AR53" s="13" t="s">
        <v>122</v>
      </c>
      <c r="AS53" s="74" t="s">
        <v>121</v>
      </c>
      <c r="AT53" s="13" t="s">
        <v>122</v>
      </c>
      <c r="AU53" s="74" t="s">
        <v>121</v>
      </c>
      <c r="AV53" s="13" t="s">
        <v>122</v>
      </c>
      <c r="AW53" s="74" t="s">
        <v>121</v>
      </c>
      <c r="AX53" s="13" t="s">
        <v>122</v>
      </c>
      <c r="AY53" s="74" t="s">
        <v>121</v>
      </c>
      <c r="AZ53" s="13" t="s">
        <v>122</v>
      </c>
      <c r="BA53" s="74" t="s">
        <v>121</v>
      </c>
      <c r="BB53" s="13" t="s">
        <v>122</v>
      </c>
      <c r="BC53" s="74" t="s">
        <v>121</v>
      </c>
      <c r="BD53" s="13" t="s">
        <v>122</v>
      </c>
      <c r="BE53" s="74" t="s">
        <v>121</v>
      </c>
      <c r="BF53" s="13" t="s">
        <v>122</v>
      </c>
      <c r="BG53" s="74" t="s">
        <v>121</v>
      </c>
      <c r="BH53" s="13" t="s">
        <v>122</v>
      </c>
      <c r="BI53" s="74" t="s">
        <v>121</v>
      </c>
      <c r="BJ53" s="13" t="s">
        <v>122</v>
      </c>
      <c r="BK53" s="74" t="s">
        <v>121</v>
      </c>
      <c r="BL53" s="13" t="s">
        <v>122</v>
      </c>
      <c r="BM53" s="74" t="s">
        <v>121</v>
      </c>
      <c r="BN53" s="13" t="s">
        <v>122</v>
      </c>
      <c r="BO53" s="74" t="s">
        <v>121</v>
      </c>
      <c r="BP53" s="13" t="s">
        <v>122</v>
      </c>
      <c r="BQ53" s="74" t="s">
        <v>121</v>
      </c>
      <c r="BR53" s="13" t="s">
        <v>122</v>
      </c>
      <c r="BS53" s="74" t="s">
        <v>121</v>
      </c>
      <c r="BT53" s="13" t="s">
        <v>122</v>
      </c>
      <c r="BU53" s="74" t="s">
        <v>121</v>
      </c>
      <c r="BV53" s="13" t="s">
        <v>122</v>
      </c>
      <c r="BW53" s="74" t="s">
        <v>121</v>
      </c>
      <c r="BX53" s="13" t="s">
        <v>122</v>
      </c>
      <c r="BY53" s="74" t="s">
        <v>121</v>
      </c>
      <c r="BZ53" s="13" t="s">
        <v>122</v>
      </c>
      <c r="CA53" s="74" t="s">
        <v>121</v>
      </c>
      <c r="CB53" s="13" t="s">
        <v>122</v>
      </c>
      <c r="CC53" s="74" t="s">
        <v>121</v>
      </c>
      <c r="CD53" s="13" t="s">
        <v>122</v>
      </c>
      <c r="CE53" s="74" t="s">
        <v>121</v>
      </c>
      <c r="CF53" s="13" t="s">
        <v>122</v>
      </c>
      <c r="CG53" s="74" t="s">
        <v>121</v>
      </c>
      <c r="CH53" s="13" t="s">
        <v>122</v>
      </c>
      <c r="CI53" s="74" t="s">
        <v>121</v>
      </c>
      <c r="CJ53" s="13" t="s">
        <v>122</v>
      </c>
      <c r="CK53" s="74" t="s">
        <v>121</v>
      </c>
      <c r="CL53" s="13" t="s">
        <v>122</v>
      </c>
      <c r="CM53" s="74" t="s">
        <v>121</v>
      </c>
      <c r="CN53" s="13" t="s">
        <v>122</v>
      </c>
      <c r="CO53" s="74" t="s">
        <v>121</v>
      </c>
      <c r="CP53" s="13" t="s">
        <v>122</v>
      </c>
      <c r="CQ53" s="74" t="s">
        <v>121</v>
      </c>
      <c r="CR53" s="13" t="s">
        <v>122</v>
      </c>
      <c r="CS53" s="74" t="s">
        <v>121</v>
      </c>
      <c r="CT53" s="13" t="s">
        <v>122</v>
      </c>
      <c r="CU53" s="74" t="s">
        <v>121</v>
      </c>
      <c r="CV53" s="13" t="s">
        <v>122</v>
      </c>
      <c r="CW53" s="74" t="s">
        <v>121</v>
      </c>
      <c r="CX53" s="13" t="s">
        <v>122</v>
      </c>
      <c r="CY53" s="74" t="s">
        <v>121</v>
      </c>
      <c r="CZ53" s="13" t="s">
        <v>122</v>
      </c>
      <c r="DA53" s="74" t="s">
        <v>121</v>
      </c>
      <c r="DB53" s="13" t="s">
        <v>122</v>
      </c>
      <c r="DC53" s="74" t="s">
        <v>121</v>
      </c>
      <c r="DD53" s="13" t="s">
        <v>122</v>
      </c>
      <c r="DE53" s="74" t="s">
        <v>121</v>
      </c>
      <c r="DF53" s="13" t="s">
        <v>122</v>
      </c>
      <c r="DG53" s="74" t="s">
        <v>121</v>
      </c>
      <c r="DH53" s="13" t="s">
        <v>122</v>
      </c>
      <c r="DI53" s="74" t="s">
        <v>121</v>
      </c>
      <c r="DJ53" s="13" t="s">
        <v>122</v>
      </c>
      <c r="DK53" s="74" t="s">
        <v>121</v>
      </c>
      <c r="DL53" s="13" t="s">
        <v>122</v>
      </c>
      <c r="DM53" s="74" t="s">
        <v>121</v>
      </c>
      <c r="DN53" s="13" t="s">
        <v>122</v>
      </c>
      <c r="DO53" s="74" t="s">
        <v>121</v>
      </c>
      <c r="DP53" s="13" t="s">
        <v>122</v>
      </c>
      <c r="DQ53" s="74" t="s">
        <v>121</v>
      </c>
      <c r="DR53" s="13" t="s">
        <v>122</v>
      </c>
      <c r="DS53" s="74" t="s">
        <v>121</v>
      </c>
      <c r="DT53" s="13" t="s">
        <v>122</v>
      </c>
      <c r="DU53" s="74" t="s">
        <v>121</v>
      </c>
      <c r="DV53" s="13" t="s">
        <v>122</v>
      </c>
      <c r="DW53" s="74" t="s">
        <v>121</v>
      </c>
      <c r="DX53" s="13" t="s">
        <v>122</v>
      </c>
    </row>
    <row r="54" customFormat="false" ht="15.75" hidden="false" customHeight="true" outlineLevel="0" collapsed="false">
      <c r="A54" s="6"/>
      <c r="B54" s="87"/>
      <c r="C54" s="87"/>
      <c r="D54" s="6"/>
      <c r="E54" s="88"/>
      <c r="F54" s="4"/>
      <c r="G54" s="4"/>
      <c r="H54" s="76" t="s">
        <v>123</v>
      </c>
      <c r="I54" s="77" t="n">
        <v>600</v>
      </c>
      <c r="J54" s="61"/>
      <c r="K54" s="77" t="n">
        <v>600</v>
      </c>
      <c r="L54" s="61" t="n">
        <v>350</v>
      </c>
      <c r="M54" s="77" t="n">
        <v>600</v>
      </c>
      <c r="N54" s="61" t="n">
        <v>350</v>
      </c>
      <c r="O54" s="77" t="n">
        <v>600</v>
      </c>
      <c r="P54" s="61" t="n">
        <v>350</v>
      </c>
      <c r="Q54" s="77" t="n">
        <v>600</v>
      </c>
      <c r="R54" s="61" t="n">
        <v>350</v>
      </c>
      <c r="S54" s="77" t="n">
        <v>600</v>
      </c>
      <c r="T54" s="61" t="n">
        <v>350</v>
      </c>
      <c r="U54" s="77" t="n">
        <v>600</v>
      </c>
      <c r="V54" s="61" t="n">
        <v>350</v>
      </c>
      <c r="W54" s="77"/>
      <c r="X54" s="61"/>
      <c r="Y54" s="77"/>
      <c r="Z54" s="61"/>
      <c r="AA54" s="77"/>
      <c r="AB54" s="61"/>
      <c r="AC54" s="77"/>
      <c r="AD54" s="61"/>
      <c r="AE54" s="77"/>
      <c r="AF54" s="61"/>
      <c r="AG54" s="77"/>
      <c r="AH54" s="61"/>
      <c r="AI54" s="77"/>
      <c r="AJ54" s="61"/>
      <c r="AK54" s="77"/>
      <c r="AL54" s="61"/>
      <c r="AM54" s="77"/>
      <c r="AN54" s="61"/>
      <c r="AO54" s="77"/>
      <c r="AP54" s="61"/>
      <c r="AQ54" s="77"/>
      <c r="AR54" s="61"/>
      <c r="AS54" s="77"/>
      <c r="AT54" s="61"/>
      <c r="AU54" s="77"/>
      <c r="AV54" s="61"/>
      <c r="AW54" s="77"/>
      <c r="AX54" s="61"/>
      <c r="AY54" s="77"/>
      <c r="AZ54" s="61"/>
      <c r="BA54" s="77"/>
      <c r="BB54" s="61"/>
      <c r="BC54" s="77"/>
      <c r="BD54" s="61"/>
      <c r="BE54" s="77"/>
      <c r="BF54" s="61"/>
      <c r="BG54" s="77"/>
      <c r="BH54" s="61"/>
      <c r="BI54" s="77"/>
      <c r="BJ54" s="61"/>
      <c r="BK54" s="77"/>
      <c r="BL54" s="61"/>
      <c r="BM54" s="77"/>
      <c r="BN54" s="61"/>
      <c r="BO54" s="77"/>
      <c r="BP54" s="61"/>
      <c r="BQ54" s="77"/>
      <c r="BR54" s="61"/>
      <c r="BS54" s="77"/>
      <c r="BT54" s="61"/>
      <c r="BU54" s="77"/>
      <c r="BV54" s="61"/>
      <c r="BW54" s="77"/>
      <c r="BX54" s="61"/>
      <c r="BY54" s="77"/>
      <c r="BZ54" s="61"/>
      <c r="CA54" s="77"/>
      <c r="CB54" s="61"/>
      <c r="CC54" s="77"/>
      <c r="CD54" s="61"/>
      <c r="CE54" s="77"/>
      <c r="CF54" s="61"/>
      <c r="CG54" s="77"/>
      <c r="CH54" s="61"/>
      <c r="CI54" s="77"/>
      <c r="CJ54" s="61"/>
      <c r="CK54" s="77"/>
      <c r="CL54" s="61"/>
      <c r="CM54" s="77"/>
      <c r="CN54" s="61"/>
      <c r="CO54" s="77"/>
      <c r="CP54" s="61"/>
      <c r="CQ54" s="77"/>
      <c r="CR54" s="61"/>
      <c r="CS54" s="77"/>
      <c r="CT54" s="61"/>
      <c r="CU54" s="77"/>
      <c r="CV54" s="61"/>
      <c r="CW54" s="77"/>
      <c r="CX54" s="61"/>
      <c r="CY54" s="77"/>
      <c r="CZ54" s="61"/>
      <c r="DA54" s="77"/>
      <c r="DB54" s="61"/>
      <c r="DC54" s="77"/>
      <c r="DD54" s="61"/>
      <c r="DE54" s="77"/>
      <c r="DF54" s="61"/>
      <c r="DG54" s="77"/>
      <c r="DH54" s="61"/>
      <c r="DI54" s="77"/>
      <c r="DJ54" s="61"/>
      <c r="DK54" s="77"/>
      <c r="DL54" s="61"/>
      <c r="DM54" s="77"/>
      <c r="DN54" s="61"/>
      <c r="DO54" s="77"/>
      <c r="DP54" s="61"/>
      <c r="DQ54" s="77"/>
      <c r="DR54" s="61"/>
      <c r="DS54" s="77"/>
      <c r="DT54" s="61"/>
      <c r="DU54" s="77"/>
      <c r="DV54" s="61"/>
      <c r="DW54" s="77"/>
      <c r="DX54" s="61"/>
    </row>
    <row r="55" customFormat="false" ht="15.75" hidden="false" customHeight="true" outlineLevel="0" collapsed="false">
      <c r="A55" s="94"/>
      <c r="B55" s="95"/>
      <c r="C55" s="95"/>
      <c r="D55" s="94"/>
      <c r="E55" s="96"/>
      <c r="F55" s="4"/>
      <c r="G55" s="4"/>
      <c r="H55" s="76" t="s">
        <v>124</v>
      </c>
      <c r="I55" s="77" t="n">
        <v>600</v>
      </c>
      <c r="J55" s="61"/>
      <c r="K55" s="77" t="n">
        <v>600</v>
      </c>
      <c r="L55" s="61" t="n">
        <v>350</v>
      </c>
      <c r="M55" s="77" t="n">
        <v>600</v>
      </c>
      <c r="N55" s="61" t="n">
        <v>350</v>
      </c>
      <c r="O55" s="77" t="n">
        <v>600</v>
      </c>
      <c r="P55" s="61" t="n">
        <v>350</v>
      </c>
      <c r="Q55" s="77" t="n">
        <v>600</v>
      </c>
      <c r="R55" s="61" t="n">
        <v>350</v>
      </c>
      <c r="S55" s="77" t="n">
        <v>600</v>
      </c>
      <c r="T55" s="61" t="n">
        <v>350</v>
      </c>
      <c r="U55" s="77" t="n">
        <v>600</v>
      </c>
      <c r="V55" s="61" t="n">
        <v>350</v>
      </c>
      <c r="W55" s="77"/>
      <c r="X55" s="61"/>
      <c r="Y55" s="77"/>
      <c r="Z55" s="61"/>
      <c r="AA55" s="77"/>
      <c r="AB55" s="61"/>
      <c r="AC55" s="77"/>
      <c r="AD55" s="61"/>
      <c r="AE55" s="77"/>
      <c r="AF55" s="61"/>
      <c r="AG55" s="77"/>
      <c r="AH55" s="61"/>
      <c r="AI55" s="77"/>
      <c r="AJ55" s="61"/>
      <c r="AK55" s="77"/>
      <c r="AL55" s="61"/>
      <c r="AM55" s="77"/>
      <c r="AN55" s="61"/>
      <c r="AO55" s="77"/>
      <c r="AP55" s="61"/>
      <c r="AQ55" s="77"/>
      <c r="AR55" s="61"/>
      <c r="AS55" s="77"/>
      <c r="AT55" s="61"/>
      <c r="AU55" s="77"/>
      <c r="AV55" s="61"/>
      <c r="AW55" s="77"/>
      <c r="AX55" s="61"/>
      <c r="AY55" s="77"/>
      <c r="AZ55" s="61"/>
      <c r="BA55" s="77"/>
      <c r="BB55" s="61"/>
      <c r="BC55" s="77"/>
      <c r="BD55" s="61"/>
      <c r="BE55" s="77"/>
      <c r="BF55" s="61"/>
      <c r="BG55" s="77"/>
      <c r="BH55" s="61"/>
      <c r="BI55" s="77"/>
      <c r="BJ55" s="61"/>
      <c r="BK55" s="77"/>
      <c r="BL55" s="61"/>
      <c r="BM55" s="77"/>
      <c r="BN55" s="61"/>
      <c r="BO55" s="77"/>
      <c r="BP55" s="61"/>
      <c r="BQ55" s="77"/>
      <c r="BR55" s="61"/>
      <c r="BS55" s="77"/>
      <c r="BT55" s="61"/>
      <c r="BU55" s="77"/>
      <c r="BV55" s="61"/>
      <c r="BW55" s="77"/>
      <c r="BX55" s="61"/>
      <c r="BY55" s="77"/>
      <c r="BZ55" s="61"/>
      <c r="CA55" s="77"/>
      <c r="CB55" s="61"/>
      <c r="CC55" s="77"/>
      <c r="CD55" s="61"/>
      <c r="CE55" s="77"/>
      <c r="CF55" s="61"/>
      <c r="CG55" s="77"/>
      <c r="CH55" s="61"/>
      <c r="CI55" s="77"/>
      <c r="CJ55" s="61"/>
      <c r="CK55" s="77"/>
      <c r="CL55" s="61"/>
      <c r="CM55" s="77"/>
      <c r="CN55" s="61"/>
      <c r="CO55" s="77"/>
      <c r="CP55" s="61"/>
      <c r="CQ55" s="77"/>
      <c r="CR55" s="61"/>
      <c r="CS55" s="77"/>
      <c r="CT55" s="61"/>
      <c r="CU55" s="77"/>
      <c r="CV55" s="61"/>
      <c r="CW55" s="77"/>
      <c r="CX55" s="61"/>
      <c r="CY55" s="77"/>
      <c r="CZ55" s="61"/>
      <c r="DA55" s="77"/>
      <c r="DB55" s="61"/>
      <c r="DC55" s="77"/>
      <c r="DD55" s="61"/>
      <c r="DE55" s="77"/>
      <c r="DF55" s="61"/>
      <c r="DG55" s="77"/>
      <c r="DH55" s="61"/>
      <c r="DI55" s="77"/>
      <c r="DJ55" s="61"/>
      <c r="DK55" s="77"/>
      <c r="DL55" s="61"/>
      <c r="DM55" s="77"/>
      <c r="DN55" s="61"/>
      <c r="DO55" s="77"/>
      <c r="DP55" s="61"/>
      <c r="DQ55" s="77"/>
      <c r="DR55" s="61"/>
      <c r="DS55" s="77"/>
      <c r="DT55" s="61"/>
      <c r="DU55" s="77"/>
      <c r="DV55" s="61"/>
      <c r="DW55" s="77"/>
      <c r="DX55" s="61"/>
    </row>
    <row r="56" customFormat="false" ht="15.75" hidden="false" customHeight="true" outlineLevel="0" collapsed="false">
      <c r="A56" s="6"/>
      <c r="B56" s="87"/>
      <c r="C56" s="87"/>
      <c r="D56" s="6"/>
      <c r="E56" s="88"/>
      <c r="F56" s="4"/>
      <c r="G56" s="4"/>
      <c r="H56" s="76" t="s">
        <v>125</v>
      </c>
      <c r="I56" s="77"/>
      <c r="J56" s="61"/>
      <c r="K56" s="77"/>
      <c r="L56" s="61"/>
      <c r="M56" s="77"/>
      <c r="N56" s="61"/>
      <c r="O56" s="77"/>
      <c r="P56" s="61"/>
      <c r="Q56" s="77"/>
      <c r="R56" s="61"/>
      <c r="S56" s="77"/>
      <c r="T56" s="61"/>
      <c r="U56" s="77"/>
      <c r="V56" s="61"/>
      <c r="W56" s="77"/>
      <c r="X56" s="61"/>
      <c r="Y56" s="77"/>
      <c r="Z56" s="61"/>
      <c r="AA56" s="77"/>
      <c r="AB56" s="61"/>
      <c r="AC56" s="77"/>
      <c r="AD56" s="61"/>
      <c r="AE56" s="77"/>
      <c r="AF56" s="61"/>
      <c r="AG56" s="77"/>
      <c r="AH56" s="61"/>
      <c r="AI56" s="77"/>
      <c r="AJ56" s="61"/>
      <c r="AK56" s="77"/>
      <c r="AL56" s="61"/>
      <c r="AM56" s="77"/>
      <c r="AN56" s="61"/>
      <c r="AO56" s="77"/>
      <c r="AP56" s="61"/>
      <c r="AQ56" s="77"/>
      <c r="AR56" s="61"/>
      <c r="AS56" s="77"/>
      <c r="AT56" s="61"/>
      <c r="AU56" s="77"/>
      <c r="AV56" s="61"/>
      <c r="AW56" s="77"/>
      <c r="AX56" s="61"/>
      <c r="AY56" s="77"/>
      <c r="AZ56" s="61"/>
      <c r="BA56" s="77"/>
      <c r="BB56" s="61"/>
      <c r="BC56" s="77"/>
      <c r="BD56" s="61"/>
      <c r="BE56" s="77"/>
      <c r="BF56" s="61"/>
      <c r="BG56" s="77"/>
      <c r="BH56" s="61"/>
      <c r="BI56" s="77"/>
      <c r="BJ56" s="61"/>
      <c r="BK56" s="77"/>
      <c r="BL56" s="61"/>
      <c r="BM56" s="77"/>
      <c r="BN56" s="61"/>
      <c r="BO56" s="77"/>
      <c r="BP56" s="61"/>
      <c r="BQ56" s="77"/>
      <c r="BR56" s="61"/>
      <c r="BS56" s="77"/>
      <c r="BT56" s="61"/>
      <c r="BU56" s="77"/>
      <c r="BV56" s="61"/>
      <c r="BW56" s="77"/>
      <c r="BX56" s="61"/>
      <c r="BY56" s="77"/>
      <c r="BZ56" s="61"/>
      <c r="CA56" s="77"/>
      <c r="CB56" s="61"/>
      <c r="CC56" s="77"/>
      <c r="CD56" s="61"/>
      <c r="CE56" s="77"/>
      <c r="CF56" s="61"/>
      <c r="CG56" s="77"/>
      <c r="CH56" s="61"/>
      <c r="CI56" s="77"/>
      <c r="CJ56" s="61"/>
      <c r="CK56" s="77"/>
      <c r="CL56" s="61"/>
      <c r="CM56" s="77"/>
      <c r="CN56" s="61"/>
      <c r="CO56" s="77"/>
      <c r="CP56" s="61"/>
      <c r="CQ56" s="77"/>
      <c r="CR56" s="61"/>
      <c r="CS56" s="77"/>
      <c r="CT56" s="61"/>
      <c r="CU56" s="77"/>
      <c r="CV56" s="61"/>
      <c r="CW56" s="77"/>
      <c r="CX56" s="61"/>
      <c r="CY56" s="77"/>
      <c r="CZ56" s="61"/>
      <c r="DA56" s="77"/>
      <c r="DB56" s="61"/>
      <c r="DC56" s="77"/>
      <c r="DD56" s="61"/>
      <c r="DE56" s="77"/>
      <c r="DF56" s="61"/>
      <c r="DG56" s="77"/>
      <c r="DH56" s="61"/>
      <c r="DI56" s="77"/>
      <c r="DJ56" s="61"/>
      <c r="DK56" s="77"/>
      <c r="DL56" s="61"/>
      <c r="DM56" s="77"/>
      <c r="DN56" s="61"/>
      <c r="DO56" s="77"/>
      <c r="DP56" s="61"/>
      <c r="DQ56" s="77"/>
      <c r="DR56" s="61"/>
      <c r="DS56" s="77"/>
      <c r="DT56" s="61"/>
      <c r="DU56" s="77"/>
      <c r="DV56" s="61"/>
      <c r="DW56" s="77"/>
      <c r="DX56" s="61"/>
    </row>
    <row r="57" customFormat="false" ht="15.75" hidden="false" customHeight="true" outlineLevel="0" collapsed="false">
      <c r="A57" s="89"/>
      <c r="B57" s="90"/>
      <c r="C57" s="90"/>
      <c r="D57" s="89"/>
      <c r="E57" s="91"/>
      <c r="F57" s="4"/>
      <c r="G57" s="4"/>
      <c r="H57" s="76" t="s">
        <v>126</v>
      </c>
      <c r="I57" s="77"/>
      <c r="J57" s="61"/>
      <c r="K57" s="77"/>
      <c r="L57" s="61"/>
      <c r="M57" s="77"/>
      <c r="N57" s="61"/>
      <c r="O57" s="77"/>
      <c r="P57" s="61"/>
      <c r="Q57" s="77"/>
      <c r="R57" s="61"/>
      <c r="S57" s="77"/>
      <c r="T57" s="61"/>
      <c r="U57" s="77"/>
      <c r="V57" s="61"/>
      <c r="W57" s="77"/>
      <c r="X57" s="61"/>
      <c r="Y57" s="77"/>
      <c r="Z57" s="61"/>
      <c r="AA57" s="77"/>
      <c r="AB57" s="61"/>
      <c r="AC57" s="77"/>
      <c r="AD57" s="61"/>
      <c r="AE57" s="77"/>
      <c r="AF57" s="61"/>
      <c r="AG57" s="77"/>
      <c r="AH57" s="61"/>
      <c r="AI57" s="77"/>
      <c r="AJ57" s="61"/>
      <c r="AK57" s="77"/>
      <c r="AL57" s="61"/>
      <c r="AM57" s="77"/>
      <c r="AN57" s="61"/>
      <c r="AO57" s="77"/>
      <c r="AP57" s="61"/>
      <c r="AQ57" s="77"/>
      <c r="AR57" s="61"/>
      <c r="AS57" s="77"/>
      <c r="AT57" s="61"/>
      <c r="AU57" s="77"/>
      <c r="AV57" s="61"/>
      <c r="AW57" s="77"/>
      <c r="AX57" s="61"/>
      <c r="AY57" s="77"/>
      <c r="AZ57" s="61"/>
      <c r="BA57" s="77"/>
      <c r="BB57" s="61"/>
      <c r="BC57" s="77"/>
      <c r="BD57" s="61"/>
      <c r="BE57" s="77"/>
      <c r="BF57" s="61"/>
      <c r="BG57" s="77"/>
      <c r="BH57" s="61"/>
      <c r="BI57" s="77"/>
      <c r="BJ57" s="61"/>
      <c r="BK57" s="77"/>
      <c r="BL57" s="61"/>
      <c r="BM57" s="77"/>
      <c r="BN57" s="61"/>
      <c r="BO57" s="77"/>
      <c r="BP57" s="61"/>
      <c r="BQ57" s="77"/>
      <c r="BR57" s="61"/>
      <c r="BS57" s="77"/>
      <c r="BT57" s="61"/>
      <c r="BU57" s="77"/>
      <c r="BV57" s="61"/>
      <c r="BW57" s="77"/>
      <c r="BX57" s="61"/>
      <c r="BY57" s="77"/>
      <c r="BZ57" s="61"/>
      <c r="CA57" s="77"/>
      <c r="CB57" s="61"/>
      <c r="CC57" s="77"/>
      <c r="CD57" s="61"/>
      <c r="CE57" s="77"/>
      <c r="CF57" s="61"/>
      <c r="CG57" s="77"/>
      <c r="CH57" s="61"/>
      <c r="CI57" s="77"/>
      <c r="CJ57" s="61"/>
      <c r="CK57" s="77"/>
      <c r="CL57" s="61"/>
      <c r="CM57" s="77"/>
      <c r="CN57" s="61"/>
      <c r="CO57" s="77"/>
      <c r="CP57" s="61"/>
      <c r="CQ57" s="77"/>
      <c r="CR57" s="61"/>
      <c r="CS57" s="77"/>
      <c r="CT57" s="61"/>
      <c r="CU57" s="77"/>
      <c r="CV57" s="61"/>
      <c r="CW57" s="77"/>
      <c r="CX57" s="61"/>
      <c r="CY57" s="77"/>
      <c r="CZ57" s="61"/>
      <c r="DA57" s="77"/>
      <c r="DB57" s="61"/>
      <c r="DC57" s="77"/>
      <c r="DD57" s="61"/>
      <c r="DE57" s="77"/>
      <c r="DF57" s="61"/>
      <c r="DG57" s="77"/>
      <c r="DH57" s="61"/>
      <c r="DI57" s="77"/>
      <c r="DJ57" s="61"/>
      <c r="DK57" s="77"/>
      <c r="DL57" s="61"/>
      <c r="DM57" s="77"/>
      <c r="DN57" s="61"/>
      <c r="DO57" s="77"/>
      <c r="DP57" s="61"/>
      <c r="DQ57" s="77"/>
      <c r="DR57" s="61"/>
      <c r="DS57" s="77"/>
      <c r="DT57" s="61"/>
      <c r="DU57" s="77"/>
      <c r="DV57" s="61"/>
      <c r="DW57" s="77"/>
      <c r="DX57" s="61"/>
    </row>
    <row r="58" customFormat="false" ht="15.75" hidden="false" customHeight="true" outlineLevel="0" collapsed="false">
      <c r="A58" s="6"/>
      <c r="B58" s="87"/>
      <c r="C58" s="87"/>
      <c r="D58" s="6"/>
      <c r="E58" s="88"/>
      <c r="F58" s="4"/>
      <c r="G58" s="4"/>
      <c r="H58" s="67"/>
      <c r="I58" s="84"/>
      <c r="J58" s="67"/>
      <c r="K58" s="84"/>
      <c r="L58" s="67"/>
      <c r="M58" s="84"/>
      <c r="N58" s="67"/>
      <c r="O58" s="84"/>
      <c r="P58" s="67"/>
      <c r="Q58" s="84"/>
      <c r="R58" s="67"/>
      <c r="S58" s="84"/>
      <c r="T58" s="67"/>
      <c r="U58" s="84"/>
      <c r="V58" s="67"/>
      <c r="W58" s="84"/>
      <c r="X58" s="67"/>
      <c r="Y58" s="84"/>
      <c r="Z58" s="67"/>
      <c r="AA58" s="84"/>
      <c r="AB58" s="67"/>
      <c r="AC58" s="84"/>
      <c r="AD58" s="67"/>
      <c r="AE58" s="84"/>
      <c r="AF58" s="67"/>
      <c r="AG58" s="84"/>
      <c r="AH58" s="67"/>
      <c r="AI58" s="84"/>
      <c r="AJ58" s="67"/>
      <c r="AK58" s="84"/>
      <c r="AL58" s="67"/>
      <c r="AM58" s="84"/>
      <c r="AN58" s="67"/>
      <c r="AO58" s="84"/>
      <c r="AP58" s="67"/>
      <c r="AQ58" s="84"/>
      <c r="AR58" s="67"/>
      <c r="AS58" s="84"/>
      <c r="AT58" s="67"/>
      <c r="AU58" s="84"/>
      <c r="AV58" s="67"/>
      <c r="AW58" s="84"/>
      <c r="AX58" s="67"/>
      <c r="AY58" s="84"/>
      <c r="AZ58" s="67"/>
      <c r="BA58" s="84"/>
      <c r="BB58" s="67"/>
      <c r="BC58" s="84"/>
      <c r="BD58" s="67"/>
      <c r="BE58" s="84"/>
      <c r="BF58" s="67"/>
      <c r="BG58" s="84"/>
      <c r="BH58" s="67"/>
      <c r="BI58" s="84"/>
      <c r="BJ58" s="67"/>
      <c r="BK58" s="84"/>
      <c r="BL58" s="67"/>
      <c r="BM58" s="84"/>
      <c r="BN58" s="67"/>
      <c r="BO58" s="84"/>
      <c r="BP58" s="67"/>
      <c r="BQ58" s="84"/>
      <c r="BR58" s="67"/>
      <c r="BS58" s="84"/>
      <c r="BT58" s="67"/>
      <c r="BU58" s="84"/>
      <c r="BV58" s="67"/>
      <c r="BW58" s="84"/>
      <c r="BX58" s="67"/>
      <c r="BY58" s="84"/>
      <c r="BZ58" s="67"/>
      <c r="CA58" s="84"/>
      <c r="CB58" s="67"/>
      <c r="CC58" s="84"/>
      <c r="CD58" s="67"/>
      <c r="CE58" s="84"/>
      <c r="CF58" s="67"/>
      <c r="CG58" s="84"/>
      <c r="CH58" s="67"/>
      <c r="CI58" s="84"/>
      <c r="CJ58" s="67"/>
      <c r="CK58" s="84"/>
      <c r="CL58" s="67"/>
      <c r="CM58" s="84"/>
      <c r="CN58" s="67"/>
      <c r="CO58" s="84"/>
      <c r="CP58" s="67"/>
      <c r="CQ58" s="84"/>
      <c r="CR58" s="67"/>
      <c r="CS58" s="84"/>
      <c r="CT58" s="67"/>
      <c r="CU58" s="84"/>
      <c r="CV58" s="67"/>
      <c r="CW58" s="84"/>
      <c r="CX58" s="67"/>
      <c r="CY58" s="84"/>
      <c r="CZ58" s="67"/>
      <c r="DA58" s="84"/>
      <c r="DB58" s="67"/>
      <c r="DC58" s="84"/>
      <c r="DD58" s="67"/>
      <c r="DE58" s="84"/>
      <c r="DF58" s="67"/>
      <c r="DG58" s="84"/>
      <c r="DH58" s="67"/>
      <c r="DI58" s="84"/>
      <c r="DJ58" s="67"/>
      <c r="DK58" s="84"/>
      <c r="DL58" s="67"/>
      <c r="DM58" s="84"/>
      <c r="DN58" s="67"/>
      <c r="DO58" s="84"/>
      <c r="DP58" s="67"/>
      <c r="DQ58" s="84"/>
      <c r="DR58" s="67"/>
      <c r="DS58" s="84"/>
      <c r="DT58" s="67"/>
      <c r="DU58" s="84"/>
      <c r="DV58" s="67"/>
      <c r="DW58" s="84"/>
      <c r="DX58" s="67"/>
    </row>
    <row r="59" customFormat="false" ht="15.75" hidden="false" customHeight="true" outlineLevel="0" collapsed="false">
      <c r="A59" s="89"/>
      <c r="B59" s="90"/>
      <c r="C59" s="90"/>
      <c r="D59" s="89"/>
      <c r="E59" s="91"/>
      <c r="F59" s="4"/>
      <c r="G59" s="4"/>
      <c r="H59" s="70" t="s">
        <v>127</v>
      </c>
      <c r="I59" s="71"/>
      <c r="J59" s="72"/>
      <c r="K59" s="71"/>
      <c r="L59" s="72"/>
      <c r="M59" s="71"/>
      <c r="N59" s="72"/>
      <c r="O59" s="71"/>
      <c r="P59" s="72"/>
      <c r="Q59" s="71"/>
      <c r="R59" s="72"/>
      <c r="S59" s="71"/>
      <c r="T59" s="72"/>
      <c r="U59" s="71"/>
      <c r="V59" s="72"/>
      <c r="W59" s="71"/>
      <c r="X59" s="72"/>
      <c r="Y59" s="71"/>
      <c r="Z59" s="72"/>
      <c r="AA59" s="71"/>
      <c r="AB59" s="72"/>
      <c r="AC59" s="71"/>
      <c r="AD59" s="72"/>
      <c r="AE59" s="71"/>
      <c r="AF59" s="72"/>
      <c r="AG59" s="71"/>
      <c r="AH59" s="72"/>
      <c r="AI59" s="71"/>
      <c r="AJ59" s="72"/>
      <c r="AK59" s="71"/>
      <c r="AL59" s="72"/>
      <c r="AM59" s="71"/>
      <c r="AN59" s="72"/>
      <c r="AO59" s="71"/>
      <c r="AP59" s="72"/>
      <c r="AQ59" s="71"/>
      <c r="AR59" s="72"/>
      <c r="AS59" s="71"/>
      <c r="AT59" s="72"/>
      <c r="AU59" s="71"/>
      <c r="AV59" s="72"/>
      <c r="AW59" s="71"/>
      <c r="AX59" s="72"/>
      <c r="AY59" s="71"/>
      <c r="AZ59" s="72"/>
      <c r="BA59" s="71"/>
      <c r="BB59" s="72"/>
      <c r="BC59" s="71"/>
      <c r="BD59" s="72"/>
      <c r="BE59" s="71"/>
      <c r="BF59" s="72"/>
      <c r="BG59" s="71"/>
      <c r="BH59" s="72"/>
      <c r="BI59" s="71"/>
      <c r="BJ59" s="72"/>
      <c r="BK59" s="71"/>
      <c r="BL59" s="72"/>
      <c r="BM59" s="71"/>
      <c r="BN59" s="72"/>
      <c r="BO59" s="71"/>
      <c r="BP59" s="72"/>
      <c r="BQ59" s="71"/>
      <c r="BR59" s="72"/>
      <c r="BS59" s="71"/>
      <c r="BT59" s="72"/>
      <c r="BU59" s="71"/>
      <c r="BV59" s="72"/>
      <c r="BW59" s="71"/>
      <c r="BX59" s="72"/>
      <c r="BY59" s="71"/>
      <c r="BZ59" s="72"/>
      <c r="CA59" s="71"/>
      <c r="CB59" s="72"/>
      <c r="CC59" s="71"/>
      <c r="CD59" s="72"/>
      <c r="CE59" s="71"/>
      <c r="CF59" s="72"/>
      <c r="CG59" s="71"/>
      <c r="CH59" s="72"/>
      <c r="CI59" s="71"/>
      <c r="CJ59" s="72"/>
      <c r="CK59" s="71"/>
      <c r="CL59" s="72"/>
      <c r="CM59" s="71"/>
      <c r="CN59" s="72"/>
      <c r="CO59" s="71"/>
      <c r="CP59" s="72"/>
      <c r="CQ59" s="71"/>
      <c r="CR59" s="72"/>
      <c r="CS59" s="71"/>
      <c r="CT59" s="72"/>
      <c r="CU59" s="71"/>
      <c r="CV59" s="72"/>
      <c r="CW59" s="71"/>
      <c r="CX59" s="72"/>
      <c r="CY59" s="71"/>
      <c r="CZ59" s="72"/>
      <c r="DA59" s="71"/>
      <c r="DB59" s="72"/>
      <c r="DC59" s="71"/>
      <c r="DD59" s="72"/>
      <c r="DE59" s="71"/>
      <c r="DF59" s="72"/>
      <c r="DG59" s="71"/>
      <c r="DH59" s="72"/>
      <c r="DI59" s="71"/>
      <c r="DJ59" s="72"/>
      <c r="DK59" s="71"/>
      <c r="DL59" s="72"/>
      <c r="DM59" s="71"/>
      <c r="DN59" s="72"/>
      <c r="DO59" s="71"/>
      <c r="DP59" s="72"/>
      <c r="DQ59" s="71"/>
      <c r="DR59" s="72"/>
      <c r="DS59" s="71"/>
      <c r="DT59" s="72"/>
      <c r="DU59" s="71"/>
      <c r="DV59" s="72"/>
      <c r="DW59" s="71"/>
      <c r="DX59" s="72"/>
    </row>
    <row r="60" customFormat="false" ht="15.75" hidden="false" customHeight="true" outlineLevel="0" collapsed="false">
      <c r="A60" s="6"/>
      <c r="B60" s="87"/>
      <c r="C60" s="87"/>
      <c r="D60" s="6"/>
      <c r="E60" s="88"/>
      <c r="F60" s="4"/>
      <c r="G60" s="4"/>
      <c r="H60" s="13" t="s">
        <v>128</v>
      </c>
      <c r="I60" s="74" t="s">
        <v>129</v>
      </c>
      <c r="J60" s="13" t="s">
        <v>130</v>
      </c>
      <c r="K60" s="74" t="s">
        <v>129</v>
      </c>
      <c r="L60" s="13" t="s">
        <v>130</v>
      </c>
      <c r="M60" s="74" t="s">
        <v>129</v>
      </c>
      <c r="N60" s="13" t="s">
        <v>130</v>
      </c>
      <c r="O60" s="74" t="s">
        <v>129</v>
      </c>
      <c r="P60" s="13" t="s">
        <v>130</v>
      </c>
      <c r="Q60" s="74" t="s">
        <v>129</v>
      </c>
      <c r="R60" s="13" t="s">
        <v>130</v>
      </c>
      <c r="S60" s="74" t="s">
        <v>129</v>
      </c>
      <c r="T60" s="13" t="s">
        <v>130</v>
      </c>
      <c r="U60" s="74" t="s">
        <v>129</v>
      </c>
      <c r="V60" s="13" t="s">
        <v>130</v>
      </c>
      <c r="W60" s="74" t="s">
        <v>129</v>
      </c>
      <c r="X60" s="13" t="s">
        <v>130</v>
      </c>
      <c r="Y60" s="74" t="s">
        <v>129</v>
      </c>
      <c r="Z60" s="13" t="s">
        <v>130</v>
      </c>
      <c r="AA60" s="74" t="s">
        <v>129</v>
      </c>
      <c r="AB60" s="13" t="s">
        <v>130</v>
      </c>
      <c r="AC60" s="74" t="s">
        <v>129</v>
      </c>
      <c r="AD60" s="13" t="s">
        <v>130</v>
      </c>
      <c r="AE60" s="74" t="s">
        <v>129</v>
      </c>
      <c r="AF60" s="13" t="s">
        <v>130</v>
      </c>
      <c r="AG60" s="74" t="s">
        <v>129</v>
      </c>
      <c r="AH60" s="13" t="s">
        <v>130</v>
      </c>
      <c r="AI60" s="74" t="s">
        <v>129</v>
      </c>
      <c r="AJ60" s="13" t="s">
        <v>130</v>
      </c>
      <c r="AK60" s="74" t="s">
        <v>129</v>
      </c>
      <c r="AL60" s="13" t="s">
        <v>130</v>
      </c>
      <c r="AM60" s="74" t="s">
        <v>129</v>
      </c>
      <c r="AN60" s="13" t="s">
        <v>130</v>
      </c>
      <c r="AO60" s="74" t="s">
        <v>129</v>
      </c>
      <c r="AP60" s="13" t="s">
        <v>130</v>
      </c>
      <c r="AQ60" s="74" t="s">
        <v>129</v>
      </c>
      <c r="AR60" s="13" t="s">
        <v>130</v>
      </c>
      <c r="AS60" s="74" t="s">
        <v>129</v>
      </c>
      <c r="AT60" s="13" t="s">
        <v>130</v>
      </c>
      <c r="AU60" s="74" t="s">
        <v>129</v>
      </c>
      <c r="AV60" s="13" t="s">
        <v>130</v>
      </c>
      <c r="AW60" s="74" t="s">
        <v>129</v>
      </c>
      <c r="AX60" s="13" t="s">
        <v>130</v>
      </c>
      <c r="AY60" s="74" t="s">
        <v>129</v>
      </c>
      <c r="AZ60" s="13" t="s">
        <v>130</v>
      </c>
      <c r="BA60" s="74" t="s">
        <v>129</v>
      </c>
      <c r="BB60" s="13" t="s">
        <v>130</v>
      </c>
      <c r="BC60" s="74" t="s">
        <v>129</v>
      </c>
      <c r="BD60" s="13" t="s">
        <v>130</v>
      </c>
      <c r="BE60" s="74" t="s">
        <v>129</v>
      </c>
      <c r="BF60" s="13" t="s">
        <v>130</v>
      </c>
      <c r="BG60" s="74" t="s">
        <v>129</v>
      </c>
      <c r="BH60" s="13" t="s">
        <v>130</v>
      </c>
      <c r="BI60" s="74" t="s">
        <v>129</v>
      </c>
      <c r="BJ60" s="13" t="s">
        <v>130</v>
      </c>
      <c r="BK60" s="74" t="s">
        <v>129</v>
      </c>
      <c r="BL60" s="13" t="s">
        <v>130</v>
      </c>
      <c r="BM60" s="74" t="s">
        <v>129</v>
      </c>
      <c r="BN60" s="13" t="s">
        <v>130</v>
      </c>
      <c r="BO60" s="74" t="s">
        <v>129</v>
      </c>
      <c r="BP60" s="13" t="s">
        <v>130</v>
      </c>
      <c r="BQ60" s="74" t="s">
        <v>129</v>
      </c>
      <c r="BR60" s="13" t="s">
        <v>130</v>
      </c>
      <c r="BS60" s="74" t="s">
        <v>129</v>
      </c>
      <c r="BT60" s="13" t="s">
        <v>130</v>
      </c>
      <c r="BU60" s="74" t="s">
        <v>129</v>
      </c>
      <c r="BV60" s="13" t="s">
        <v>130</v>
      </c>
      <c r="BW60" s="74" t="s">
        <v>129</v>
      </c>
      <c r="BX60" s="13" t="s">
        <v>130</v>
      </c>
      <c r="BY60" s="74" t="s">
        <v>129</v>
      </c>
      <c r="BZ60" s="13" t="s">
        <v>130</v>
      </c>
      <c r="CA60" s="74" t="s">
        <v>129</v>
      </c>
      <c r="CB60" s="13" t="s">
        <v>130</v>
      </c>
      <c r="CC60" s="74" t="s">
        <v>129</v>
      </c>
      <c r="CD60" s="13" t="s">
        <v>130</v>
      </c>
      <c r="CE60" s="74" t="s">
        <v>129</v>
      </c>
      <c r="CF60" s="13" t="s">
        <v>130</v>
      </c>
      <c r="CG60" s="74" t="s">
        <v>129</v>
      </c>
      <c r="CH60" s="13" t="s">
        <v>130</v>
      </c>
      <c r="CI60" s="74" t="s">
        <v>129</v>
      </c>
      <c r="CJ60" s="13" t="s">
        <v>130</v>
      </c>
      <c r="CK60" s="74" t="s">
        <v>129</v>
      </c>
      <c r="CL60" s="13" t="s">
        <v>130</v>
      </c>
      <c r="CM60" s="74" t="s">
        <v>129</v>
      </c>
      <c r="CN60" s="13" t="s">
        <v>130</v>
      </c>
      <c r="CO60" s="74" t="s">
        <v>129</v>
      </c>
      <c r="CP60" s="13" t="s">
        <v>130</v>
      </c>
      <c r="CQ60" s="74" t="s">
        <v>129</v>
      </c>
      <c r="CR60" s="13" t="s">
        <v>130</v>
      </c>
      <c r="CS60" s="74" t="s">
        <v>129</v>
      </c>
      <c r="CT60" s="13" t="s">
        <v>130</v>
      </c>
      <c r="CU60" s="74" t="s">
        <v>129</v>
      </c>
      <c r="CV60" s="13" t="s">
        <v>130</v>
      </c>
      <c r="CW60" s="74" t="s">
        <v>129</v>
      </c>
      <c r="CX60" s="13" t="s">
        <v>130</v>
      </c>
      <c r="CY60" s="74" t="s">
        <v>129</v>
      </c>
      <c r="CZ60" s="13" t="s">
        <v>130</v>
      </c>
      <c r="DA60" s="74" t="s">
        <v>129</v>
      </c>
      <c r="DB60" s="13" t="s">
        <v>130</v>
      </c>
      <c r="DC60" s="74" t="s">
        <v>129</v>
      </c>
      <c r="DD60" s="13" t="s">
        <v>130</v>
      </c>
      <c r="DE60" s="74" t="s">
        <v>129</v>
      </c>
      <c r="DF60" s="13" t="s">
        <v>130</v>
      </c>
      <c r="DG60" s="74" t="s">
        <v>129</v>
      </c>
      <c r="DH60" s="13" t="s">
        <v>130</v>
      </c>
      <c r="DI60" s="74" t="s">
        <v>129</v>
      </c>
      <c r="DJ60" s="13" t="s">
        <v>130</v>
      </c>
      <c r="DK60" s="74" t="s">
        <v>129</v>
      </c>
      <c r="DL60" s="13" t="s">
        <v>130</v>
      </c>
      <c r="DM60" s="74" t="s">
        <v>129</v>
      </c>
      <c r="DN60" s="13" t="s">
        <v>130</v>
      </c>
      <c r="DO60" s="74" t="s">
        <v>129</v>
      </c>
      <c r="DP60" s="13" t="s">
        <v>130</v>
      </c>
      <c r="DQ60" s="74" t="s">
        <v>129</v>
      </c>
      <c r="DR60" s="13" t="s">
        <v>130</v>
      </c>
      <c r="DS60" s="74" t="s">
        <v>129</v>
      </c>
      <c r="DT60" s="13" t="s">
        <v>130</v>
      </c>
      <c r="DU60" s="74" t="s">
        <v>129</v>
      </c>
      <c r="DV60" s="13" t="s">
        <v>130</v>
      </c>
      <c r="DW60" s="74" t="s">
        <v>129</v>
      </c>
      <c r="DX60" s="13" t="s">
        <v>130</v>
      </c>
    </row>
    <row r="61" customFormat="false" ht="15.75" hidden="false" customHeight="true" outlineLevel="0" collapsed="false">
      <c r="A61" s="89"/>
      <c r="B61" s="90"/>
      <c r="C61" s="90"/>
      <c r="D61" s="89"/>
      <c r="E61" s="91"/>
      <c r="F61" s="4"/>
      <c r="G61" s="4"/>
      <c r="H61" s="76" t="s">
        <v>131</v>
      </c>
      <c r="I61" s="77" t="n">
        <v>400</v>
      </c>
      <c r="J61" s="107"/>
      <c r="K61" s="77" t="n">
        <v>400</v>
      </c>
      <c r="L61" s="107"/>
      <c r="M61" s="77" t="n">
        <v>400</v>
      </c>
      <c r="N61" s="107"/>
      <c r="O61" s="77" t="n">
        <v>400</v>
      </c>
      <c r="P61" s="107"/>
      <c r="Q61" s="77" t="n">
        <v>400</v>
      </c>
      <c r="R61" s="107"/>
      <c r="S61" s="77" t="n">
        <v>400</v>
      </c>
      <c r="T61" s="107"/>
      <c r="U61" s="77" t="n">
        <v>400</v>
      </c>
      <c r="V61" s="107"/>
      <c r="W61" s="77"/>
      <c r="X61" s="107"/>
      <c r="Y61" s="77"/>
      <c r="Z61" s="107"/>
      <c r="AA61" s="77"/>
      <c r="AB61" s="107"/>
      <c r="AC61" s="77"/>
      <c r="AD61" s="107"/>
      <c r="AE61" s="77"/>
      <c r="AF61" s="107"/>
      <c r="AG61" s="77"/>
      <c r="AH61" s="107"/>
      <c r="AI61" s="77"/>
      <c r="AJ61" s="107"/>
      <c r="AK61" s="77"/>
      <c r="AL61" s="107"/>
      <c r="AM61" s="77"/>
      <c r="AN61" s="107"/>
      <c r="AO61" s="77"/>
      <c r="AP61" s="107"/>
      <c r="AQ61" s="77"/>
      <c r="AR61" s="107"/>
      <c r="AS61" s="77"/>
      <c r="AT61" s="107"/>
      <c r="AU61" s="77"/>
      <c r="AV61" s="107"/>
      <c r="AW61" s="77"/>
      <c r="AX61" s="107"/>
      <c r="AY61" s="77"/>
      <c r="AZ61" s="107"/>
      <c r="BA61" s="77"/>
      <c r="BB61" s="107"/>
      <c r="BC61" s="77"/>
      <c r="BD61" s="107"/>
      <c r="BE61" s="77"/>
      <c r="BF61" s="107"/>
      <c r="BG61" s="77"/>
      <c r="BH61" s="107"/>
      <c r="BI61" s="77"/>
      <c r="BJ61" s="107"/>
      <c r="BK61" s="77"/>
      <c r="BL61" s="107"/>
      <c r="BM61" s="77"/>
      <c r="BN61" s="107"/>
      <c r="BO61" s="77"/>
      <c r="BP61" s="107"/>
      <c r="BQ61" s="77"/>
      <c r="BR61" s="107"/>
      <c r="BS61" s="77"/>
      <c r="BT61" s="107"/>
      <c r="BU61" s="77"/>
      <c r="BV61" s="107"/>
      <c r="BW61" s="77"/>
      <c r="BX61" s="107"/>
      <c r="BY61" s="77"/>
      <c r="BZ61" s="107"/>
      <c r="CA61" s="77"/>
      <c r="CB61" s="107"/>
      <c r="CC61" s="77"/>
      <c r="CD61" s="107"/>
      <c r="CE61" s="77"/>
      <c r="CF61" s="107"/>
      <c r="CG61" s="77"/>
      <c r="CH61" s="107"/>
      <c r="CI61" s="77"/>
      <c r="CJ61" s="107"/>
      <c r="CK61" s="77"/>
      <c r="CL61" s="107"/>
      <c r="CM61" s="77"/>
      <c r="CN61" s="107"/>
      <c r="CO61" s="77"/>
      <c r="CP61" s="107"/>
      <c r="CQ61" s="77"/>
      <c r="CR61" s="107"/>
      <c r="CS61" s="77"/>
      <c r="CT61" s="107"/>
      <c r="CU61" s="77"/>
      <c r="CV61" s="107"/>
      <c r="CW61" s="77"/>
      <c r="CX61" s="107"/>
      <c r="CY61" s="77"/>
      <c r="CZ61" s="107"/>
      <c r="DA61" s="77"/>
      <c r="DB61" s="107"/>
      <c r="DC61" s="77"/>
      <c r="DD61" s="107"/>
      <c r="DE61" s="77"/>
      <c r="DF61" s="107"/>
      <c r="DG61" s="77"/>
      <c r="DH61" s="107"/>
      <c r="DI61" s="77"/>
      <c r="DJ61" s="107"/>
      <c r="DK61" s="77"/>
      <c r="DL61" s="107"/>
      <c r="DM61" s="77"/>
      <c r="DN61" s="107"/>
      <c r="DO61" s="77"/>
      <c r="DP61" s="107"/>
      <c r="DQ61" s="77"/>
      <c r="DR61" s="107"/>
      <c r="DS61" s="77"/>
      <c r="DT61" s="107"/>
      <c r="DU61" s="77"/>
      <c r="DV61" s="107"/>
      <c r="DW61" s="77"/>
      <c r="DX61" s="107"/>
    </row>
    <row r="62" customFormat="false" ht="15.75" hidden="false" customHeight="true" outlineLevel="0" collapsed="false">
      <c r="A62" s="6"/>
      <c r="B62" s="87"/>
      <c r="C62" s="87"/>
      <c r="D62" s="6"/>
      <c r="E62" s="88"/>
      <c r="F62" s="4"/>
      <c r="G62" s="4"/>
      <c r="H62" s="76" t="s">
        <v>132</v>
      </c>
      <c r="I62" s="77" t="n">
        <v>800</v>
      </c>
      <c r="J62" s="107"/>
      <c r="K62" s="77" t="n">
        <v>800</v>
      </c>
      <c r="L62" s="107"/>
      <c r="M62" s="77" t="n">
        <v>800</v>
      </c>
      <c r="N62" s="107"/>
      <c r="O62" s="77" t="n">
        <v>800</v>
      </c>
      <c r="P62" s="107"/>
      <c r="Q62" s="77" t="n">
        <v>800</v>
      </c>
      <c r="R62" s="107"/>
      <c r="S62" s="77" t="n">
        <v>800</v>
      </c>
      <c r="T62" s="107"/>
      <c r="U62" s="77" t="n">
        <v>800</v>
      </c>
      <c r="V62" s="107"/>
      <c r="W62" s="77"/>
      <c r="X62" s="107"/>
      <c r="Y62" s="77"/>
      <c r="Z62" s="107"/>
      <c r="AA62" s="77"/>
      <c r="AB62" s="107"/>
      <c r="AC62" s="77"/>
      <c r="AD62" s="107"/>
      <c r="AE62" s="77"/>
      <c r="AF62" s="107"/>
      <c r="AG62" s="77"/>
      <c r="AH62" s="107"/>
      <c r="AI62" s="77"/>
      <c r="AJ62" s="107"/>
      <c r="AK62" s="77"/>
      <c r="AL62" s="107"/>
      <c r="AM62" s="77"/>
      <c r="AN62" s="107"/>
      <c r="AO62" s="77"/>
      <c r="AP62" s="107"/>
      <c r="AQ62" s="77"/>
      <c r="AR62" s="107"/>
      <c r="AS62" s="77"/>
      <c r="AT62" s="107"/>
      <c r="AU62" s="77"/>
      <c r="AV62" s="107"/>
      <c r="AW62" s="77"/>
      <c r="AX62" s="107"/>
      <c r="AY62" s="77"/>
      <c r="AZ62" s="107"/>
      <c r="BA62" s="77"/>
      <c r="BB62" s="107"/>
      <c r="BC62" s="77"/>
      <c r="BD62" s="107"/>
      <c r="BE62" s="77"/>
      <c r="BF62" s="107"/>
      <c r="BG62" s="77"/>
      <c r="BH62" s="107"/>
      <c r="BI62" s="77"/>
      <c r="BJ62" s="107"/>
      <c r="BK62" s="77"/>
      <c r="BL62" s="107"/>
      <c r="BM62" s="77"/>
      <c r="BN62" s="107"/>
      <c r="BO62" s="77"/>
      <c r="BP62" s="107"/>
      <c r="BQ62" s="77"/>
      <c r="BR62" s="107"/>
      <c r="BS62" s="77"/>
      <c r="BT62" s="107"/>
      <c r="BU62" s="77"/>
      <c r="BV62" s="107"/>
      <c r="BW62" s="77"/>
      <c r="BX62" s="107"/>
      <c r="BY62" s="77"/>
      <c r="BZ62" s="107"/>
      <c r="CA62" s="77"/>
      <c r="CB62" s="107"/>
      <c r="CC62" s="77"/>
      <c r="CD62" s="107"/>
      <c r="CE62" s="77"/>
      <c r="CF62" s="107"/>
      <c r="CG62" s="77"/>
      <c r="CH62" s="107"/>
      <c r="CI62" s="77"/>
      <c r="CJ62" s="107"/>
      <c r="CK62" s="77"/>
      <c r="CL62" s="107"/>
      <c r="CM62" s="77"/>
      <c r="CN62" s="107"/>
      <c r="CO62" s="77"/>
      <c r="CP62" s="107"/>
      <c r="CQ62" s="77"/>
      <c r="CR62" s="107"/>
      <c r="CS62" s="77"/>
      <c r="CT62" s="107"/>
      <c r="CU62" s="77"/>
      <c r="CV62" s="107"/>
      <c r="CW62" s="77"/>
      <c r="CX62" s="107"/>
      <c r="CY62" s="77"/>
      <c r="CZ62" s="107"/>
      <c r="DA62" s="77"/>
      <c r="DB62" s="107"/>
      <c r="DC62" s="77"/>
      <c r="DD62" s="107"/>
      <c r="DE62" s="77"/>
      <c r="DF62" s="107"/>
      <c r="DG62" s="77"/>
      <c r="DH62" s="107"/>
      <c r="DI62" s="77"/>
      <c r="DJ62" s="107"/>
      <c r="DK62" s="77"/>
      <c r="DL62" s="107"/>
      <c r="DM62" s="77"/>
      <c r="DN62" s="107"/>
      <c r="DO62" s="77"/>
      <c r="DP62" s="107"/>
      <c r="DQ62" s="77"/>
      <c r="DR62" s="107"/>
      <c r="DS62" s="77"/>
      <c r="DT62" s="107"/>
      <c r="DU62" s="77"/>
      <c r="DV62" s="107"/>
      <c r="DW62" s="77"/>
      <c r="DX62" s="107"/>
    </row>
    <row r="63" customFormat="false" ht="15.75" hidden="false" customHeight="true" outlineLevel="0" collapsed="false">
      <c r="A63" s="89"/>
      <c r="B63" s="90"/>
      <c r="C63" s="90"/>
      <c r="D63" s="89"/>
      <c r="E63" s="91"/>
      <c r="F63" s="4"/>
      <c r="G63" s="4"/>
      <c r="H63" s="67"/>
      <c r="I63" s="84"/>
      <c r="J63" s="67"/>
      <c r="K63" s="84"/>
      <c r="L63" s="67"/>
      <c r="M63" s="84"/>
      <c r="N63" s="67"/>
      <c r="O63" s="84"/>
      <c r="P63" s="67"/>
      <c r="Q63" s="84"/>
      <c r="R63" s="67"/>
      <c r="S63" s="84"/>
      <c r="T63" s="67"/>
      <c r="U63" s="84"/>
      <c r="V63" s="67"/>
      <c r="W63" s="84"/>
      <c r="X63" s="67"/>
      <c r="Y63" s="84"/>
      <c r="Z63" s="67"/>
      <c r="AA63" s="84"/>
      <c r="AB63" s="67"/>
      <c r="AC63" s="84"/>
      <c r="AD63" s="67"/>
      <c r="AE63" s="84"/>
      <c r="AF63" s="67"/>
      <c r="AG63" s="84"/>
      <c r="AH63" s="67"/>
      <c r="AI63" s="84"/>
      <c r="AJ63" s="67"/>
      <c r="AK63" s="84"/>
      <c r="AL63" s="67"/>
      <c r="AM63" s="84"/>
      <c r="AN63" s="67"/>
      <c r="AO63" s="84"/>
      <c r="AP63" s="67"/>
      <c r="AQ63" s="84"/>
      <c r="AR63" s="67"/>
      <c r="AS63" s="84"/>
      <c r="AT63" s="67"/>
      <c r="AU63" s="84"/>
      <c r="AV63" s="67"/>
      <c r="AW63" s="84"/>
      <c r="AX63" s="67"/>
      <c r="AY63" s="84"/>
      <c r="AZ63" s="67"/>
      <c r="BA63" s="84"/>
      <c r="BB63" s="67"/>
      <c r="BC63" s="84"/>
      <c r="BD63" s="67"/>
      <c r="BE63" s="84"/>
      <c r="BF63" s="67"/>
      <c r="BG63" s="84"/>
      <c r="BH63" s="67"/>
      <c r="BI63" s="84"/>
      <c r="BJ63" s="67"/>
      <c r="BK63" s="84"/>
      <c r="BL63" s="67"/>
      <c r="BM63" s="84"/>
      <c r="BN63" s="67"/>
      <c r="BO63" s="84"/>
      <c r="BP63" s="67"/>
      <c r="BQ63" s="84"/>
      <c r="BR63" s="67"/>
      <c r="BS63" s="84"/>
      <c r="BT63" s="67"/>
      <c r="BU63" s="84"/>
      <c r="BV63" s="67"/>
      <c r="BW63" s="84"/>
      <c r="BX63" s="67"/>
      <c r="BY63" s="84"/>
      <c r="BZ63" s="67"/>
      <c r="CA63" s="84"/>
      <c r="CB63" s="67"/>
      <c r="CC63" s="84"/>
      <c r="CD63" s="67"/>
      <c r="CE63" s="84"/>
      <c r="CF63" s="67"/>
      <c r="CG63" s="84"/>
      <c r="CH63" s="67"/>
      <c r="CI63" s="84"/>
      <c r="CJ63" s="67"/>
      <c r="CK63" s="84"/>
      <c r="CL63" s="67"/>
      <c r="CM63" s="84"/>
      <c r="CN63" s="67"/>
      <c r="CO63" s="84"/>
      <c r="CP63" s="67"/>
      <c r="CQ63" s="84"/>
      <c r="CR63" s="67"/>
      <c r="CS63" s="84"/>
      <c r="CT63" s="67"/>
      <c r="CU63" s="84"/>
      <c r="CV63" s="67"/>
      <c r="CW63" s="84"/>
      <c r="CX63" s="67"/>
      <c r="CY63" s="84"/>
      <c r="CZ63" s="67"/>
      <c r="DA63" s="84"/>
      <c r="DB63" s="67"/>
      <c r="DC63" s="84"/>
      <c r="DD63" s="67"/>
      <c r="DE63" s="84"/>
      <c r="DF63" s="67"/>
      <c r="DG63" s="84"/>
      <c r="DH63" s="67"/>
      <c r="DI63" s="84"/>
      <c r="DJ63" s="67"/>
      <c r="DK63" s="84"/>
      <c r="DL63" s="67"/>
      <c r="DM63" s="84"/>
      <c r="DN63" s="67"/>
      <c r="DO63" s="84"/>
      <c r="DP63" s="67"/>
      <c r="DQ63" s="84"/>
      <c r="DR63" s="67"/>
      <c r="DS63" s="84"/>
      <c r="DT63" s="67"/>
      <c r="DU63" s="84"/>
      <c r="DV63" s="67"/>
      <c r="DW63" s="84"/>
      <c r="DX63" s="67"/>
    </row>
    <row r="64" customFormat="false" ht="15.75" hidden="false" customHeight="true" outlineLevel="0" collapsed="false">
      <c r="A64" s="6"/>
      <c r="B64" s="87"/>
      <c r="C64" s="87"/>
      <c r="D64" s="6"/>
      <c r="E64" s="88"/>
      <c r="F64" s="4"/>
      <c r="G64" s="4"/>
      <c r="H64" s="70" t="s">
        <v>133</v>
      </c>
      <c r="I64" s="71"/>
      <c r="J64" s="72"/>
      <c r="K64" s="71"/>
      <c r="L64" s="72"/>
      <c r="M64" s="71"/>
      <c r="N64" s="72"/>
      <c r="O64" s="71"/>
      <c r="P64" s="72"/>
      <c r="Q64" s="71"/>
      <c r="R64" s="72"/>
      <c r="S64" s="71"/>
      <c r="T64" s="72"/>
      <c r="U64" s="71"/>
      <c r="V64" s="72"/>
      <c r="W64" s="71"/>
      <c r="X64" s="72"/>
      <c r="Y64" s="71"/>
      <c r="Z64" s="72"/>
      <c r="AA64" s="71"/>
      <c r="AB64" s="72"/>
      <c r="AC64" s="71"/>
      <c r="AD64" s="72"/>
      <c r="AE64" s="71"/>
      <c r="AF64" s="72"/>
      <c r="AG64" s="71"/>
      <c r="AH64" s="72"/>
      <c r="AI64" s="71"/>
      <c r="AJ64" s="72"/>
      <c r="AK64" s="71"/>
      <c r="AL64" s="72"/>
      <c r="AM64" s="71"/>
      <c r="AN64" s="72"/>
      <c r="AO64" s="71"/>
      <c r="AP64" s="72"/>
      <c r="AQ64" s="71"/>
      <c r="AR64" s="72"/>
      <c r="AS64" s="71"/>
      <c r="AT64" s="72"/>
      <c r="AU64" s="71"/>
      <c r="AV64" s="72"/>
      <c r="AW64" s="71"/>
      <c r="AX64" s="72"/>
      <c r="AY64" s="71"/>
      <c r="AZ64" s="72"/>
      <c r="BA64" s="71"/>
      <c r="BB64" s="72"/>
      <c r="BC64" s="71"/>
      <c r="BD64" s="72"/>
      <c r="BE64" s="71"/>
      <c r="BF64" s="72"/>
      <c r="BG64" s="71"/>
      <c r="BH64" s="72"/>
      <c r="BI64" s="71"/>
      <c r="BJ64" s="72"/>
      <c r="BK64" s="71"/>
      <c r="BL64" s="72"/>
      <c r="BM64" s="71"/>
      <c r="BN64" s="72"/>
      <c r="BO64" s="71"/>
      <c r="BP64" s="72"/>
      <c r="BQ64" s="71"/>
      <c r="BR64" s="72"/>
      <c r="BS64" s="71"/>
      <c r="BT64" s="72"/>
      <c r="BU64" s="71"/>
      <c r="BV64" s="72"/>
      <c r="BW64" s="71"/>
      <c r="BX64" s="72"/>
      <c r="BY64" s="71"/>
      <c r="BZ64" s="72"/>
      <c r="CA64" s="71"/>
      <c r="CB64" s="72"/>
      <c r="CC64" s="71"/>
      <c r="CD64" s="72"/>
      <c r="CE64" s="71"/>
      <c r="CF64" s="72"/>
      <c r="CG64" s="71"/>
      <c r="CH64" s="72"/>
      <c r="CI64" s="71"/>
      <c r="CJ64" s="72"/>
      <c r="CK64" s="71"/>
      <c r="CL64" s="72"/>
      <c r="CM64" s="71"/>
      <c r="CN64" s="72"/>
      <c r="CO64" s="71"/>
      <c r="CP64" s="72"/>
      <c r="CQ64" s="71"/>
      <c r="CR64" s="72"/>
      <c r="CS64" s="71"/>
      <c r="CT64" s="72"/>
      <c r="CU64" s="71"/>
      <c r="CV64" s="72"/>
      <c r="CW64" s="71"/>
      <c r="CX64" s="72"/>
      <c r="CY64" s="71"/>
      <c r="CZ64" s="72"/>
      <c r="DA64" s="71"/>
      <c r="DB64" s="72"/>
      <c r="DC64" s="71"/>
      <c r="DD64" s="72"/>
      <c r="DE64" s="71"/>
      <c r="DF64" s="72"/>
      <c r="DG64" s="71"/>
      <c r="DH64" s="72"/>
      <c r="DI64" s="71"/>
      <c r="DJ64" s="72"/>
      <c r="DK64" s="71"/>
      <c r="DL64" s="72"/>
      <c r="DM64" s="71"/>
      <c r="DN64" s="72"/>
      <c r="DO64" s="71"/>
      <c r="DP64" s="72"/>
      <c r="DQ64" s="71"/>
      <c r="DR64" s="72"/>
      <c r="DS64" s="71"/>
      <c r="DT64" s="72"/>
      <c r="DU64" s="71"/>
      <c r="DV64" s="72"/>
      <c r="DW64" s="71"/>
      <c r="DX64" s="72"/>
    </row>
    <row r="65" customFormat="false" ht="15.75" hidden="false" customHeight="true" outlineLevel="0" collapsed="false">
      <c r="A65" s="94"/>
      <c r="B65" s="95"/>
      <c r="C65" s="95"/>
      <c r="D65" s="94"/>
      <c r="E65" s="96"/>
      <c r="F65" s="4"/>
      <c r="G65" s="4"/>
      <c r="H65" s="13" t="s">
        <v>134</v>
      </c>
      <c r="I65" s="74" t="s">
        <v>135</v>
      </c>
      <c r="J65" s="13" t="s">
        <v>130</v>
      </c>
      <c r="K65" s="74" t="s">
        <v>135</v>
      </c>
      <c r="L65" s="13" t="s">
        <v>130</v>
      </c>
      <c r="M65" s="74" t="s">
        <v>135</v>
      </c>
      <c r="N65" s="13" t="s">
        <v>130</v>
      </c>
      <c r="O65" s="74" t="s">
        <v>135</v>
      </c>
      <c r="P65" s="13" t="s">
        <v>130</v>
      </c>
      <c r="Q65" s="74" t="s">
        <v>135</v>
      </c>
      <c r="R65" s="13" t="s">
        <v>130</v>
      </c>
      <c r="S65" s="74" t="s">
        <v>135</v>
      </c>
      <c r="T65" s="13" t="s">
        <v>130</v>
      </c>
      <c r="U65" s="74" t="s">
        <v>135</v>
      </c>
      <c r="V65" s="13" t="s">
        <v>130</v>
      </c>
      <c r="W65" s="74" t="s">
        <v>135</v>
      </c>
      <c r="X65" s="13" t="s">
        <v>130</v>
      </c>
      <c r="Y65" s="74" t="s">
        <v>135</v>
      </c>
      <c r="Z65" s="13" t="s">
        <v>130</v>
      </c>
      <c r="AA65" s="74" t="s">
        <v>135</v>
      </c>
      <c r="AB65" s="13" t="s">
        <v>130</v>
      </c>
      <c r="AC65" s="74" t="s">
        <v>135</v>
      </c>
      <c r="AD65" s="13" t="s">
        <v>130</v>
      </c>
      <c r="AE65" s="74" t="s">
        <v>135</v>
      </c>
      <c r="AF65" s="13" t="s">
        <v>130</v>
      </c>
      <c r="AG65" s="74" t="s">
        <v>135</v>
      </c>
      <c r="AH65" s="13" t="s">
        <v>130</v>
      </c>
      <c r="AI65" s="74" t="s">
        <v>135</v>
      </c>
      <c r="AJ65" s="13" t="s">
        <v>130</v>
      </c>
      <c r="AK65" s="74" t="s">
        <v>135</v>
      </c>
      <c r="AL65" s="13" t="s">
        <v>130</v>
      </c>
      <c r="AM65" s="74" t="s">
        <v>135</v>
      </c>
      <c r="AN65" s="13" t="s">
        <v>130</v>
      </c>
      <c r="AO65" s="74" t="s">
        <v>135</v>
      </c>
      <c r="AP65" s="13" t="s">
        <v>130</v>
      </c>
      <c r="AQ65" s="74" t="s">
        <v>135</v>
      </c>
      <c r="AR65" s="13" t="s">
        <v>130</v>
      </c>
      <c r="AS65" s="74" t="s">
        <v>135</v>
      </c>
      <c r="AT65" s="13" t="s">
        <v>130</v>
      </c>
      <c r="AU65" s="74" t="s">
        <v>135</v>
      </c>
      <c r="AV65" s="13" t="s">
        <v>130</v>
      </c>
      <c r="AW65" s="74" t="s">
        <v>135</v>
      </c>
      <c r="AX65" s="13" t="s">
        <v>130</v>
      </c>
      <c r="AY65" s="74" t="s">
        <v>135</v>
      </c>
      <c r="AZ65" s="13" t="s">
        <v>130</v>
      </c>
      <c r="BA65" s="74" t="s">
        <v>135</v>
      </c>
      <c r="BB65" s="13" t="s">
        <v>130</v>
      </c>
      <c r="BC65" s="74" t="s">
        <v>135</v>
      </c>
      <c r="BD65" s="13" t="s">
        <v>130</v>
      </c>
      <c r="BE65" s="74" t="s">
        <v>135</v>
      </c>
      <c r="BF65" s="13" t="s">
        <v>130</v>
      </c>
      <c r="BG65" s="74" t="s">
        <v>135</v>
      </c>
      <c r="BH65" s="13" t="s">
        <v>130</v>
      </c>
      <c r="BI65" s="74" t="s">
        <v>135</v>
      </c>
      <c r="BJ65" s="13" t="s">
        <v>130</v>
      </c>
      <c r="BK65" s="74" t="s">
        <v>135</v>
      </c>
      <c r="BL65" s="13" t="s">
        <v>130</v>
      </c>
      <c r="BM65" s="74" t="s">
        <v>135</v>
      </c>
      <c r="BN65" s="13" t="s">
        <v>130</v>
      </c>
      <c r="BO65" s="74" t="s">
        <v>135</v>
      </c>
      <c r="BP65" s="13" t="s">
        <v>130</v>
      </c>
      <c r="BQ65" s="74" t="s">
        <v>135</v>
      </c>
      <c r="BR65" s="13" t="s">
        <v>130</v>
      </c>
      <c r="BS65" s="74" t="s">
        <v>135</v>
      </c>
      <c r="BT65" s="13" t="s">
        <v>130</v>
      </c>
      <c r="BU65" s="74" t="s">
        <v>135</v>
      </c>
      <c r="BV65" s="13" t="s">
        <v>130</v>
      </c>
      <c r="BW65" s="74" t="s">
        <v>135</v>
      </c>
      <c r="BX65" s="13" t="s">
        <v>130</v>
      </c>
      <c r="BY65" s="74" t="s">
        <v>135</v>
      </c>
      <c r="BZ65" s="13" t="s">
        <v>130</v>
      </c>
      <c r="CA65" s="74" t="s">
        <v>135</v>
      </c>
      <c r="CB65" s="13" t="s">
        <v>130</v>
      </c>
      <c r="CC65" s="74" t="s">
        <v>135</v>
      </c>
      <c r="CD65" s="13" t="s">
        <v>130</v>
      </c>
      <c r="CE65" s="74" t="s">
        <v>135</v>
      </c>
      <c r="CF65" s="13" t="s">
        <v>130</v>
      </c>
      <c r="CG65" s="74" t="s">
        <v>135</v>
      </c>
      <c r="CH65" s="13" t="s">
        <v>130</v>
      </c>
      <c r="CI65" s="74" t="s">
        <v>135</v>
      </c>
      <c r="CJ65" s="13" t="s">
        <v>130</v>
      </c>
      <c r="CK65" s="74" t="s">
        <v>135</v>
      </c>
      <c r="CL65" s="13" t="s">
        <v>130</v>
      </c>
      <c r="CM65" s="74" t="s">
        <v>135</v>
      </c>
      <c r="CN65" s="13" t="s">
        <v>130</v>
      </c>
      <c r="CO65" s="74" t="s">
        <v>135</v>
      </c>
      <c r="CP65" s="13" t="s">
        <v>130</v>
      </c>
      <c r="CQ65" s="74" t="s">
        <v>135</v>
      </c>
      <c r="CR65" s="13" t="s">
        <v>130</v>
      </c>
      <c r="CS65" s="74" t="s">
        <v>135</v>
      </c>
      <c r="CT65" s="13" t="s">
        <v>130</v>
      </c>
      <c r="CU65" s="74" t="s">
        <v>135</v>
      </c>
      <c r="CV65" s="13" t="s">
        <v>130</v>
      </c>
      <c r="CW65" s="74" t="s">
        <v>135</v>
      </c>
      <c r="CX65" s="13" t="s">
        <v>130</v>
      </c>
      <c r="CY65" s="74" t="s">
        <v>135</v>
      </c>
      <c r="CZ65" s="13" t="s">
        <v>130</v>
      </c>
      <c r="DA65" s="74" t="s">
        <v>135</v>
      </c>
      <c r="DB65" s="13" t="s">
        <v>130</v>
      </c>
      <c r="DC65" s="74" t="s">
        <v>135</v>
      </c>
      <c r="DD65" s="13" t="s">
        <v>130</v>
      </c>
      <c r="DE65" s="74" t="s">
        <v>135</v>
      </c>
      <c r="DF65" s="13" t="s">
        <v>130</v>
      </c>
      <c r="DG65" s="74" t="s">
        <v>135</v>
      </c>
      <c r="DH65" s="13" t="s">
        <v>130</v>
      </c>
      <c r="DI65" s="74" t="s">
        <v>135</v>
      </c>
      <c r="DJ65" s="13" t="s">
        <v>130</v>
      </c>
      <c r="DK65" s="74" t="s">
        <v>135</v>
      </c>
      <c r="DL65" s="13" t="s">
        <v>130</v>
      </c>
      <c r="DM65" s="74" t="s">
        <v>135</v>
      </c>
      <c r="DN65" s="13" t="s">
        <v>130</v>
      </c>
      <c r="DO65" s="74" t="s">
        <v>135</v>
      </c>
      <c r="DP65" s="13" t="s">
        <v>130</v>
      </c>
      <c r="DQ65" s="74" t="s">
        <v>135</v>
      </c>
      <c r="DR65" s="13" t="s">
        <v>130</v>
      </c>
      <c r="DS65" s="74" t="s">
        <v>135</v>
      </c>
      <c r="DT65" s="13" t="s">
        <v>130</v>
      </c>
      <c r="DU65" s="74" t="s">
        <v>135</v>
      </c>
      <c r="DV65" s="13" t="s">
        <v>130</v>
      </c>
      <c r="DW65" s="74" t="s">
        <v>135</v>
      </c>
      <c r="DX65" s="13" t="s">
        <v>130</v>
      </c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97" t="s">
        <v>136</v>
      </c>
      <c r="I66" s="108" t="n">
        <v>0</v>
      </c>
      <c r="J66" s="107"/>
      <c r="K66" s="108" t="n">
        <v>0</v>
      </c>
      <c r="L66" s="107"/>
      <c r="M66" s="108" t="n">
        <v>0</v>
      </c>
      <c r="N66" s="107"/>
      <c r="O66" s="108" t="n">
        <v>0</v>
      </c>
      <c r="P66" s="107"/>
      <c r="Q66" s="108" t="n">
        <v>0</v>
      </c>
      <c r="R66" s="107"/>
      <c r="S66" s="108" t="n">
        <v>0</v>
      </c>
      <c r="T66" s="107"/>
      <c r="U66" s="108" t="n">
        <v>0</v>
      </c>
      <c r="V66" s="107"/>
      <c r="W66" s="108" t="n">
        <v>0</v>
      </c>
      <c r="X66" s="107"/>
      <c r="Y66" s="108" t="n">
        <v>0</v>
      </c>
      <c r="Z66" s="107"/>
      <c r="AA66" s="108" t="n">
        <v>0</v>
      </c>
      <c r="AB66" s="107"/>
      <c r="AC66" s="108" t="n">
        <v>0</v>
      </c>
      <c r="AD66" s="107"/>
      <c r="AE66" s="108" t="n">
        <v>0</v>
      </c>
      <c r="AF66" s="107"/>
      <c r="AG66" s="108" t="n">
        <v>0</v>
      </c>
      <c r="AH66" s="107"/>
      <c r="AI66" s="108" t="n">
        <v>0</v>
      </c>
      <c r="AJ66" s="107"/>
      <c r="AK66" s="108"/>
      <c r="AL66" s="107"/>
      <c r="AM66" s="108"/>
      <c r="AN66" s="107"/>
      <c r="AO66" s="108"/>
      <c r="AP66" s="107"/>
      <c r="AQ66" s="108"/>
      <c r="AR66" s="107"/>
      <c r="AS66" s="108"/>
      <c r="AT66" s="107"/>
      <c r="AU66" s="108"/>
      <c r="AV66" s="107"/>
      <c r="AW66" s="108"/>
      <c r="AX66" s="107"/>
      <c r="AY66" s="108"/>
      <c r="AZ66" s="107"/>
      <c r="BA66" s="108"/>
      <c r="BB66" s="107"/>
      <c r="BC66" s="108"/>
      <c r="BD66" s="107"/>
      <c r="BE66" s="108"/>
      <c r="BF66" s="107"/>
      <c r="BG66" s="108"/>
      <c r="BH66" s="107"/>
      <c r="BI66" s="108"/>
      <c r="BJ66" s="107"/>
      <c r="BK66" s="108"/>
      <c r="BL66" s="107"/>
      <c r="BM66" s="108"/>
      <c r="BN66" s="107"/>
      <c r="BO66" s="108"/>
      <c r="BP66" s="107"/>
      <c r="BQ66" s="108"/>
      <c r="BR66" s="107"/>
      <c r="BS66" s="108"/>
      <c r="BT66" s="107"/>
      <c r="BU66" s="108"/>
      <c r="BV66" s="107"/>
      <c r="BW66" s="108"/>
      <c r="BX66" s="107"/>
      <c r="BY66" s="108"/>
      <c r="BZ66" s="107"/>
      <c r="CA66" s="108"/>
      <c r="CB66" s="107"/>
      <c r="CC66" s="108"/>
      <c r="CD66" s="107"/>
      <c r="CE66" s="108"/>
      <c r="CF66" s="107"/>
      <c r="CG66" s="108"/>
      <c r="CH66" s="107"/>
      <c r="CI66" s="108"/>
      <c r="CJ66" s="107"/>
      <c r="CK66" s="108"/>
      <c r="CL66" s="107"/>
      <c r="CM66" s="108"/>
      <c r="CN66" s="107"/>
      <c r="CO66" s="108"/>
      <c r="CP66" s="107"/>
      <c r="CQ66" s="108"/>
      <c r="CR66" s="107"/>
      <c r="CS66" s="108"/>
      <c r="CT66" s="107"/>
      <c r="CU66" s="108"/>
      <c r="CV66" s="107"/>
      <c r="CW66" s="108"/>
      <c r="CX66" s="107"/>
      <c r="CY66" s="108"/>
      <c r="CZ66" s="107"/>
      <c r="DA66" s="108"/>
      <c r="DB66" s="107"/>
      <c r="DC66" s="108"/>
      <c r="DD66" s="107"/>
      <c r="DE66" s="108"/>
      <c r="DF66" s="107"/>
      <c r="DG66" s="108"/>
      <c r="DH66" s="107"/>
      <c r="DI66" s="108"/>
      <c r="DJ66" s="107"/>
      <c r="DK66" s="108"/>
      <c r="DL66" s="107"/>
      <c r="DM66" s="108"/>
      <c r="DN66" s="107"/>
      <c r="DO66" s="108"/>
      <c r="DP66" s="107"/>
      <c r="DQ66" s="108"/>
      <c r="DR66" s="107"/>
      <c r="DS66" s="108"/>
      <c r="DT66" s="107"/>
      <c r="DU66" s="108"/>
      <c r="DV66" s="107"/>
      <c r="DW66" s="108"/>
      <c r="DX66" s="107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97" t="s">
        <v>137</v>
      </c>
      <c r="I67" s="108" t="n">
        <v>0</v>
      </c>
      <c r="J67" s="107"/>
      <c r="K67" s="108" t="n">
        <v>0</v>
      </c>
      <c r="L67" s="107"/>
      <c r="M67" s="108" t="n">
        <v>0</v>
      </c>
      <c r="N67" s="107"/>
      <c r="O67" s="108" t="n">
        <v>0</v>
      </c>
      <c r="P67" s="107"/>
      <c r="Q67" s="108" t="n">
        <v>0</v>
      </c>
      <c r="R67" s="107"/>
      <c r="S67" s="108" t="n">
        <v>0</v>
      </c>
      <c r="T67" s="107"/>
      <c r="U67" s="108" t="n">
        <v>0</v>
      </c>
      <c r="V67" s="107"/>
      <c r="W67" s="108" t="n">
        <v>0</v>
      </c>
      <c r="X67" s="107"/>
      <c r="Y67" s="108" t="n">
        <v>0</v>
      </c>
      <c r="Z67" s="107"/>
      <c r="AA67" s="108" t="n">
        <v>0</v>
      </c>
      <c r="AB67" s="107"/>
      <c r="AC67" s="108" t="n">
        <v>0</v>
      </c>
      <c r="AD67" s="107"/>
      <c r="AE67" s="108" t="n">
        <v>0</v>
      </c>
      <c r="AF67" s="107"/>
      <c r="AG67" s="108" t="n">
        <v>0</v>
      </c>
      <c r="AH67" s="107"/>
      <c r="AI67" s="108" t="n">
        <v>0</v>
      </c>
      <c r="AJ67" s="107"/>
      <c r="AK67" s="108"/>
      <c r="AL67" s="107"/>
      <c r="AM67" s="108"/>
      <c r="AN67" s="107"/>
      <c r="AO67" s="108"/>
      <c r="AP67" s="107"/>
      <c r="AQ67" s="108"/>
      <c r="AR67" s="107"/>
      <c r="AS67" s="108"/>
      <c r="AT67" s="107"/>
      <c r="AU67" s="108"/>
      <c r="AV67" s="107"/>
      <c r="AW67" s="108"/>
      <c r="AX67" s="107"/>
      <c r="AY67" s="108"/>
      <c r="AZ67" s="107"/>
      <c r="BA67" s="108"/>
      <c r="BB67" s="107"/>
      <c r="BC67" s="108"/>
      <c r="BD67" s="107"/>
      <c r="BE67" s="108"/>
      <c r="BF67" s="107"/>
      <c r="BG67" s="108"/>
      <c r="BH67" s="107"/>
      <c r="BI67" s="108"/>
      <c r="BJ67" s="107"/>
      <c r="BK67" s="108"/>
      <c r="BL67" s="107"/>
      <c r="BM67" s="108"/>
      <c r="BN67" s="107"/>
      <c r="BO67" s="108"/>
      <c r="BP67" s="107"/>
      <c r="BQ67" s="108"/>
      <c r="BR67" s="107"/>
      <c r="BS67" s="108"/>
      <c r="BT67" s="107"/>
      <c r="BU67" s="108"/>
      <c r="BV67" s="107"/>
      <c r="BW67" s="108"/>
      <c r="BX67" s="107"/>
      <c r="BY67" s="108"/>
      <c r="BZ67" s="107"/>
      <c r="CA67" s="108"/>
      <c r="CB67" s="107"/>
      <c r="CC67" s="108"/>
      <c r="CD67" s="107"/>
      <c r="CE67" s="108"/>
      <c r="CF67" s="107"/>
      <c r="CG67" s="108"/>
      <c r="CH67" s="107"/>
      <c r="CI67" s="108"/>
      <c r="CJ67" s="107"/>
      <c r="CK67" s="108"/>
      <c r="CL67" s="107"/>
      <c r="CM67" s="108"/>
      <c r="CN67" s="107"/>
      <c r="CO67" s="108"/>
      <c r="CP67" s="107"/>
      <c r="CQ67" s="108"/>
      <c r="CR67" s="107"/>
      <c r="CS67" s="108"/>
      <c r="CT67" s="107"/>
      <c r="CU67" s="108"/>
      <c r="CV67" s="107"/>
      <c r="CW67" s="108"/>
      <c r="CX67" s="107"/>
      <c r="CY67" s="108"/>
      <c r="CZ67" s="107"/>
      <c r="DA67" s="108"/>
      <c r="DB67" s="107"/>
      <c r="DC67" s="108"/>
      <c r="DD67" s="107"/>
      <c r="DE67" s="108"/>
      <c r="DF67" s="107"/>
      <c r="DG67" s="108"/>
      <c r="DH67" s="107"/>
      <c r="DI67" s="108"/>
      <c r="DJ67" s="107"/>
      <c r="DK67" s="108"/>
      <c r="DL67" s="107"/>
      <c r="DM67" s="108"/>
      <c r="DN67" s="107"/>
      <c r="DO67" s="108"/>
      <c r="DP67" s="107"/>
      <c r="DQ67" s="108"/>
      <c r="DR67" s="107"/>
      <c r="DS67" s="108"/>
      <c r="DT67" s="107"/>
      <c r="DU67" s="108"/>
      <c r="DV67" s="107"/>
      <c r="DW67" s="108"/>
      <c r="DX67" s="107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97" t="s">
        <v>138</v>
      </c>
      <c r="I68" s="108" t="n">
        <v>0</v>
      </c>
      <c r="J68" s="107"/>
      <c r="K68" s="108" t="n">
        <v>0</v>
      </c>
      <c r="L68" s="107"/>
      <c r="M68" s="108" t="n">
        <v>0</v>
      </c>
      <c r="N68" s="107"/>
      <c r="O68" s="108" t="n">
        <v>0</v>
      </c>
      <c r="P68" s="107"/>
      <c r="Q68" s="108" t="n">
        <v>0</v>
      </c>
      <c r="R68" s="107"/>
      <c r="S68" s="108" t="n">
        <v>0</v>
      </c>
      <c r="T68" s="107"/>
      <c r="U68" s="108" t="n">
        <v>0</v>
      </c>
      <c r="V68" s="107"/>
      <c r="W68" s="108" t="n">
        <v>0</v>
      </c>
      <c r="X68" s="107"/>
      <c r="Y68" s="108" t="n">
        <v>0</v>
      </c>
      <c r="Z68" s="107"/>
      <c r="AA68" s="108" t="n">
        <v>0</v>
      </c>
      <c r="AB68" s="107"/>
      <c r="AC68" s="108" t="n">
        <v>0</v>
      </c>
      <c r="AD68" s="107"/>
      <c r="AE68" s="108" t="n">
        <v>0</v>
      </c>
      <c r="AF68" s="107"/>
      <c r="AG68" s="108" t="n">
        <v>0</v>
      </c>
      <c r="AH68" s="107"/>
      <c r="AI68" s="108" t="n">
        <v>0</v>
      </c>
      <c r="AJ68" s="107"/>
      <c r="AK68" s="108"/>
      <c r="AL68" s="107"/>
      <c r="AM68" s="108"/>
      <c r="AN68" s="107"/>
      <c r="AO68" s="108"/>
      <c r="AP68" s="107"/>
      <c r="AQ68" s="108"/>
      <c r="AR68" s="107"/>
      <c r="AS68" s="108"/>
      <c r="AT68" s="107"/>
      <c r="AU68" s="108"/>
      <c r="AV68" s="107"/>
      <c r="AW68" s="108"/>
      <c r="AX68" s="107"/>
      <c r="AY68" s="108"/>
      <c r="AZ68" s="107"/>
      <c r="BA68" s="108"/>
      <c r="BB68" s="107"/>
      <c r="BC68" s="108"/>
      <c r="BD68" s="107"/>
      <c r="BE68" s="108"/>
      <c r="BF68" s="107"/>
      <c r="BG68" s="108"/>
      <c r="BH68" s="107"/>
      <c r="BI68" s="108"/>
      <c r="BJ68" s="107"/>
      <c r="BK68" s="108"/>
      <c r="BL68" s="107"/>
      <c r="BM68" s="108"/>
      <c r="BN68" s="107"/>
      <c r="BO68" s="108"/>
      <c r="BP68" s="107"/>
      <c r="BQ68" s="108"/>
      <c r="BR68" s="107"/>
      <c r="BS68" s="108"/>
      <c r="BT68" s="107"/>
      <c r="BU68" s="108"/>
      <c r="BV68" s="107"/>
      <c r="BW68" s="108"/>
      <c r="BX68" s="107"/>
      <c r="BY68" s="108"/>
      <c r="BZ68" s="107"/>
      <c r="CA68" s="108"/>
      <c r="CB68" s="107"/>
      <c r="CC68" s="108"/>
      <c r="CD68" s="107"/>
      <c r="CE68" s="108"/>
      <c r="CF68" s="107"/>
      <c r="CG68" s="108"/>
      <c r="CH68" s="107"/>
      <c r="CI68" s="108"/>
      <c r="CJ68" s="107"/>
      <c r="CK68" s="108"/>
      <c r="CL68" s="107"/>
      <c r="CM68" s="108"/>
      <c r="CN68" s="107"/>
      <c r="CO68" s="108"/>
      <c r="CP68" s="107"/>
      <c r="CQ68" s="108"/>
      <c r="CR68" s="107"/>
      <c r="CS68" s="108"/>
      <c r="CT68" s="107"/>
      <c r="CU68" s="108"/>
      <c r="CV68" s="107"/>
      <c r="CW68" s="108"/>
      <c r="CX68" s="107"/>
      <c r="CY68" s="108"/>
      <c r="CZ68" s="107"/>
      <c r="DA68" s="108"/>
      <c r="DB68" s="107"/>
      <c r="DC68" s="108"/>
      <c r="DD68" s="107"/>
      <c r="DE68" s="108"/>
      <c r="DF68" s="107"/>
      <c r="DG68" s="108"/>
      <c r="DH68" s="107"/>
      <c r="DI68" s="108"/>
      <c r="DJ68" s="107"/>
      <c r="DK68" s="108"/>
      <c r="DL68" s="107"/>
      <c r="DM68" s="108"/>
      <c r="DN68" s="107"/>
      <c r="DO68" s="108"/>
      <c r="DP68" s="107"/>
      <c r="DQ68" s="108"/>
      <c r="DR68" s="107"/>
      <c r="DS68" s="108"/>
      <c r="DT68" s="107"/>
      <c r="DU68" s="108"/>
      <c r="DV68" s="107"/>
      <c r="DW68" s="108"/>
      <c r="DX68" s="107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109" t="s">
        <v>139</v>
      </c>
      <c r="I70" s="109"/>
      <c r="J70" s="109"/>
      <c r="K70" s="109"/>
      <c r="L70" s="109"/>
      <c r="M70" s="109"/>
      <c r="N70" s="109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</row>
  </sheetData>
  <mergeCells count="245">
    <mergeCell ref="A1:H1"/>
    <mergeCell ref="A2:G2"/>
    <mergeCell ref="A4:E4"/>
    <mergeCell ref="F4:H4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DO7:DP7"/>
    <mergeCell ref="DQ7:DR7"/>
    <mergeCell ref="DS7:DT7"/>
    <mergeCell ref="DU7:DV7"/>
    <mergeCell ref="DW7:DX7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H70:N70"/>
  </mergeCells>
  <dataValidations count="7">
    <dataValidation allowBlank="true" errorStyle="stop" operator="between" prompt="Некоректна дата - Введіть справжню дату у діапазоні 2020–2040." showDropDown="false" showErrorMessage="true" showInputMessage="true" sqref="B6:C65" type="date">
      <formula1>DATE(2020,1,1)</formula1>
      <formula2>DATE(2040,12,31)</formula2>
    </dataValidation>
    <dataValidation allowBlank="true" errorStyle="stop" operator="between" prompt="День тижня - Введіть число від 1 (понеділок) до 7 (неділя)." showDropDown="false" showErrorMessage="true" showInputMessage="true" sqref="G11" type="decimal">
      <formula1>1</formula1>
      <formula2>7</formula2>
    </dataValidation>
    <dataValidation allowBlank="true" errorStyle="stop" operator="greaterThanOrEqual" prompt="Некоректне значення - Ціни та множники не можуть бути відʼємними." showDropDown="false" showErrorMessage="true" showInputMessage="true" sqref="I12:DX15 I33:DX50 I54:DX57 I61:DX62" type="decimal">
      <formula1>0</formula1>
      <formula2>0</formula2>
    </dataValidation>
    <dataValidation allowBlank="true" errorStyle="stop" operator="between" prompt="Перемикач знижки - Допустимі значення: 0 або 1." showDropDown="false" showErrorMessage="true" showInputMessage="true" sqref="I66:DX68" type="list">
      <formula1>"0,1"</formula1>
      <formula2>0</formula2>
    </dataValidation>
    <dataValidation allowBlank="true" errorStyle="stop" operator="greaterThanOrEqual" prompt="Крок округлення - Крок округлення має бути не менший за 0,01 грн." showDropDown="false" showErrorMessage="true" showInputMessage="true" sqref="G7" type="decimal">
      <formula1>0.01</formula1>
      <formula2>0</formula2>
    </dataValidation>
    <dataValidation allowBlank="true" errorStyle="stop" operator="between" showDropDown="false" showErrorMessage="false" showInputMessage="false" sqref="G10" type="list">
      <formula1>ПРАЙС_ЛИСТИ</formula1>
      <formula2>0</formula2>
    </dataValidation>
    <dataValidation allowBlank="true" errorStyle="stop" operator="between" showDropDown="false" showErrorMessage="false" showInputMessage="false" sqref="D6:D65" type="list">
      <formula1>СПИСОК_СТАТУСІВ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P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B7" activeCellId="0" sqref="B7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52.86"/>
    <col collapsed="false" customWidth="true" hidden="false" outlineLevel="0" max="2" min="2" style="1" width="21.71"/>
    <col collapsed="false" customWidth="true" hidden="false" outlineLevel="0" max="3" min="3" style="1" width="13"/>
    <col collapsed="false" customWidth="true" hidden="false" outlineLevel="0" max="4" min="4" style="1" width="12.29"/>
    <col collapsed="false" customWidth="true" hidden="false" outlineLevel="0" max="5" min="5" style="1" width="13"/>
    <col collapsed="false" customWidth="true" hidden="false" outlineLevel="0" max="6" min="6" style="1" width="21.71"/>
    <col collapsed="false" customWidth="true" hidden="false" outlineLevel="0" max="7" min="7" style="1" width="12"/>
    <col collapsed="false" customWidth="true" hidden="false" outlineLevel="0" max="8" min="8" style="1" width="12.29"/>
    <col collapsed="false" customWidth="true" hidden="false" outlineLevel="0" max="9" min="9" style="1" width="11"/>
    <col collapsed="false" customWidth="true" hidden="false" outlineLevel="0" max="10" min="10" style="1" width="8.57"/>
    <col collapsed="false" customWidth="true" hidden="false" outlineLevel="0" max="11" min="11" style="1" width="46"/>
    <col collapsed="false" customWidth="true" hidden="false" outlineLevel="0" max="12" min="12" style="1" width="15"/>
    <col collapsed="false" customWidth="true" hidden="false" outlineLevel="0" max="13" min="13" style="1" width="3"/>
    <col collapsed="false" customWidth="true" hidden="true" outlineLevel="0" max="42" min="14" style="1" width="13"/>
  </cols>
  <sheetData>
    <row r="1" customFormat="false" ht="27.75" hidden="false" customHeight="true" outlineLevel="0" collapsed="false">
      <c r="A1" s="2" t="s">
        <v>140</v>
      </c>
      <c r="B1" s="2"/>
      <c r="C1" s="2"/>
      <c r="D1" s="2"/>
      <c r="E1" s="2"/>
      <c r="F1" s="2"/>
      <c r="G1" s="2"/>
      <c r="H1" s="2"/>
      <c r="I1" s="2"/>
      <c r="J1" s="110"/>
      <c r="K1" s="110"/>
      <c r="L1" s="110"/>
      <c r="M1" s="110"/>
      <c r="N1" s="111" t="s">
        <v>0</v>
      </c>
      <c r="O1" s="110"/>
      <c r="P1" s="112" t="s">
        <v>141</v>
      </c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2" t="s">
        <v>142</v>
      </c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</row>
    <row r="2" customFormat="false" ht="15" hidden="false" customHeight="true" outlineLevel="0" collapsed="false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3" t="n">
        <f aca="false">IFERROR(MATCH($B$3,ПЛ_РЯДОК,0),0)</f>
        <v>5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3" t="n">
        <f aca="false">IFERROR(MATCH($F$3,ПЛ_РЯДОК,0),0)</f>
        <v>9</v>
      </c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</row>
    <row r="3" customFormat="false" ht="15" hidden="false" customHeight="true" outlineLevel="0" collapsed="false">
      <c r="A3" s="114" t="s">
        <v>143</v>
      </c>
      <c r="B3" s="57" t="s">
        <v>41</v>
      </c>
      <c r="C3" s="114" t="s">
        <v>144</v>
      </c>
      <c r="D3" s="57" t="s">
        <v>64</v>
      </c>
      <c r="E3" s="114" t="s">
        <v>145</v>
      </c>
      <c r="F3" s="57" t="s">
        <v>47</v>
      </c>
      <c r="G3" s="114" t="s">
        <v>146</v>
      </c>
      <c r="H3" s="57" t="s">
        <v>64</v>
      </c>
      <c r="I3" s="110"/>
      <c r="J3" s="110"/>
      <c r="K3" s="115" t="s">
        <v>147</v>
      </c>
      <c r="L3" s="115"/>
      <c r="M3" s="115"/>
      <c r="N3" s="113" t="n">
        <f aca="false">IFERROR(MATCH(Прайс!$B$3,ПЛ_РЯДОК,0),0)</f>
        <v>51</v>
      </c>
      <c r="O3" s="116" t="s">
        <v>148</v>
      </c>
      <c r="P3" s="113" t="n">
        <f aca="false">IF($B$4="BBSPA",ЗНИЖКА_BBSPA,IFERROR(SUMIFS(ТАРИФИ_ЗНИЖКИ,ТАРИФИ_НАЗВИ,$D$3),0))</f>
        <v>0</v>
      </c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3" t="n">
        <f aca="false">IF($B$4="BBSPA",ЗНИЖКА_BBSPA,IFERROR(SUMIFS(ТАРИФИ_ЗНИЖКИ,ТАРИФИ_НАЗВИ,$H$3),0))</f>
        <v>0</v>
      </c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</row>
    <row r="4" customFormat="false" ht="15" hidden="false" customHeight="true" outlineLevel="0" collapsed="false">
      <c r="A4" s="114" t="s">
        <v>7</v>
      </c>
      <c r="B4" s="57" t="s">
        <v>8</v>
      </c>
      <c r="C4" s="114" t="s">
        <v>149</v>
      </c>
      <c r="D4" s="73" t="n">
        <v>2</v>
      </c>
      <c r="E4" s="114" t="s">
        <v>150</v>
      </c>
      <c r="F4" s="73" t="n">
        <v>0</v>
      </c>
      <c r="G4" s="110"/>
      <c r="H4" s="110"/>
      <c r="I4" s="110"/>
      <c r="J4" s="110"/>
      <c r="K4" s="117" t="s">
        <v>151</v>
      </c>
      <c r="L4" s="118" t="n">
        <f aca="false" t="array" ref="L4:L4">4-COUNT(INDEX(БАЗА_RO,1,$N$3),INDEX(БАЗА_RO,2,$N$3),INDEX(БАЗА_RO,3,$N$3),INDEX(БАЗА_RO,4,$N$3))</f>
        <v>0</v>
      </c>
      <c r="M4" s="110"/>
      <c r="N4" s="110"/>
      <c r="O4" s="110"/>
      <c r="P4" s="119" t="n">
        <f aca="false" t="array" ref="P4:P4">IF(P$2=0,0,IFERROR(INDEX(ПЕРЕМИКАЧІ,IF($B$4="BBSPA",2,1),P$2),0))</f>
        <v>0</v>
      </c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9" t="n">
        <f aca="false" t="array" ref="AD4:AD4">IF(AD$2=0,0,IFERROR(INDEX(ПЕРЕМИКАЧІ,IF($B$4="BBSPA",2,1),AD$2),0))</f>
        <v>0</v>
      </c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</row>
    <row r="5" customFormat="false" ht="33.75" hidden="false" customHeight="true" outlineLevel="0" collapsed="false">
      <c r="A5" s="120" t="s">
        <v>152</v>
      </c>
      <c r="B5" s="120"/>
      <c r="C5" s="120"/>
      <c r="D5" s="120"/>
      <c r="E5" s="120"/>
      <c r="F5" s="120"/>
      <c r="G5" s="120"/>
      <c r="H5" s="120"/>
      <c r="I5" s="120"/>
      <c r="J5" s="110"/>
      <c r="K5" s="117" t="s">
        <v>153</v>
      </c>
      <c r="L5" s="118" t="n">
        <f aca="false" t="array" ref="L5:L5">36-COUNT(INDEX(МНОЖНИКИ,0,$N$3))-COUNT(INDEX(МНОЖНИКИ,0,$N$3+1))</f>
        <v>0</v>
      </c>
      <c r="M5" s="110"/>
      <c r="N5" s="113" t="n">
        <f aca="false">IF(OR($B$4="BB",$B$4="BBSPA",$B$4="ROSPABB"),1,0)</f>
        <v>0</v>
      </c>
      <c r="O5" s="116" t="s">
        <v>17</v>
      </c>
      <c r="P5" s="119" t="n">
        <f aca="false" t="array" ref="P5:P5">IF(P$2=0,0,IFERROR(INDEX(ПЕРЕМИКАЧІ,3,P$2),0))</f>
        <v>0</v>
      </c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9" t="n">
        <f aca="false" t="array" ref="AD5:AD5">IF(AD$2=0,0,IFERROR(INDEX(ПЕРЕМИКАЧІ,3,AD$2),0))</f>
        <v>0</v>
      </c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</row>
    <row r="6" customFormat="false" ht="33.75" hidden="false" customHeight="true" outlineLevel="0" collapsed="false">
      <c r="A6" s="51" t="s">
        <v>14</v>
      </c>
      <c r="B6" s="51" t="s">
        <v>154</v>
      </c>
      <c r="C6" s="51" t="s">
        <v>155</v>
      </c>
      <c r="D6" s="51" t="s">
        <v>156</v>
      </c>
      <c r="E6" s="51" t="s">
        <v>157</v>
      </c>
      <c r="F6" s="51" t="s">
        <v>158</v>
      </c>
      <c r="G6" s="51" t="s">
        <v>159</v>
      </c>
      <c r="H6" s="51" t="s">
        <v>160</v>
      </c>
      <c r="I6" s="51" t="s">
        <v>161</v>
      </c>
      <c r="J6" s="110"/>
      <c r="K6" s="117" t="s">
        <v>162</v>
      </c>
      <c r="L6" s="118" t="n">
        <f aca="false" t="array" ref="L6:L6">4-COUNT(INDEX(ПАКЕТИ_ЦІНИ,1,$N$3),INDEX(ПАКЕТИ_ЦІНИ,1,$N$3+1),INDEX(ПАКЕТИ_ЦІНИ,2,$N$3),INDEX(ПАКЕТИ_ЦІНИ,2,$N$3+1))</f>
        <v>4</v>
      </c>
      <c r="M6" s="110"/>
      <c r="N6" s="113" t="str">
        <f aca="false">IF($N$5=0,"",IF($B$4="ROSPABB","BB",$B$4))</f>
        <v/>
      </c>
      <c r="O6" s="116" t="s">
        <v>19</v>
      </c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</row>
    <row r="7" customFormat="false" ht="15" hidden="false" customHeight="true" outlineLevel="0" collapsed="false">
      <c r="A7" s="121" t="str">
        <f aca="false">IF('Довідник категорій'!A5="","",'Довідник категорій'!A5)</f>
        <v>Міні-котедж</v>
      </c>
      <c r="B7" s="122" t="n">
        <f aca="false">IF(OR(AA7=0,($D$4+$F$4)=0,($D$4+$F$4)&gt;S7,($D$4+$F$4)&lt;U7),"",ROUND(P7*Q7*(1-P$3)/ОКРУГЛЕННЯ,0)*ОКРУГЛЕННЯ+MAX(0,($D$4+$F$4)-T7)*КРОК_ГОСТЯ*(1-P$3)+($D$4*V7+$F$4*W7)*(1-P$3*P$4)+Z7*(1-P$3*P$5))</f>
        <v>4998</v>
      </c>
      <c r="C7" s="122" t="n">
        <f aca="false">IF(OR(AB7=0,($D$4+$F$4)=0,($D$4+$F$4)&gt;S7,($D$4+$F$4)&lt;U7),"",ROUND(P7*Q7*R7*(1-P$3)/ОКРУГЛЕННЯ,0)*ОКРУГЛЕННЯ+MAX(0,($D$4+$F$4)-T7)*КРОК_ГОСТЯ*(1-P$3)+($D$4*X7+$F$4*Y7)*(1-P$3*P$4)+Z7*(1-P$3*P$5))</f>
        <v>5498</v>
      </c>
      <c r="D7" s="122" t="n">
        <f aca="false">IF(OR(AO7=0,($D$4+$F$4)=0,($D$4+$F$4)&gt;AG7,($D$4+$F$4)&lt;AI7),"",ROUND(AD7*AE7*(1-AD$3)/ОКРУГЛЕННЯ,0)*ОКРУГЛЕННЯ+MAX(0,($D$4+$F$4)-AH7)*КРОК_ГОСТЯ*(1-AD$3)+($D$4*AJ7+$F$4*AK7)*(1-AD$3*AD$4)+AN7*(1-AD$3*AD$5))</f>
        <v>5400</v>
      </c>
      <c r="E7" s="122" t="n">
        <f aca="false">IF(OR(AP7=0,($D$4+$F$4)=0,($D$4+$F$4)&gt;AG7,($D$4+$F$4)&lt;AI7),"",ROUND(AD7*AE7*AF7*(1-AD$3)/ОКРУГЛЕННЯ,0)*ОКРУГЛЕННЯ+MAX(0,($D$4+$F$4)-AH7)*КРОК_ГОСТЯ*(1-AD$3)+($D$4*AL7+$F$4*AM7)*(1-AD$3*AD$4)+AN7*(1-AD$3*AD$5))</f>
        <v>5940</v>
      </c>
      <c r="F7" s="122" t="n">
        <f aca="false">IF(OR(B7="",D7=""),"",D7-B7)</f>
        <v>402</v>
      </c>
      <c r="G7" s="122" t="n">
        <f aca="false">IF(OR(C7="",E7=""),"",E7-C7)</f>
        <v>442</v>
      </c>
      <c r="H7" s="123" t="n">
        <f aca="false">IF(OR(B7="",D7="",B7=0),"",D7/B7-1)</f>
        <v>0.0804321728691477</v>
      </c>
      <c r="I7" s="123" t="n">
        <f aca="false">IF(OR(C7="",E7="",C7=0),"",E7/C7-1)</f>
        <v>0.0803928701345944</v>
      </c>
      <c r="J7" s="110"/>
      <c r="K7" s="117" t="s">
        <v>163</v>
      </c>
      <c r="L7" s="118" t="n">
        <f aca="false" t="array" ref="L7:L7">2-COUNT(INDEX(SPA_ЦІНИ,1,$N$3),INDEX(SPA_ЦІНИ,2,$N$3))</f>
        <v>2</v>
      </c>
      <c r="M7" s="110"/>
      <c r="N7" s="113" t="n">
        <f aca="false">IF(OR($B$4="ROSPA",$B$4="ROSPABB"),1,0)</f>
        <v>0</v>
      </c>
      <c r="O7" s="116" t="s">
        <v>18</v>
      </c>
      <c r="P7" s="124" t="n">
        <f aca="false" t="array" ref="P7:P7">IF(OR(P$2=0,$A7=""),0,IFERROR(INDEX(БАЗА_RO,MATCH(INDEX(ДОВ_ОПОРА,MATCH($A7,КАТЕГОРІЇ,0)),БАЗА_КАТ,0),P$2),0))</f>
        <v>4998</v>
      </c>
      <c r="Q7" s="125" t="n">
        <f aca="false" t="array" ref="Q7:Q7">IF(OR(P$2=0,$A7=""),0,IFERROR(INDEX(МНОЖНИКИ,MATCH($A7,МНОЖ_КАТ,0),P$2),0))</f>
        <v>1</v>
      </c>
      <c r="R7" s="125" t="n">
        <f aca="false" t="array" ref="R7:R7">IF(OR(P$2=0,$A7=""),0,IFERROR(INDEX(МНОЖНИКИ,MATCH($A7,МНОЖ_КАТ,0),P$2+1),0))</f>
        <v>1.1</v>
      </c>
      <c r="S7" s="119" t="n">
        <f aca="false" t="array" ref="S7:S7">IF($A7="",0,IFERROR(INDEX(ДОВ_МАКС,MATCH($A7,КАТЕГОРІЇ,0)),0))</f>
        <v>3</v>
      </c>
      <c r="T7" s="119" t="n">
        <f aca="false" t="array" ref="T7:T7">IF($A7="",0,IFERROR(INDEX(ДОВ_ВКЛ,MATCH($A7,КАТЕГОРІЇ,0)),0))</f>
        <v>2</v>
      </c>
      <c r="U7" s="119" t="n">
        <f aca="false" t="array" ref="U7:U7">IF($A7="",0,IFERROR(INDEX(ДОВ_МІН,MATCH($A7,КАТЕГОРІЇ,0)),0))</f>
        <v>1</v>
      </c>
      <c r="V7" s="113" t="n">
        <f aca="false" t="array" ref="V7:V7">IF(OR(P$2=0,$N$5=0),0,IFERROR(INDEX(ПАКЕТИ_ЦІНИ,MATCH($N$6&amp;"|Будні",ПАКЕТИ_КЛЮЧ,0),P$2+0),0))</f>
        <v>0</v>
      </c>
      <c r="W7" s="113" t="n">
        <f aca="false" t="array" ref="W7:W7">IF(OR(P$2=0,$N$5=0),0,IFERROR(INDEX(ПАКЕТИ_ЦІНИ,MATCH($N$6&amp;"|Будні",ПАКЕТИ_КЛЮЧ,0),P$2+1),0))</f>
        <v>0</v>
      </c>
      <c r="X7" s="113" t="n">
        <f aca="false" t="array" ref="X7:X7">IF(OR(P$2=0,$N$5=0),0,IFERROR(INDEX(ПАКЕТИ_ЦІНИ,MATCH($N$6&amp;"|Вихідні",ПАКЕТИ_КЛЮЧ,0),P$2+0),0))</f>
        <v>0</v>
      </c>
      <c r="Y7" s="113" t="n">
        <f aca="false" t="array" ref="Y7:Y7">IF(OR(P$2=0,$N$5=0),0,IFERROR(INDEX(ПАКЕТИ_ЦІНИ,MATCH($N$6&amp;"|Вихідні",ПАКЕТИ_КЛЮЧ,0),P$2+1),0))</f>
        <v>0</v>
      </c>
      <c r="Z7" s="113" t="n">
        <f aca="false" t="array" ref="Z7:Z7">IF(OR(P$2=0,$N$7=0,$A7=""),0,IFERROR(INDEX(SPA_ЦІНИ,MATCH(INDEX(ДОВ_SPA,MATCH($A7,КАТЕГОРІЇ,0)),SPA_РОЛЬ,0),P$2),0))</f>
        <v>0</v>
      </c>
      <c r="AA7" s="113" t="n">
        <f aca="false">IF(OR($A7="",P7=0,Q7=0,AND($N$5=1,$D$4&gt;0,V7=0),AND($N$5=1,$F$4&gt;0,W7=0),AND($N$7=1,Z7=0)),0,1)</f>
        <v>1</v>
      </c>
      <c r="AB7" s="113" t="n">
        <f aca="false">IF(OR(AA7=0,R7=0,AND($N$5=1,$D$4&gt;0,X7=0),AND($N$5=1,$F$4&gt;0,Y7=0)),0,1)</f>
        <v>1</v>
      </c>
      <c r="AC7" s="110"/>
      <c r="AD7" s="124" t="n">
        <f aca="false" t="array" ref="AD7:AD7">IF(OR(AD$2=0,$A7=""),0,IFERROR(INDEX(БАЗА_RO,MATCH(INDEX(ДОВ_ОПОРА,MATCH($A7,КАТЕГОРІЇ,0)),БАЗА_КАТ,0),AD$2),0))</f>
        <v>5400</v>
      </c>
      <c r="AE7" s="125" t="n">
        <f aca="false" t="array" ref="AE7:AE7">IF(OR(AD$2=0,$A7=""),0,IFERROR(INDEX(МНОЖНИКИ,MATCH($A7,МНОЖ_КАТ,0),AD$2),0))</f>
        <v>1</v>
      </c>
      <c r="AF7" s="125" t="n">
        <f aca="false" t="array" ref="AF7:AF7">IF(OR(AD$2=0,$A7=""),0,IFERROR(INDEX(МНОЖНИКИ,MATCH($A7,МНОЖ_КАТ,0),AD$2+1),0))</f>
        <v>1.1</v>
      </c>
      <c r="AG7" s="119" t="n">
        <f aca="false" t="array" ref="AG7:AG7">IF($A7="",0,IFERROR(INDEX(ДОВ_МАКС,MATCH($A7,КАТЕГОРІЇ,0)),0))</f>
        <v>3</v>
      </c>
      <c r="AH7" s="119" t="n">
        <f aca="false" t="array" ref="AH7:AH7">IF($A7="",0,IFERROR(INDEX(ДОВ_ВКЛ,MATCH($A7,КАТЕГОРІЇ,0)),0))</f>
        <v>2</v>
      </c>
      <c r="AI7" s="119" t="n">
        <f aca="false" t="array" ref="AI7:AI7">IF($A7="",0,IFERROR(INDEX(ДОВ_МІН,MATCH($A7,КАТЕГОРІЇ,0)),0))</f>
        <v>1</v>
      </c>
      <c r="AJ7" s="113" t="n">
        <f aca="false" t="array" ref="AJ7:AJ7">IF(OR(AD$2=0,$N$5=0),0,IFERROR(INDEX(ПАКЕТИ_ЦІНИ,MATCH($N$6&amp;"|Будні",ПАКЕТИ_КЛЮЧ,0),AD$2+0),0))</f>
        <v>0</v>
      </c>
      <c r="AK7" s="113" t="n">
        <f aca="false" t="array" ref="AK7:AK7">IF(OR(AD$2=0,$N$5=0),0,IFERROR(INDEX(ПАКЕТИ_ЦІНИ,MATCH($N$6&amp;"|Будні",ПАКЕТИ_КЛЮЧ,0),AD$2+1),0))</f>
        <v>0</v>
      </c>
      <c r="AL7" s="113" t="n">
        <f aca="false" t="array" ref="AL7:AL7">IF(OR(AD$2=0,$N$5=0),0,IFERROR(INDEX(ПАКЕТИ_ЦІНИ,MATCH($N$6&amp;"|Вихідні",ПАКЕТИ_КЛЮЧ,0),AD$2+0),0))</f>
        <v>0</v>
      </c>
      <c r="AM7" s="113" t="n">
        <f aca="false" t="array" ref="AM7:AM7">IF(OR(AD$2=0,$N$5=0),0,IFERROR(INDEX(ПАКЕТИ_ЦІНИ,MATCH($N$6&amp;"|Вихідні",ПАКЕТИ_КЛЮЧ,0),AD$2+1),0))</f>
        <v>0</v>
      </c>
      <c r="AN7" s="113" t="n">
        <f aca="false" t="array" ref="AN7:AN7">IF(OR(AD$2=0,$N$7=0,$A7=""),0,IFERROR(INDEX(SPA_ЦІНИ,MATCH(INDEX(ДОВ_SPA,MATCH($A7,КАТЕГОРІЇ,0)),SPA_РОЛЬ,0),AD$2),0))</f>
        <v>0</v>
      </c>
      <c r="AO7" s="113" t="n">
        <f aca="false">IF(OR($A7="",AD7=0,AE7=0,AND($N$5=1,$D$4&gt;0,AJ7=0),AND($N$5=1,$F$4&gt;0,AK7=0),AND($N$7=1,AN7=0)),0,1)</f>
        <v>1</v>
      </c>
      <c r="AP7" s="113" t="n">
        <f aca="false">IF(OR(AO7=0,AF7=0,AND($N$5=1,$D$4&gt;0,AL7=0),AND($N$5=1,$F$4&gt;0,AM7=0)),0,1)</f>
        <v>1</v>
      </c>
    </row>
    <row r="8" customFormat="false" ht="15" hidden="false" customHeight="true" outlineLevel="0" collapsed="false">
      <c r="A8" s="126" t="str">
        <f aca="false">IF('Довідник категорій'!A6="","",'Довідник категорій'!A6)</f>
        <v>Міні-котедж East Hill</v>
      </c>
      <c r="B8" s="127" t="n">
        <f aca="false">IF(OR(AA8=0,($D$4+$F$4)=0,($D$4+$F$4)&gt;S8,($D$4+$F$4)&lt;U8),"",ROUND(P8*Q8*(1-P$3)/ОКРУГЛЕННЯ,0)*ОКРУГЛЕННЯ+MAX(0,($D$4+$F$4)-T8)*КРОК_ГОСТЯ*(1-P$3)+($D$4*V8+$F$4*W8)*(1-P$3*P$4)+Z8*(1-P$3*P$5))</f>
        <v>5248</v>
      </c>
      <c r="C8" s="127" t="n">
        <f aca="false">IF(OR(AB8=0,($D$4+$F$4)=0,($D$4+$F$4)&gt;S8,($D$4+$F$4)&lt;U8),"",ROUND(P8*Q8*R8*(1-P$3)/ОКРУГЛЕННЯ,0)*ОКРУГЛЕННЯ+MAX(0,($D$4+$F$4)-T8)*КРОК_ГОСТЯ*(1-P$3)+($D$4*X8+$F$4*Y8)*(1-P$3*P$4)+Z8*(1-P$3*P$5))</f>
        <v>5720</v>
      </c>
      <c r="D8" s="127" t="n">
        <f aca="false">IF(OR(AO8=0,($D$4+$F$4)=0,($D$4+$F$4)&gt;AG8,($D$4+$F$4)&lt;AI8),"",ROUND(AD8*AE8*(1-AD$3)/ОКРУГЛЕННЯ,0)*ОКРУГЛЕННЯ+MAX(0,($D$4+$F$4)-AH8)*КРОК_ГОСТЯ*(1-AD$3)+($D$4*AJ8+$F$4*AK8)*(1-AD$3*AD$4)+AN8*(1-AD$3*AD$5))</f>
        <v>5832</v>
      </c>
      <c r="E8" s="127" t="n">
        <f aca="false">IF(OR(AP8=0,($D$4+$F$4)=0,($D$4+$F$4)&gt;AG8,($D$4+$F$4)&lt;AI8),"",ROUND(AD8*AE8*AF8*(1-AD$3)/ОКРУГЛЕННЯ,0)*ОКРУГЛЕННЯ+MAX(0,($D$4+$F$4)-AH8)*КРОК_ГОСТЯ*(1-AD$3)+($D$4*AL8+$F$4*AM8)*(1-AD$3*AD$4)+AN8*(1-AD$3*AD$5))</f>
        <v>6357</v>
      </c>
      <c r="F8" s="127" t="n">
        <f aca="false">IF(OR(B8="",D8=""),"",D8-B8)</f>
        <v>584</v>
      </c>
      <c r="G8" s="127" t="n">
        <f aca="false">IF(OR(C8="",E8=""),"",E8-C8)</f>
        <v>637</v>
      </c>
      <c r="H8" s="128" t="n">
        <f aca="false">IF(OR(B8="",D8="",B8=0),"",D8/B8-1)</f>
        <v>0.111280487804878</v>
      </c>
      <c r="I8" s="128" t="n">
        <f aca="false">IF(OR(C8="",E8="",C8=0),"",E8/C8-1)</f>
        <v>0.111363636363636</v>
      </c>
      <c r="J8" s="110"/>
      <c r="K8" s="117" t="s">
        <v>164</v>
      </c>
      <c r="L8" s="118" t="n">
        <f aca="false">SUMPRODUCT((ПРАЙС_ЛИСТИ&lt;&gt;"")*(COUNTIF(ПРАЙС_ЛИСТИ,ПРАЙС_ЛИСТИ&amp;"")&gt;1))</f>
        <v>0</v>
      </c>
      <c r="M8" s="110"/>
      <c r="N8" s="110"/>
      <c r="O8" s="110"/>
      <c r="P8" s="124" t="n">
        <f aca="false" t="array" ref="P8:P8">IF(OR(P$2=0,$A8=""),0,IFERROR(INDEX(БАЗА_RO,MATCH(INDEX(ДОВ_ОПОРА,MATCH($A8,КАТЕГОРІЇ,0)),БАЗА_КАТ,0),P$2),0))</f>
        <v>4998</v>
      </c>
      <c r="Q8" s="125" t="n">
        <f aca="false" t="array" ref="Q8:Q8">IF(OR(P$2=0,$A8=""),0,IFERROR(INDEX(МНОЖНИКИ,MATCH($A8,МНОЖ_КАТ,0),P$2),0))</f>
        <v>1.05</v>
      </c>
      <c r="R8" s="125" t="n">
        <f aca="false" t="array" ref="R8:R8">IF(OR(P$2=0,$A8=""),0,IFERROR(INDEX(МНОЖНИКИ,MATCH($A8,МНОЖ_КАТ,0),P$2+1),0))</f>
        <v>1.09</v>
      </c>
      <c r="S8" s="119" t="n">
        <f aca="false" t="array" ref="S8:S8">IF($A8="",0,IFERROR(INDEX(ДОВ_МАКС,MATCH($A8,КАТЕГОРІЇ,0)),0))</f>
        <v>3</v>
      </c>
      <c r="T8" s="119" t="n">
        <f aca="false" t="array" ref="T8:T8">IF($A8="",0,IFERROR(INDEX(ДОВ_ВКЛ,MATCH($A8,КАТЕГОРІЇ,0)),0))</f>
        <v>2</v>
      </c>
      <c r="U8" s="119" t="n">
        <f aca="false" t="array" ref="U8:U8">IF($A8="",0,IFERROR(INDEX(ДОВ_МІН,MATCH($A8,КАТЕГОРІЇ,0)),0))</f>
        <v>1</v>
      </c>
      <c r="V8" s="113" t="n">
        <f aca="false" t="array" ref="V8:V8">IF(OR(P$2=0,$N$5=0),0,IFERROR(INDEX(ПАКЕТИ_ЦІНИ,MATCH($N$6&amp;"|Будні",ПАКЕТИ_КЛЮЧ,0),P$2+0),0))</f>
        <v>0</v>
      </c>
      <c r="W8" s="113" t="n">
        <f aca="false" t="array" ref="W8:W8">IF(OR(P$2=0,$N$5=0),0,IFERROR(INDEX(ПАКЕТИ_ЦІНИ,MATCH($N$6&amp;"|Будні",ПАКЕТИ_КЛЮЧ,0),P$2+1),0))</f>
        <v>0</v>
      </c>
      <c r="X8" s="113" t="n">
        <f aca="false" t="array" ref="X8:X8">IF(OR(P$2=0,$N$5=0),0,IFERROR(INDEX(ПАКЕТИ_ЦІНИ,MATCH($N$6&amp;"|Вихідні",ПАКЕТИ_КЛЮЧ,0),P$2+0),0))</f>
        <v>0</v>
      </c>
      <c r="Y8" s="113" t="n">
        <f aca="false" t="array" ref="Y8:Y8">IF(OR(P$2=0,$N$5=0),0,IFERROR(INDEX(ПАКЕТИ_ЦІНИ,MATCH($N$6&amp;"|Вихідні",ПАКЕТИ_КЛЮЧ,0),P$2+1),0))</f>
        <v>0</v>
      </c>
      <c r="Z8" s="113" t="n">
        <f aca="false" t="array" ref="Z8:Z8">IF(OR(P$2=0,$N$7=0,$A8=""),0,IFERROR(INDEX(SPA_ЦІНИ,MATCH(INDEX(ДОВ_SPA,MATCH($A8,КАТЕГОРІЇ,0)),SPA_РОЛЬ,0),P$2),0))</f>
        <v>0</v>
      </c>
      <c r="AA8" s="113" t="n">
        <f aca="false">IF(OR($A8="",P8=0,Q8=0,AND($N$5=1,$D$4&gt;0,V8=0),AND($N$5=1,$F$4&gt;0,W8=0),AND($N$7=1,Z8=0)),0,1)</f>
        <v>1</v>
      </c>
      <c r="AB8" s="113" t="n">
        <f aca="false">IF(OR(AA8=0,R8=0,AND($N$5=1,$D$4&gt;0,X8=0),AND($N$5=1,$F$4&gt;0,Y8=0)),0,1)</f>
        <v>1</v>
      </c>
      <c r="AC8" s="110"/>
      <c r="AD8" s="124" t="n">
        <f aca="false" t="array" ref="AD8:AD8">IF(OR(AD$2=0,$A8=""),0,IFERROR(INDEX(БАЗА_RO,MATCH(INDEX(ДОВ_ОПОРА,MATCH($A8,КАТЕГОРІЇ,0)),БАЗА_КАТ,0),AD$2),0))</f>
        <v>5400</v>
      </c>
      <c r="AE8" s="125" t="n">
        <f aca="false" t="array" ref="AE8:AE8">IF(OR(AD$2=0,$A8=""),0,IFERROR(INDEX(МНОЖНИКИ,MATCH($A8,МНОЖ_КАТ,0),AD$2),0))</f>
        <v>1.08</v>
      </c>
      <c r="AF8" s="125" t="n">
        <f aca="false" t="array" ref="AF8:AF8">IF(OR(AD$2=0,$A8=""),0,IFERROR(INDEX(МНОЖНИКИ,MATCH($A8,МНОЖ_КАТ,0),AD$2+1),0))</f>
        <v>1.09</v>
      </c>
      <c r="AG8" s="119" t="n">
        <f aca="false" t="array" ref="AG8:AG8">IF($A8="",0,IFERROR(INDEX(ДОВ_МАКС,MATCH($A8,КАТЕГОРІЇ,0)),0))</f>
        <v>3</v>
      </c>
      <c r="AH8" s="119" t="n">
        <f aca="false" t="array" ref="AH8:AH8">IF($A8="",0,IFERROR(INDEX(ДОВ_ВКЛ,MATCH($A8,КАТЕГОРІЇ,0)),0))</f>
        <v>2</v>
      </c>
      <c r="AI8" s="119" t="n">
        <f aca="false" t="array" ref="AI8:AI8">IF($A8="",0,IFERROR(INDEX(ДОВ_МІН,MATCH($A8,КАТЕГОРІЇ,0)),0))</f>
        <v>1</v>
      </c>
      <c r="AJ8" s="113" t="n">
        <f aca="false" t="array" ref="AJ8:AJ8">IF(OR(AD$2=0,$N$5=0),0,IFERROR(INDEX(ПАКЕТИ_ЦІНИ,MATCH($N$6&amp;"|Будні",ПАКЕТИ_КЛЮЧ,0),AD$2+0),0))</f>
        <v>0</v>
      </c>
      <c r="AK8" s="113" t="n">
        <f aca="false" t="array" ref="AK8:AK8">IF(OR(AD$2=0,$N$5=0),0,IFERROR(INDEX(ПАКЕТИ_ЦІНИ,MATCH($N$6&amp;"|Будні",ПАКЕТИ_КЛЮЧ,0),AD$2+1),0))</f>
        <v>0</v>
      </c>
      <c r="AL8" s="113" t="n">
        <f aca="false" t="array" ref="AL8:AL8">IF(OR(AD$2=0,$N$5=0),0,IFERROR(INDEX(ПАКЕТИ_ЦІНИ,MATCH($N$6&amp;"|Вихідні",ПАКЕТИ_КЛЮЧ,0),AD$2+0),0))</f>
        <v>0</v>
      </c>
      <c r="AM8" s="113" t="n">
        <f aca="false" t="array" ref="AM8:AM8">IF(OR(AD$2=0,$N$5=0),0,IFERROR(INDEX(ПАКЕТИ_ЦІНИ,MATCH($N$6&amp;"|Вихідні",ПАКЕТИ_КЛЮЧ,0),AD$2+1),0))</f>
        <v>0</v>
      </c>
      <c r="AN8" s="113" t="n">
        <f aca="false" t="array" ref="AN8:AN8">IF(OR(AD$2=0,$N$7=0,$A8=""),0,IFERROR(INDEX(SPA_ЦІНИ,MATCH(INDEX(ДОВ_SPA,MATCH($A8,КАТЕГОРІЇ,0)),SPA_РОЛЬ,0),AD$2),0))</f>
        <v>0</v>
      </c>
      <c r="AO8" s="113" t="n">
        <f aca="false">IF(OR($A8="",AD8=0,AE8=0,AND($N$5=1,$D$4&gt;0,AJ8=0),AND($N$5=1,$F$4&gt;0,AK8=0),AND($N$7=1,AN8=0)),0,1)</f>
        <v>1</v>
      </c>
      <c r="AP8" s="113" t="n">
        <f aca="false">IF(OR(AO8=0,AF8=0,AND($N$5=1,$D$4&gt;0,AL8=0),AND($N$5=1,$F$4&gt;0,AM8=0)),0,1)</f>
        <v>1</v>
      </c>
    </row>
    <row r="9" customFormat="false" ht="15" hidden="false" customHeight="true" outlineLevel="0" collapsed="false">
      <c r="A9" s="121" t="str">
        <f aca="false">IF('Довідник категорій'!A7="","",'Довідник категорій'!A7)</f>
        <v>Котедж комфорт класу</v>
      </c>
      <c r="B9" s="122" t="n">
        <f aca="false">IF(OR(AA9=0,($D$4+$F$4)=0,($D$4+$F$4)&gt;S9,($D$4+$F$4)&lt;U9),"",ROUND(P9*Q9*(1-P$3)/ОКРУГЛЕННЯ,0)*ОКРУГЛЕННЯ+MAX(0,($D$4+$F$4)-T9)*КРОК_ГОСТЯ*(1-P$3)+($D$4*V9+$F$4*W9)*(1-P$3*P$4)+Z9*(1-P$3*P$5))</f>
        <v>6580</v>
      </c>
      <c r="C9" s="122" t="n">
        <f aca="false">IF(OR(AB9=0,($D$4+$F$4)=0,($D$4+$F$4)&gt;S9,($D$4+$F$4)&lt;U9),"",ROUND(P9*Q9*R9*(1-P$3)/ОКРУГЛЕННЯ,0)*ОКРУГЛЕННЯ+MAX(0,($D$4+$F$4)-T9)*КРОК_ГОСТЯ*(1-P$3)+($D$4*X9+$F$4*Y9)*(1-P$3*P$4)+Z9*(1-P$3*P$5))</f>
        <v>7238</v>
      </c>
      <c r="D9" s="122" t="n">
        <f aca="false">IF(OR(AO9=0,($D$4+$F$4)=0,($D$4+$F$4)&gt;AG9,($D$4+$F$4)&lt;AI9),"",ROUND(AD9*AE9*(1-AD$3)/ОКРУГЛЕННЯ,0)*ОКРУГЛЕННЯ+MAX(0,($D$4+$F$4)-AH9)*КРОК_ГОСТЯ*(1-AD$3)+($D$4*AJ9+$F$4*AK9)*(1-AD$3*AD$4)+AN9*(1-AD$3*AD$5))</f>
        <v>7100</v>
      </c>
      <c r="E9" s="122" t="n">
        <f aca="false">IF(OR(AP9=0,($D$4+$F$4)=0,($D$4+$F$4)&gt;AG9,($D$4+$F$4)&lt;AI9),"",ROUND(AD9*AE9*AF9*(1-AD$3)/ОКРУГЛЕННЯ,0)*ОКРУГЛЕННЯ+MAX(0,($D$4+$F$4)-AH9)*КРОК_ГОСТЯ*(1-AD$3)+($D$4*AL9+$F$4*AM9)*(1-AD$3*AD$4)+AN9*(1-AD$3*AD$5))</f>
        <v>7739</v>
      </c>
      <c r="F9" s="122" t="n">
        <f aca="false">IF(OR(B9="",D9=""),"",D9-B9)</f>
        <v>520</v>
      </c>
      <c r="G9" s="122" t="n">
        <f aca="false">IF(OR(C9="",E9=""),"",E9-C9)</f>
        <v>501</v>
      </c>
      <c r="H9" s="123" t="n">
        <f aca="false">IF(OR(B9="",D9="",B9=0),"",D9/B9-1)</f>
        <v>0.0790273556231003</v>
      </c>
      <c r="I9" s="123" t="n">
        <f aca="false">IF(OR(C9="",E9="",C9=0),"",E9/C9-1)</f>
        <v>0.0692180160265268</v>
      </c>
      <c r="J9" s="110"/>
      <c r="K9" s="110"/>
      <c r="L9" s="110"/>
      <c r="M9" s="110"/>
      <c r="N9" s="110"/>
      <c r="O9" s="110"/>
      <c r="P9" s="124" t="n">
        <f aca="false" t="array" ref="P9:P9">IF(OR(P$2=0,$A9=""),0,IFERROR(INDEX(БАЗА_RO,MATCH(INDEX(ДОВ_ОПОРА,MATCH($A9,КАТЕГОРІЇ,0)),БАЗА_КАТ,0),P$2),0))</f>
        <v>6580</v>
      </c>
      <c r="Q9" s="125" t="n">
        <f aca="false" t="array" ref="Q9:Q9">IF(OR(P$2=0,$A9=""),0,IFERROR(INDEX(МНОЖНИКИ,MATCH($A9,МНОЖ_КАТ,0),P$2),0))</f>
        <v>1</v>
      </c>
      <c r="R9" s="125" t="n">
        <f aca="false" t="array" ref="R9:R9">IF(OR(P$2=0,$A9=""),0,IFERROR(INDEX(МНОЖНИКИ,MATCH($A9,МНОЖ_КАТ,0),P$2+1),0))</f>
        <v>1.1</v>
      </c>
      <c r="S9" s="119" t="n">
        <f aca="false" t="array" ref="S9:S9">IF($A9="",0,IFERROR(INDEX(ДОВ_МАКС,MATCH($A9,КАТЕГОРІЇ,0)),0))</f>
        <v>6</v>
      </c>
      <c r="T9" s="119" t="n">
        <f aca="false" t="array" ref="T9:T9">IF($A9="",0,IFERROR(INDEX(ДОВ_ВКЛ,MATCH($A9,КАТЕГОРІЇ,0)),0))</f>
        <v>2</v>
      </c>
      <c r="U9" s="119" t="n">
        <f aca="false" t="array" ref="U9:U9">IF($A9="",0,IFERROR(INDEX(ДОВ_МІН,MATCH($A9,КАТЕГОРІЇ,0)),0))</f>
        <v>1</v>
      </c>
      <c r="V9" s="113" t="n">
        <f aca="false" t="array" ref="V9:V9">IF(OR(P$2=0,$N$5=0),0,IFERROR(INDEX(ПАКЕТИ_ЦІНИ,MATCH($N$6&amp;"|Будні",ПАКЕТИ_КЛЮЧ,0),P$2+0),0))</f>
        <v>0</v>
      </c>
      <c r="W9" s="113" t="n">
        <f aca="false" t="array" ref="W9:W9">IF(OR(P$2=0,$N$5=0),0,IFERROR(INDEX(ПАКЕТИ_ЦІНИ,MATCH($N$6&amp;"|Будні",ПАКЕТИ_КЛЮЧ,0),P$2+1),0))</f>
        <v>0</v>
      </c>
      <c r="X9" s="113" t="n">
        <f aca="false" t="array" ref="X9:X9">IF(OR(P$2=0,$N$5=0),0,IFERROR(INDEX(ПАКЕТИ_ЦІНИ,MATCH($N$6&amp;"|Вихідні",ПАКЕТИ_КЛЮЧ,0),P$2+0),0))</f>
        <v>0</v>
      </c>
      <c r="Y9" s="113" t="n">
        <f aca="false" t="array" ref="Y9:Y9">IF(OR(P$2=0,$N$5=0),0,IFERROR(INDEX(ПАКЕТИ_ЦІНИ,MATCH($N$6&amp;"|Вихідні",ПАКЕТИ_КЛЮЧ,0),P$2+1),0))</f>
        <v>0</v>
      </c>
      <c r="Z9" s="113" t="n">
        <f aca="false" t="array" ref="Z9:Z9">IF(OR(P$2=0,$N$7=0,$A9=""),0,IFERROR(INDEX(SPA_ЦІНИ,MATCH(INDEX(ДОВ_SPA,MATCH($A9,КАТЕГОРІЇ,0)),SPA_РОЛЬ,0),P$2),0))</f>
        <v>0</v>
      </c>
      <c r="AA9" s="113" t="n">
        <f aca="false">IF(OR($A9="",P9=0,Q9=0,AND($N$5=1,$D$4&gt;0,V9=0),AND($N$5=1,$F$4&gt;0,W9=0),AND($N$7=1,Z9=0)),0,1)</f>
        <v>1</v>
      </c>
      <c r="AB9" s="113" t="n">
        <f aca="false">IF(OR(AA9=0,R9=0,AND($N$5=1,$D$4&gt;0,X9=0),AND($N$5=1,$F$4&gt;0,Y9=0)),0,1)</f>
        <v>1</v>
      </c>
      <c r="AC9" s="110"/>
      <c r="AD9" s="124" t="n">
        <f aca="false" t="array" ref="AD9:AD9">IF(OR(AD$2=0,$A9=""),0,IFERROR(INDEX(БАЗА_RO,MATCH(INDEX(ДОВ_ОПОРА,MATCH($A9,КАТЕГОРІЇ,0)),БАЗА_КАТ,0),AD$2),0))</f>
        <v>7100</v>
      </c>
      <c r="AE9" s="125" t="n">
        <f aca="false" t="array" ref="AE9:AE9">IF(OR(AD$2=0,$A9=""),0,IFERROR(INDEX(МНОЖНИКИ,MATCH($A9,МНОЖ_КАТ,0),AD$2),0))</f>
        <v>1</v>
      </c>
      <c r="AF9" s="125" t="n">
        <f aca="false" t="array" ref="AF9:AF9">IF(OR(AD$2=0,$A9=""),0,IFERROR(INDEX(МНОЖНИКИ,MATCH($A9,МНОЖ_КАТ,0),AD$2+1),0))</f>
        <v>1.09</v>
      </c>
      <c r="AG9" s="119" t="n">
        <f aca="false" t="array" ref="AG9:AG9">IF($A9="",0,IFERROR(INDEX(ДОВ_МАКС,MATCH($A9,КАТЕГОРІЇ,0)),0))</f>
        <v>6</v>
      </c>
      <c r="AH9" s="119" t="n">
        <f aca="false" t="array" ref="AH9:AH9">IF($A9="",0,IFERROR(INDEX(ДОВ_ВКЛ,MATCH($A9,КАТЕГОРІЇ,0)),0))</f>
        <v>2</v>
      </c>
      <c r="AI9" s="119" t="n">
        <f aca="false" t="array" ref="AI9:AI9">IF($A9="",0,IFERROR(INDEX(ДОВ_МІН,MATCH($A9,КАТЕГОРІЇ,0)),0))</f>
        <v>1</v>
      </c>
      <c r="AJ9" s="113" t="n">
        <f aca="false" t="array" ref="AJ9:AJ9">IF(OR(AD$2=0,$N$5=0),0,IFERROR(INDEX(ПАКЕТИ_ЦІНИ,MATCH($N$6&amp;"|Будні",ПАКЕТИ_КЛЮЧ,0),AD$2+0),0))</f>
        <v>0</v>
      </c>
      <c r="AK9" s="113" t="n">
        <f aca="false" t="array" ref="AK9:AK9">IF(OR(AD$2=0,$N$5=0),0,IFERROR(INDEX(ПАКЕТИ_ЦІНИ,MATCH($N$6&amp;"|Будні",ПАКЕТИ_КЛЮЧ,0),AD$2+1),0))</f>
        <v>0</v>
      </c>
      <c r="AL9" s="113" t="n">
        <f aca="false" t="array" ref="AL9:AL9">IF(OR(AD$2=0,$N$5=0),0,IFERROR(INDEX(ПАКЕТИ_ЦІНИ,MATCH($N$6&amp;"|Вихідні",ПАКЕТИ_КЛЮЧ,0),AD$2+0),0))</f>
        <v>0</v>
      </c>
      <c r="AM9" s="113" t="n">
        <f aca="false" t="array" ref="AM9:AM9">IF(OR(AD$2=0,$N$5=0),0,IFERROR(INDEX(ПАКЕТИ_ЦІНИ,MATCH($N$6&amp;"|Вихідні",ПАКЕТИ_КЛЮЧ,0),AD$2+1),0))</f>
        <v>0</v>
      </c>
      <c r="AN9" s="113" t="n">
        <f aca="false" t="array" ref="AN9:AN9">IF(OR(AD$2=0,$N$7=0,$A9=""),0,IFERROR(INDEX(SPA_ЦІНИ,MATCH(INDEX(ДОВ_SPA,MATCH($A9,КАТЕГОРІЇ,0)),SPA_РОЛЬ,0),AD$2),0))</f>
        <v>0</v>
      </c>
      <c r="AO9" s="113" t="n">
        <f aca="false">IF(OR($A9="",AD9=0,AE9=0,AND($N$5=1,$D$4&gt;0,AJ9=0),AND($N$5=1,$F$4&gt;0,AK9=0),AND($N$7=1,AN9=0)),0,1)</f>
        <v>1</v>
      </c>
      <c r="AP9" s="113" t="n">
        <f aca="false">IF(OR(AO9=0,AF9=0,AND($N$5=1,$D$4&gt;0,AL9=0),AND($N$5=1,$F$4&gt;0,AM9=0)),0,1)</f>
        <v>1</v>
      </c>
    </row>
    <row r="10" customFormat="false" ht="15" hidden="false" customHeight="true" outlineLevel="0" collapsed="false">
      <c r="A10" s="126" t="str">
        <f aca="false">IF('Довідник категорій'!A8="","",'Довідник категорій'!A8)</f>
        <v>Шале преміум</v>
      </c>
      <c r="B10" s="127" t="n">
        <f aca="false">IF(OR(AA10=0,($D$4+$F$4)=0,($D$4+$F$4)&gt;S10,($D$4+$F$4)&lt;U10),"",ROUND(P10*Q10*(1-P$3)/ОКРУГЛЕННЯ,0)*ОКРУГЛЕННЯ+MAX(0,($D$4+$F$4)-T10)*КРОК_ГОСТЯ*(1-P$3)+($D$4*V10+$F$4*W10)*(1-P$3*P$4)+Z10*(1-P$3*P$5))</f>
        <v>6909</v>
      </c>
      <c r="C10" s="127" t="n">
        <f aca="false">IF(OR(AB10=0,($D$4+$F$4)=0,($D$4+$F$4)&gt;S10,($D$4+$F$4)&lt;U10),"",ROUND(P10*Q10*R10*(1-P$3)/ОКРУГЛЕННЯ,0)*ОКРУГЛЕННЯ+MAX(0,($D$4+$F$4)-T10)*КРОК_ГОСТЯ*(1-P$3)+($D$4*X10+$F$4*Y10)*(1-P$3*P$4)+Z10*(1-P$3*P$5))</f>
        <v>7462</v>
      </c>
      <c r="D10" s="127" t="n">
        <f aca="false">IF(OR(AO10=0,($D$4+$F$4)=0,($D$4+$F$4)&gt;AG10,($D$4+$F$4)&lt;AI10),"",ROUND(AD10*AE10*(1-AD$3)/ОКРУГЛЕННЯ,0)*ОКРУГЛЕННЯ+MAX(0,($D$4+$F$4)-AH10)*КРОК_ГОСТЯ*(1-AD$3)+($D$4*AJ10+$F$4*AK10)*(1-AD$3*AD$4)+AN10*(1-AD$3*AD$5))</f>
        <v>7526</v>
      </c>
      <c r="E10" s="127" t="n">
        <f aca="false">IF(OR(AP10=0,($D$4+$F$4)=0,($D$4+$F$4)&gt;AG10,($D$4+$F$4)&lt;AI10),"",ROUND(AD10*AE10*AF10*(1-AD$3)/ОКРУГЛЕННЯ,0)*ОКРУГЛЕННЯ+MAX(0,($D$4+$F$4)-AH10)*КРОК_ГОСТЯ*(1-AD$3)+($D$4*AL10+$F$4*AM10)*(1-AD$3*AD$4)+AN10*(1-AD$3*AD$5))</f>
        <v>8128</v>
      </c>
      <c r="F10" s="127" t="n">
        <f aca="false">IF(OR(B10="",D10=""),"",D10-B10)</f>
        <v>617</v>
      </c>
      <c r="G10" s="127" t="n">
        <f aca="false">IF(OR(C10="",E10=""),"",E10-C10)</f>
        <v>666</v>
      </c>
      <c r="H10" s="128" t="n">
        <f aca="false">IF(OR(B10="",D10="",B10=0),"",D10/B10-1)</f>
        <v>0.0893038066290346</v>
      </c>
      <c r="I10" s="128" t="n">
        <f aca="false">IF(OR(C10="",E10="",C10=0),"",E10/C10-1)</f>
        <v>0.0892522112034306</v>
      </c>
      <c r="J10" s="110"/>
      <c r="K10" s="129" t="str">
        <f aca="false">IF(SUM($L$4:$L$8)=0,"ГОТОВО ДО ПУБЛІКАЦІЇ","ПОТРІБНЕ ЗАПОВНЕННЯ")</f>
        <v>ПОТРІБНЕ ЗАПОВНЕННЯ</v>
      </c>
      <c r="L10" s="129"/>
      <c r="M10" s="110"/>
      <c r="N10" s="110"/>
      <c r="O10" s="110"/>
      <c r="P10" s="124" t="n">
        <f aca="false" t="array" ref="P10:P10">IF(OR(P$2=0,$A10=""),0,IFERROR(INDEX(БАЗА_RO,MATCH(INDEX(ДОВ_ОПОРА,MATCH($A10,КАТЕГОРІЇ,0)),БАЗА_КАТ,0),P$2),0))</f>
        <v>6580</v>
      </c>
      <c r="Q10" s="125" t="n">
        <f aca="false" t="array" ref="Q10:Q10">IF(OR(P$2=0,$A10=""),0,IFERROR(INDEX(МНОЖНИКИ,MATCH($A10,МНОЖ_КАТ,0),P$2),0))</f>
        <v>1.05</v>
      </c>
      <c r="R10" s="125" t="n">
        <f aca="false" t="array" ref="R10:R10">IF(OR(P$2=0,$A10=""),0,IFERROR(INDEX(МНОЖНИКИ,MATCH($A10,МНОЖ_КАТ,0),P$2+1),0))</f>
        <v>1.08</v>
      </c>
      <c r="S10" s="119" t="n">
        <f aca="false" t="array" ref="S10:S10">IF($A10="",0,IFERROR(INDEX(ДОВ_МАКС,MATCH($A10,КАТЕГОРІЇ,0)),0))</f>
        <v>6</v>
      </c>
      <c r="T10" s="119" t="n">
        <f aca="false" t="array" ref="T10:T10">IF($A10="",0,IFERROR(INDEX(ДОВ_ВКЛ,MATCH($A10,КАТЕГОРІЇ,0)),0))</f>
        <v>2</v>
      </c>
      <c r="U10" s="119" t="n">
        <f aca="false" t="array" ref="U10:U10">IF($A10="",0,IFERROR(INDEX(ДОВ_МІН,MATCH($A10,КАТЕГОРІЇ,0)),0))</f>
        <v>1</v>
      </c>
      <c r="V10" s="113" t="n">
        <f aca="false" t="array" ref="V10:V10">IF(OR(P$2=0,$N$5=0),0,IFERROR(INDEX(ПАКЕТИ_ЦІНИ,MATCH($N$6&amp;"|Будні",ПАКЕТИ_КЛЮЧ,0),P$2+0),0))</f>
        <v>0</v>
      </c>
      <c r="W10" s="113" t="n">
        <f aca="false" t="array" ref="W10:W10">IF(OR(P$2=0,$N$5=0),0,IFERROR(INDEX(ПАКЕТИ_ЦІНИ,MATCH($N$6&amp;"|Будні",ПАКЕТИ_КЛЮЧ,0),P$2+1),0))</f>
        <v>0</v>
      </c>
      <c r="X10" s="113" t="n">
        <f aca="false" t="array" ref="X10:X10">IF(OR(P$2=0,$N$5=0),0,IFERROR(INDEX(ПАКЕТИ_ЦІНИ,MATCH($N$6&amp;"|Вихідні",ПАКЕТИ_КЛЮЧ,0),P$2+0),0))</f>
        <v>0</v>
      </c>
      <c r="Y10" s="113" t="n">
        <f aca="false" t="array" ref="Y10:Y10">IF(OR(P$2=0,$N$5=0),0,IFERROR(INDEX(ПАКЕТИ_ЦІНИ,MATCH($N$6&amp;"|Вихідні",ПАКЕТИ_КЛЮЧ,0),P$2+1),0))</f>
        <v>0</v>
      </c>
      <c r="Z10" s="113" t="n">
        <f aca="false" t="array" ref="Z10:Z10">IF(OR(P$2=0,$N$7=0,$A10=""),0,IFERROR(INDEX(SPA_ЦІНИ,MATCH(INDEX(ДОВ_SPA,MATCH($A10,КАТЕГОРІЇ,0)),SPA_РОЛЬ,0),P$2),0))</f>
        <v>0</v>
      </c>
      <c r="AA10" s="113" t="n">
        <f aca="false">IF(OR($A10="",P10=0,Q10=0,AND($N$5=1,$D$4&gt;0,V10=0),AND($N$5=1,$F$4&gt;0,W10=0),AND($N$7=1,Z10=0)),0,1)</f>
        <v>1</v>
      </c>
      <c r="AB10" s="113" t="n">
        <f aca="false">IF(OR(AA10=0,R10=0,AND($N$5=1,$D$4&gt;0,X10=0),AND($N$5=1,$F$4&gt;0,Y10=0)),0,1)</f>
        <v>1</v>
      </c>
      <c r="AC10" s="110"/>
      <c r="AD10" s="124" t="n">
        <f aca="false" t="array" ref="AD10:AD10">IF(OR(AD$2=0,$A10=""),0,IFERROR(INDEX(БАЗА_RO,MATCH(INDEX(ДОВ_ОПОРА,MATCH($A10,КАТЕГОРІЇ,0)),БАЗА_КАТ,0),AD$2),0))</f>
        <v>7100</v>
      </c>
      <c r="AE10" s="125" t="n">
        <f aca="false" t="array" ref="AE10:AE10">IF(OR(AD$2=0,$A10=""),0,IFERROR(INDEX(МНОЖНИКИ,MATCH($A10,МНОЖ_КАТ,0),AD$2),0))</f>
        <v>1.06</v>
      </c>
      <c r="AF10" s="125" t="n">
        <f aca="false" t="array" ref="AF10:AF10">IF(OR(AD$2=0,$A10=""),0,IFERROR(INDEX(МНОЖНИКИ,MATCH($A10,МНОЖ_КАТ,0),AD$2+1),0))</f>
        <v>1.08</v>
      </c>
      <c r="AG10" s="119" t="n">
        <f aca="false" t="array" ref="AG10:AG10">IF($A10="",0,IFERROR(INDEX(ДОВ_МАКС,MATCH($A10,КАТЕГОРІЇ,0)),0))</f>
        <v>6</v>
      </c>
      <c r="AH10" s="119" t="n">
        <f aca="false" t="array" ref="AH10:AH10">IF($A10="",0,IFERROR(INDEX(ДОВ_ВКЛ,MATCH($A10,КАТЕГОРІЇ,0)),0))</f>
        <v>2</v>
      </c>
      <c r="AI10" s="119" t="n">
        <f aca="false" t="array" ref="AI10:AI10">IF($A10="",0,IFERROR(INDEX(ДОВ_МІН,MATCH($A10,КАТЕГОРІЇ,0)),0))</f>
        <v>1</v>
      </c>
      <c r="AJ10" s="113" t="n">
        <f aca="false" t="array" ref="AJ10:AJ10">IF(OR(AD$2=0,$N$5=0),0,IFERROR(INDEX(ПАКЕТИ_ЦІНИ,MATCH($N$6&amp;"|Будні",ПАКЕТИ_КЛЮЧ,0),AD$2+0),0))</f>
        <v>0</v>
      </c>
      <c r="AK10" s="113" t="n">
        <f aca="false" t="array" ref="AK10:AK10">IF(OR(AD$2=0,$N$5=0),0,IFERROR(INDEX(ПАКЕТИ_ЦІНИ,MATCH($N$6&amp;"|Будні",ПАКЕТИ_КЛЮЧ,0),AD$2+1),0))</f>
        <v>0</v>
      </c>
      <c r="AL10" s="113" t="n">
        <f aca="false" t="array" ref="AL10:AL10">IF(OR(AD$2=0,$N$5=0),0,IFERROR(INDEX(ПАКЕТИ_ЦІНИ,MATCH($N$6&amp;"|Вихідні",ПАКЕТИ_КЛЮЧ,0),AD$2+0),0))</f>
        <v>0</v>
      </c>
      <c r="AM10" s="113" t="n">
        <f aca="false" t="array" ref="AM10:AM10">IF(OR(AD$2=0,$N$5=0),0,IFERROR(INDEX(ПАКЕТИ_ЦІНИ,MATCH($N$6&amp;"|Вихідні",ПАКЕТИ_КЛЮЧ,0),AD$2+1),0))</f>
        <v>0</v>
      </c>
      <c r="AN10" s="113" t="n">
        <f aca="false" t="array" ref="AN10:AN10">IF(OR(AD$2=0,$N$7=0,$A10=""),0,IFERROR(INDEX(SPA_ЦІНИ,MATCH(INDEX(ДОВ_SPA,MATCH($A10,КАТЕГОРІЇ,0)),SPA_РОЛЬ,0),AD$2),0))</f>
        <v>0</v>
      </c>
      <c r="AO10" s="113" t="n">
        <f aca="false">IF(OR($A10="",AD10=0,AE10=0,AND($N$5=1,$D$4&gt;0,AJ10=0),AND($N$5=1,$F$4&gt;0,AK10=0),AND($N$7=1,AN10=0)),0,1)</f>
        <v>1</v>
      </c>
      <c r="AP10" s="113" t="n">
        <f aca="false">IF(OR(AO10=0,AF10=0,AND($N$5=1,$D$4&gt;0,AL10=0),AND($N$5=1,$F$4&gt;0,AM10=0)),0,1)</f>
        <v>1</v>
      </c>
    </row>
    <row r="11" customFormat="false" ht="15" hidden="false" customHeight="true" outlineLevel="0" collapsed="false">
      <c r="A11" s="121" t="str">
        <f aca="false">IF('Довідник категорій'!A9="","",'Довідник категорій'!A9)</f>
        <v>Шале преміум збільшене</v>
      </c>
      <c r="B11" s="122" t="n">
        <f aca="false">IF(OR(AA11=0,($D$4+$F$4)=0,($D$4+$F$4)&gt;S11,($D$4+$F$4)&lt;U11),"",ROUND(P11*Q11*(1-P$3)/ОКРУГЛЕННЯ,0)*ОКРУГЛЕННЯ+MAX(0,($D$4+$F$4)-T11)*КРОК_ГОСТЯ*(1-P$3)+($D$4*V11+$F$4*W11)*(1-P$3*P$4)+Z11*(1-P$3*P$5))</f>
        <v>7238</v>
      </c>
      <c r="C11" s="122" t="n">
        <f aca="false">IF(OR(AB11=0,($D$4+$F$4)=0,($D$4+$F$4)&gt;S11,($D$4+$F$4)&lt;U11),"",ROUND(P11*Q11*R11*(1-P$3)/ОКРУГЛЕННЯ,0)*ОКРУГЛЕННЯ+MAX(0,($D$4+$F$4)-T11)*КРОК_ГОСТЯ*(1-P$3)+($D$4*X11+$F$4*Y11)*(1-P$3*P$4)+Z11*(1-P$3*P$5))</f>
        <v>7745</v>
      </c>
      <c r="D11" s="122" t="n">
        <f aca="false">IF(OR(AO11=0,($D$4+$F$4)=0,($D$4+$F$4)&gt;AG11,($D$4+$F$4)&lt;AI11),"",ROUND(AD11*AE11*(1-AD$3)/ОКРУГЛЕННЯ,0)*ОКРУГЛЕННЯ+MAX(0,($D$4+$F$4)-AH11)*КРОК_ГОСТЯ*(1-AD$3)+($D$4*AJ11+$F$4*AK11)*(1-AD$3*AD$4)+AN11*(1-AD$3*AD$5))</f>
        <v>7810</v>
      </c>
      <c r="E11" s="122" t="n">
        <f aca="false">IF(OR(AP11=0,($D$4+$F$4)=0,($D$4+$F$4)&gt;AG11,($D$4+$F$4)&lt;AI11),"",ROUND(AD11*AE11*AF11*(1-AD$3)/ОКРУГЛЕННЯ,0)*ОКРУГЛЕННЯ+MAX(0,($D$4+$F$4)-AH11)*КРОК_ГОСТЯ*(1-AD$3)+($D$4*AL11+$F$4*AM11)*(1-AD$3*AD$4)+AN11*(1-AD$3*AD$5))</f>
        <v>8357</v>
      </c>
      <c r="F11" s="122" t="n">
        <f aca="false">IF(OR(B11="",D11=""),"",D11-B11)</f>
        <v>572</v>
      </c>
      <c r="G11" s="122" t="n">
        <f aca="false">IF(OR(C11="",E11=""),"",E11-C11)</f>
        <v>612</v>
      </c>
      <c r="H11" s="123" t="n">
        <f aca="false">IF(OR(B11="",D11="",B11=0),"",D11/B11-1)</f>
        <v>0.0790273556231003</v>
      </c>
      <c r="I11" s="123" t="n">
        <f aca="false">IF(OR(C11="",E11="",C11=0),"",E11/C11-1)</f>
        <v>0.0790187217559717</v>
      </c>
      <c r="J11" s="110"/>
      <c r="K11" s="110"/>
      <c r="L11" s="110"/>
      <c r="M11" s="110"/>
      <c r="N11" s="110"/>
      <c r="O11" s="110"/>
      <c r="P11" s="124" t="n">
        <f aca="false" t="array" ref="P11:P11">IF(OR(P$2=0,$A11=""),0,IFERROR(INDEX(БАЗА_RO,MATCH(INDEX(ДОВ_ОПОРА,MATCH($A11,КАТЕГОРІЇ,0)),БАЗА_КАТ,0),P$2),0))</f>
        <v>6580</v>
      </c>
      <c r="Q11" s="125" t="n">
        <f aca="false" t="array" ref="Q11:Q11">IF(OR(P$2=0,$A11=""),0,IFERROR(INDEX(МНОЖНИКИ,MATCH($A11,МНОЖ_КАТ,0),P$2),0))</f>
        <v>1.1</v>
      </c>
      <c r="R11" s="125" t="n">
        <f aca="false" t="array" ref="R11:R11">IF(OR(P$2=0,$A11=""),0,IFERROR(INDEX(МНОЖНИКИ,MATCH($A11,МНОЖ_КАТ,0),P$2+1),0))</f>
        <v>1.07</v>
      </c>
      <c r="S11" s="119" t="n">
        <f aca="false" t="array" ref="S11:S11">IF($A11="",0,IFERROR(INDEX(ДОВ_МАКС,MATCH($A11,КАТЕГОРІЇ,0)),0))</f>
        <v>6</v>
      </c>
      <c r="T11" s="119" t="n">
        <f aca="false" t="array" ref="T11:T11">IF($A11="",0,IFERROR(INDEX(ДОВ_ВКЛ,MATCH($A11,КАТЕГОРІЇ,0)),0))</f>
        <v>2</v>
      </c>
      <c r="U11" s="119" t="n">
        <f aca="false" t="array" ref="U11:U11">IF($A11="",0,IFERROR(INDEX(ДОВ_МІН,MATCH($A11,КАТЕГОРІЇ,0)),0))</f>
        <v>1</v>
      </c>
      <c r="V11" s="113" t="n">
        <f aca="false" t="array" ref="V11:V11">IF(OR(P$2=0,$N$5=0),0,IFERROR(INDEX(ПАКЕТИ_ЦІНИ,MATCH($N$6&amp;"|Будні",ПАКЕТИ_КЛЮЧ,0),P$2+0),0))</f>
        <v>0</v>
      </c>
      <c r="W11" s="113" t="n">
        <f aca="false" t="array" ref="W11:W11">IF(OR(P$2=0,$N$5=0),0,IFERROR(INDEX(ПАКЕТИ_ЦІНИ,MATCH($N$6&amp;"|Будні",ПАКЕТИ_КЛЮЧ,0),P$2+1),0))</f>
        <v>0</v>
      </c>
      <c r="X11" s="113" t="n">
        <f aca="false" t="array" ref="X11:X11">IF(OR(P$2=0,$N$5=0),0,IFERROR(INDEX(ПАКЕТИ_ЦІНИ,MATCH($N$6&amp;"|Вихідні",ПАКЕТИ_КЛЮЧ,0),P$2+0),0))</f>
        <v>0</v>
      </c>
      <c r="Y11" s="113" t="n">
        <f aca="false" t="array" ref="Y11:Y11">IF(OR(P$2=0,$N$5=0),0,IFERROR(INDEX(ПАКЕТИ_ЦІНИ,MATCH($N$6&amp;"|Вихідні",ПАКЕТИ_КЛЮЧ,0),P$2+1),0))</f>
        <v>0</v>
      </c>
      <c r="Z11" s="113" t="n">
        <f aca="false" t="array" ref="Z11:Z11">IF(OR(P$2=0,$N$7=0,$A11=""),0,IFERROR(INDEX(SPA_ЦІНИ,MATCH(INDEX(ДОВ_SPA,MATCH($A11,КАТЕГОРІЇ,0)),SPA_РОЛЬ,0),P$2),0))</f>
        <v>0</v>
      </c>
      <c r="AA11" s="113" t="n">
        <f aca="false">IF(OR($A11="",P11=0,Q11=0,AND($N$5=1,$D$4&gt;0,V11=0),AND($N$5=1,$F$4&gt;0,W11=0),AND($N$7=1,Z11=0)),0,1)</f>
        <v>1</v>
      </c>
      <c r="AB11" s="113" t="n">
        <f aca="false">IF(OR(AA11=0,R11=0,AND($N$5=1,$D$4&gt;0,X11=0),AND($N$5=1,$F$4&gt;0,Y11=0)),0,1)</f>
        <v>1</v>
      </c>
      <c r="AC11" s="110"/>
      <c r="AD11" s="124" t="n">
        <f aca="false" t="array" ref="AD11:AD11">IF(OR(AD$2=0,$A11=""),0,IFERROR(INDEX(БАЗА_RO,MATCH(INDEX(ДОВ_ОПОРА,MATCH($A11,КАТЕГОРІЇ,0)),БАЗА_КАТ,0),AD$2),0))</f>
        <v>7100</v>
      </c>
      <c r="AE11" s="125" t="n">
        <f aca="false" t="array" ref="AE11:AE11">IF(OR(AD$2=0,$A11=""),0,IFERROR(INDEX(МНОЖНИКИ,MATCH($A11,МНОЖ_КАТ,0),AD$2),0))</f>
        <v>1.1</v>
      </c>
      <c r="AF11" s="125" t="n">
        <f aca="false" t="array" ref="AF11:AF11">IF(OR(AD$2=0,$A11=""),0,IFERROR(INDEX(МНОЖНИКИ,MATCH($A11,МНОЖ_КАТ,0),AD$2+1),0))</f>
        <v>1.07</v>
      </c>
      <c r="AG11" s="119" t="n">
        <f aca="false" t="array" ref="AG11:AG11">IF($A11="",0,IFERROR(INDEX(ДОВ_МАКС,MATCH($A11,КАТЕГОРІЇ,0)),0))</f>
        <v>6</v>
      </c>
      <c r="AH11" s="119" t="n">
        <f aca="false" t="array" ref="AH11:AH11">IF($A11="",0,IFERROR(INDEX(ДОВ_ВКЛ,MATCH($A11,КАТЕГОРІЇ,0)),0))</f>
        <v>2</v>
      </c>
      <c r="AI11" s="119" t="n">
        <f aca="false" t="array" ref="AI11:AI11">IF($A11="",0,IFERROR(INDEX(ДОВ_МІН,MATCH($A11,КАТЕГОРІЇ,0)),0))</f>
        <v>1</v>
      </c>
      <c r="AJ11" s="113" t="n">
        <f aca="false" t="array" ref="AJ11:AJ11">IF(OR(AD$2=0,$N$5=0),0,IFERROR(INDEX(ПАКЕТИ_ЦІНИ,MATCH($N$6&amp;"|Будні",ПАКЕТИ_КЛЮЧ,0),AD$2+0),0))</f>
        <v>0</v>
      </c>
      <c r="AK11" s="113" t="n">
        <f aca="false" t="array" ref="AK11:AK11">IF(OR(AD$2=0,$N$5=0),0,IFERROR(INDEX(ПАКЕТИ_ЦІНИ,MATCH($N$6&amp;"|Будні",ПАКЕТИ_КЛЮЧ,0),AD$2+1),0))</f>
        <v>0</v>
      </c>
      <c r="AL11" s="113" t="n">
        <f aca="false" t="array" ref="AL11:AL11">IF(OR(AD$2=0,$N$5=0),0,IFERROR(INDEX(ПАКЕТИ_ЦІНИ,MATCH($N$6&amp;"|Вихідні",ПАКЕТИ_КЛЮЧ,0),AD$2+0),0))</f>
        <v>0</v>
      </c>
      <c r="AM11" s="113" t="n">
        <f aca="false" t="array" ref="AM11:AM11">IF(OR(AD$2=0,$N$5=0),0,IFERROR(INDEX(ПАКЕТИ_ЦІНИ,MATCH($N$6&amp;"|Вихідні",ПАКЕТИ_КЛЮЧ,0),AD$2+1),0))</f>
        <v>0</v>
      </c>
      <c r="AN11" s="113" t="n">
        <f aca="false" t="array" ref="AN11:AN11">IF(OR(AD$2=0,$N$7=0,$A11=""),0,IFERROR(INDEX(SPA_ЦІНИ,MATCH(INDEX(ДОВ_SPA,MATCH($A11,КАТЕГОРІЇ,0)),SPA_РОЛЬ,0),AD$2),0))</f>
        <v>0</v>
      </c>
      <c r="AO11" s="113" t="n">
        <f aca="false">IF(OR($A11="",AD11=0,AE11=0,AND($N$5=1,$D$4&gt;0,AJ11=0),AND($N$5=1,$F$4&gt;0,AK11=0),AND($N$7=1,AN11=0)),0,1)</f>
        <v>1</v>
      </c>
      <c r="AP11" s="113" t="n">
        <f aca="false">IF(OR(AO11=0,AF11=0,AND($N$5=1,$D$4&gt;0,AL11=0),AND($N$5=1,$F$4&gt;0,AM11=0)),0,1)</f>
        <v>1</v>
      </c>
    </row>
    <row r="12" customFormat="false" ht="15" hidden="false" customHeight="true" outlineLevel="0" collapsed="false">
      <c r="A12" s="126" t="str">
        <f aca="false">IF('Довідник категорій'!A10="","",'Довідник категорій'!A10)</f>
        <v>Шале преміум збільшене East Hill</v>
      </c>
      <c r="B12" s="127" t="n">
        <f aca="false">IF(OR(AA12=0,($D$4+$F$4)=0,($D$4+$F$4)&gt;S12,($D$4+$F$4)&lt;U12),"",ROUND(P12*Q12*(1-P$3)/ОКРУГЛЕННЯ,0)*ОКРУГЛЕННЯ+MAX(0,($D$4+$F$4)-T12)*КРОК_ГОСТЯ*(1-P$3)+($D$4*V12+$F$4*W12)*(1-P$3*P$4)+Z12*(1-P$3*P$5))</f>
        <v>7567</v>
      </c>
      <c r="C12" s="127" t="n">
        <f aca="false">IF(OR(AB12=0,($D$4+$F$4)=0,($D$4+$F$4)&gt;S12,($D$4+$F$4)&lt;U12),"",ROUND(P12*Q12*R12*(1-P$3)/ОКРУГЛЕННЯ,0)*ОКРУГЛЕННЯ+MAX(0,($D$4+$F$4)-T12)*КРОК_ГОСТЯ*(1-P$3)+($D$4*X12+$F$4*Y12)*(1-P$3*P$4)+Z12*(1-P$3*P$5))</f>
        <v>8021</v>
      </c>
      <c r="D12" s="127" t="n">
        <f aca="false">IF(OR(AO12=0,($D$4+$F$4)=0,($D$4+$F$4)&gt;AG12,($D$4+$F$4)&lt;AI12),"",ROUND(AD12*AE12*(1-AD$3)/ОКРУГЛЕННЯ,0)*ОКРУГЛЕННЯ+MAX(0,($D$4+$F$4)-AH12)*КРОК_ГОСТЯ*(1-AD$3)+($D$4*AJ12+$F$4*AK12)*(1-AD$3*AD$4)+AN12*(1-AD$3*AD$5))</f>
        <v>8165</v>
      </c>
      <c r="E12" s="127" t="n">
        <f aca="false">IF(OR(AP12=0,($D$4+$F$4)=0,($D$4+$F$4)&gt;AG12,($D$4+$F$4)&lt;AI12),"",ROUND(AD12*AE12*AF12*(1-AD$3)/ОКРУГЛЕННЯ,0)*ОКРУГЛЕННЯ+MAX(0,($D$4+$F$4)-AH12)*КРОК_ГОСТЯ*(1-AD$3)+($D$4*AL12+$F$4*AM12)*(1-AD$3*AD$4)+AN12*(1-AD$3*AD$5))</f>
        <v>8655</v>
      </c>
      <c r="F12" s="127" t="n">
        <f aca="false">IF(OR(B12="",D12=""),"",D12-B12)</f>
        <v>598</v>
      </c>
      <c r="G12" s="127" t="n">
        <f aca="false">IF(OR(C12="",E12=""),"",E12-C12)</f>
        <v>634</v>
      </c>
      <c r="H12" s="128" t="n">
        <f aca="false">IF(OR(B12="",D12="",B12=0),"",D12/B12-1)</f>
        <v>0.0790273556231003</v>
      </c>
      <c r="I12" s="128" t="n">
        <f aca="false">IF(OR(C12="",E12="",C12=0),"",E12/C12-1)</f>
        <v>0.0790425134023189</v>
      </c>
      <c r="J12" s="110"/>
      <c r="K12" s="117" t="s">
        <v>165</v>
      </c>
      <c r="L12" s="130" t="str">
        <f aca="false" t="array" ref="L12:L12">IF(COUNT(INDEX(ПАКЕТИ_ЦІНИ,3,$N$3),INDEX(ПАКЕТИ_ЦІНИ,3,$N$3+1),INDEX(ПАКЕТИ_ЦІНИ,4,$N$3),INDEX(ПАКЕТИ_ЦІНИ,4,$N$3+1))=4,"так","ні — пакет недоступний")</f>
        <v>ні — пакет недоступний</v>
      </c>
      <c r="M12" s="110"/>
      <c r="N12" s="110"/>
      <c r="O12" s="110"/>
      <c r="P12" s="124" t="n">
        <f aca="false" t="array" ref="P12:P12">IF(OR(P$2=0,$A12=""),0,IFERROR(INDEX(БАЗА_RO,MATCH(INDEX(ДОВ_ОПОРА,MATCH($A12,КАТЕГОРІЇ,0)),БАЗА_КАТ,0),P$2),0))</f>
        <v>6580</v>
      </c>
      <c r="Q12" s="125" t="n">
        <f aca="false" t="array" ref="Q12:Q12">IF(OR(P$2=0,$A12=""),0,IFERROR(INDEX(МНОЖНИКИ,MATCH($A12,МНОЖ_КАТ,0),P$2),0))</f>
        <v>1.15</v>
      </c>
      <c r="R12" s="125" t="n">
        <f aca="false" t="array" ref="R12:R12">IF(OR(P$2=0,$A12=""),0,IFERROR(INDEX(МНОЖНИКИ,MATCH($A12,МНОЖ_КАТ,0),P$2+1),0))</f>
        <v>1.06</v>
      </c>
      <c r="S12" s="119" t="n">
        <f aca="false" t="array" ref="S12:S12">IF($A12="",0,IFERROR(INDEX(ДОВ_МАКС,MATCH($A12,КАТЕГОРІЇ,0)),0))</f>
        <v>6</v>
      </c>
      <c r="T12" s="119" t="n">
        <f aca="false" t="array" ref="T12:T12">IF($A12="",0,IFERROR(INDEX(ДОВ_ВКЛ,MATCH($A12,КАТЕГОРІЇ,0)),0))</f>
        <v>2</v>
      </c>
      <c r="U12" s="119" t="n">
        <f aca="false" t="array" ref="U12:U12">IF($A12="",0,IFERROR(INDEX(ДОВ_МІН,MATCH($A12,КАТЕГОРІЇ,0)),0))</f>
        <v>1</v>
      </c>
      <c r="V12" s="113" t="n">
        <f aca="false" t="array" ref="V12:V12">IF(OR(P$2=0,$N$5=0),0,IFERROR(INDEX(ПАКЕТИ_ЦІНИ,MATCH($N$6&amp;"|Будні",ПАКЕТИ_КЛЮЧ,0),P$2+0),0))</f>
        <v>0</v>
      </c>
      <c r="W12" s="113" t="n">
        <f aca="false" t="array" ref="W12:W12">IF(OR(P$2=0,$N$5=0),0,IFERROR(INDEX(ПАКЕТИ_ЦІНИ,MATCH($N$6&amp;"|Будні",ПАКЕТИ_КЛЮЧ,0),P$2+1),0))</f>
        <v>0</v>
      </c>
      <c r="X12" s="113" t="n">
        <f aca="false" t="array" ref="X12:X12">IF(OR(P$2=0,$N$5=0),0,IFERROR(INDEX(ПАКЕТИ_ЦІНИ,MATCH($N$6&amp;"|Вихідні",ПАКЕТИ_КЛЮЧ,0),P$2+0),0))</f>
        <v>0</v>
      </c>
      <c r="Y12" s="113" t="n">
        <f aca="false" t="array" ref="Y12:Y12">IF(OR(P$2=0,$N$5=0),0,IFERROR(INDEX(ПАКЕТИ_ЦІНИ,MATCH($N$6&amp;"|Вихідні",ПАКЕТИ_КЛЮЧ,0),P$2+1),0))</f>
        <v>0</v>
      </c>
      <c r="Z12" s="113" t="n">
        <f aca="false" t="array" ref="Z12:Z12">IF(OR(P$2=0,$N$7=0,$A12=""),0,IFERROR(INDEX(SPA_ЦІНИ,MATCH(INDEX(ДОВ_SPA,MATCH($A12,КАТЕГОРІЇ,0)),SPA_РОЛЬ,0),P$2),0))</f>
        <v>0</v>
      </c>
      <c r="AA12" s="113" t="n">
        <f aca="false">IF(OR($A12="",P12=0,Q12=0,AND($N$5=1,$D$4&gt;0,V12=0),AND($N$5=1,$F$4&gt;0,W12=0),AND($N$7=1,Z12=0)),0,1)</f>
        <v>1</v>
      </c>
      <c r="AB12" s="113" t="n">
        <f aca="false">IF(OR(AA12=0,R12=0,AND($N$5=1,$D$4&gt;0,X12=0),AND($N$5=1,$F$4&gt;0,Y12=0)),0,1)</f>
        <v>1</v>
      </c>
      <c r="AC12" s="110"/>
      <c r="AD12" s="124" t="n">
        <f aca="false" t="array" ref="AD12:AD12">IF(OR(AD$2=0,$A12=""),0,IFERROR(INDEX(БАЗА_RO,MATCH(INDEX(ДОВ_ОПОРА,MATCH($A12,КАТЕГОРІЇ,0)),БАЗА_КАТ,0),AD$2),0))</f>
        <v>7100</v>
      </c>
      <c r="AE12" s="125" t="n">
        <f aca="false" t="array" ref="AE12:AE12">IF(OR(AD$2=0,$A12=""),0,IFERROR(INDEX(МНОЖНИКИ,MATCH($A12,МНОЖ_КАТ,0),AD$2),0))</f>
        <v>1.15</v>
      </c>
      <c r="AF12" s="125" t="n">
        <f aca="false" t="array" ref="AF12:AF12">IF(OR(AD$2=0,$A12=""),0,IFERROR(INDEX(МНОЖНИКИ,MATCH($A12,МНОЖ_КАТ,0),AD$2+1),0))</f>
        <v>1.06</v>
      </c>
      <c r="AG12" s="119" t="n">
        <f aca="false" t="array" ref="AG12:AG12">IF($A12="",0,IFERROR(INDEX(ДОВ_МАКС,MATCH($A12,КАТЕГОРІЇ,0)),0))</f>
        <v>6</v>
      </c>
      <c r="AH12" s="119" t="n">
        <f aca="false" t="array" ref="AH12:AH12">IF($A12="",0,IFERROR(INDEX(ДОВ_ВКЛ,MATCH($A12,КАТЕГОРІЇ,0)),0))</f>
        <v>2</v>
      </c>
      <c r="AI12" s="119" t="n">
        <f aca="false" t="array" ref="AI12:AI12">IF($A12="",0,IFERROR(INDEX(ДОВ_МІН,MATCH($A12,КАТЕГОРІЇ,0)),0))</f>
        <v>1</v>
      </c>
      <c r="AJ12" s="113" t="n">
        <f aca="false" t="array" ref="AJ12:AJ12">IF(OR(AD$2=0,$N$5=0),0,IFERROR(INDEX(ПАКЕТИ_ЦІНИ,MATCH($N$6&amp;"|Будні",ПАКЕТИ_КЛЮЧ,0),AD$2+0),0))</f>
        <v>0</v>
      </c>
      <c r="AK12" s="113" t="n">
        <f aca="false" t="array" ref="AK12:AK12">IF(OR(AD$2=0,$N$5=0),0,IFERROR(INDEX(ПАКЕТИ_ЦІНИ,MATCH($N$6&amp;"|Будні",ПАКЕТИ_КЛЮЧ,0),AD$2+1),0))</f>
        <v>0</v>
      </c>
      <c r="AL12" s="113" t="n">
        <f aca="false" t="array" ref="AL12:AL12">IF(OR(AD$2=0,$N$5=0),0,IFERROR(INDEX(ПАКЕТИ_ЦІНИ,MATCH($N$6&amp;"|Вихідні",ПАКЕТИ_КЛЮЧ,0),AD$2+0),0))</f>
        <v>0</v>
      </c>
      <c r="AM12" s="113" t="n">
        <f aca="false" t="array" ref="AM12:AM12">IF(OR(AD$2=0,$N$5=0),0,IFERROR(INDEX(ПАКЕТИ_ЦІНИ,MATCH($N$6&amp;"|Вихідні",ПАКЕТИ_КЛЮЧ,0),AD$2+1),0))</f>
        <v>0</v>
      </c>
      <c r="AN12" s="113" t="n">
        <f aca="false" t="array" ref="AN12:AN12">IF(OR(AD$2=0,$N$7=0,$A12=""),0,IFERROR(INDEX(SPA_ЦІНИ,MATCH(INDEX(ДОВ_SPA,MATCH($A12,КАТЕГОРІЇ,0)),SPA_РОЛЬ,0),AD$2),0))</f>
        <v>0</v>
      </c>
      <c r="AO12" s="113" t="n">
        <f aca="false">IF(OR($A12="",AD12=0,AE12=0,AND($N$5=1,$D$4&gt;0,AJ12=0),AND($N$5=1,$F$4&gt;0,AK12=0),AND($N$7=1,AN12=0)),0,1)</f>
        <v>1</v>
      </c>
      <c r="AP12" s="113" t="n">
        <f aca="false">IF(OR(AO12=0,AF12=0,AND($N$5=1,$D$4&gt;0,AL12=0),AND($N$5=1,$F$4&gt;0,AM12=0)),0,1)</f>
        <v>1</v>
      </c>
    </row>
    <row r="13" customFormat="false" ht="15" hidden="false" customHeight="true" outlineLevel="0" collapsed="false">
      <c r="A13" s="121" t="str">
        <f aca="false">IF('Довідник категорій'!A11="","",'Довідник категорій'!A11)</f>
        <v>Президентське шале</v>
      </c>
      <c r="B13" s="122" t="n">
        <f aca="false">IF(OR(AA13=0,($D$4+$F$4)=0,($D$4+$F$4)&gt;S13,($D$4+$F$4)&lt;U13),"",ROUND(P13*Q13*(1-P$3)/ОКРУГЛЕННЯ,0)*ОКРУГЛЕННЯ+MAX(0,($D$4+$F$4)-T13)*КРОК_ГОСТЯ*(1-P$3)+($D$4*V13+$F$4*W13)*(1-P$3*P$4)+Z13*(1-P$3*P$5))</f>
        <v>9870</v>
      </c>
      <c r="C13" s="122" t="n">
        <f aca="false">IF(OR(AB13=0,($D$4+$F$4)=0,($D$4+$F$4)&gt;S13,($D$4+$F$4)&lt;U13),"",ROUND(P13*Q13*R13*(1-P$3)/ОКРУГЛЕННЯ,0)*ОКРУГЛЕННЯ+MAX(0,($D$4+$F$4)-T13)*КРОК_ГОСТЯ*(1-P$3)+($D$4*X13+$F$4*Y13)*(1-P$3*P$4)+Z13*(1-P$3*P$5))</f>
        <v>10265</v>
      </c>
      <c r="D13" s="122" t="n">
        <f aca="false">IF(OR(AO13=0,($D$4+$F$4)=0,($D$4+$F$4)&gt;AG13,($D$4+$F$4)&lt;AI13),"",ROUND(AD13*AE13*(1-AD$3)/ОКРУГЛЕННЯ,0)*ОКРУГЛЕННЯ+MAX(0,($D$4+$F$4)-AH13)*КРОК_ГОСТЯ*(1-AD$3)+($D$4*AJ13+$F$4*AK13)*(1-AD$3*AD$4)+AN13*(1-AD$3*AD$5))</f>
        <v>10650</v>
      </c>
      <c r="E13" s="122" t="n">
        <f aca="false">IF(OR(AP13=0,($D$4+$F$4)=0,($D$4+$F$4)&gt;AG13,($D$4+$F$4)&lt;AI13),"",ROUND(AD13*AE13*AF13*(1-AD$3)/ОКРУГЛЕННЯ,0)*ОКРУГЛЕННЯ+MAX(0,($D$4+$F$4)-AH13)*КРОК_ГОСТЯ*(1-AD$3)+($D$4*AL13+$F$4*AM13)*(1-AD$3*AD$4)+AN13*(1-AD$3*AD$5))</f>
        <v>11076</v>
      </c>
      <c r="F13" s="122" t="n">
        <f aca="false">IF(OR(B13="",D13=""),"",D13-B13)</f>
        <v>780</v>
      </c>
      <c r="G13" s="122" t="n">
        <f aca="false">IF(OR(C13="",E13=""),"",E13-C13)</f>
        <v>811</v>
      </c>
      <c r="H13" s="123" t="n">
        <f aca="false">IF(OR(B13="",D13="",B13=0),"",D13/B13-1)</f>
        <v>0.0790273556231003</v>
      </c>
      <c r="I13" s="123" t="n">
        <f aca="false">IF(OR(C13="",E13="",C13=0),"",E13/C13-1)</f>
        <v>0.0790063321967851</v>
      </c>
      <c r="J13" s="110"/>
      <c r="K13" s="117" t="s">
        <v>166</v>
      </c>
      <c r="L13" s="131" t="n">
        <f aca="false">COUNTIF(ПРАЙС_ЛИСТИ,"&lt;&gt;")</f>
        <v>22</v>
      </c>
      <c r="M13" s="110"/>
      <c r="N13" s="110"/>
      <c r="O13" s="110"/>
      <c r="P13" s="124" t="n">
        <f aca="false" t="array" ref="P13:P13">IF(OR(P$2=0,$A13=""),0,IFERROR(INDEX(БАЗА_RO,MATCH(INDEX(ДОВ_ОПОРА,MATCH($A13,КАТЕГОРІЇ,0)),БАЗА_КАТ,0),P$2),0))</f>
        <v>6580</v>
      </c>
      <c r="Q13" s="125" t="n">
        <f aca="false" t="array" ref="Q13:Q13">IF(OR(P$2=0,$A13=""),0,IFERROR(INDEX(МНОЖНИКИ,MATCH($A13,МНОЖ_КАТ,0),P$2),0))</f>
        <v>1.5</v>
      </c>
      <c r="R13" s="125" t="n">
        <f aca="false" t="array" ref="R13:R13">IF(OR(P$2=0,$A13=""),0,IFERROR(INDEX(МНОЖНИКИ,MATCH($A13,МНОЖ_КАТ,0),P$2+1),0))</f>
        <v>1.04</v>
      </c>
      <c r="S13" s="119" t="n">
        <f aca="false" t="array" ref="S13:S13">IF($A13="",0,IFERROR(INDEX(ДОВ_МАКС,MATCH($A13,КАТЕГОРІЇ,0)),0))</f>
        <v>8</v>
      </c>
      <c r="T13" s="119" t="n">
        <f aca="false" t="array" ref="T13:T13">IF($A13="",0,IFERROR(INDEX(ДОВ_ВКЛ,MATCH($A13,КАТЕГОРІЇ,0)),0))</f>
        <v>2</v>
      </c>
      <c r="U13" s="119" t="n">
        <f aca="false" t="array" ref="U13:U13">IF($A13="",0,IFERROR(INDEX(ДОВ_МІН,MATCH($A13,КАТЕГОРІЇ,0)),0))</f>
        <v>1</v>
      </c>
      <c r="V13" s="113" t="n">
        <f aca="false" t="array" ref="V13:V13">IF(OR(P$2=0,$N$5=0),0,IFERROR(INDEX(ПАКЕТИ_ЦІНИ,MATCH($N$6&amp;"|Будні",ПАКЕТИ_КЛЮЧ,0),P$2+0),0))</f>
        <v>0</v>
      </c>
      <c r="W13" s="113" t="n">
        <f aca="false" t="array" ref="W13:W13">IF(OR(P$2=0,$N$5=0),0,IFERROR(INDEX(ПАКЕТИ_ЦІНИ,MATCH($N$6&amp;"|Будні",ПАКЕТИ_КЛЮЧ,0),P$2+1),0))</f>
        <v>0</v>
      </c>
      <c r="X13" s="113" t="n">
        <f aca="false" t="array" ref="X13:X13">IF(OR(P$2=0,$N$5=0),0,IFERROR(INDEX(ПАКЕТИ_ЦІНИ,MATCH($N$6&amp;"|Вихідні",ПАКЕТИ_КЛЮЧ,0),P$2+0),0))</f>
        <v>0</v>
      </c>
      <c r="Y13" s="113" t="n">
        <f aca="false" t="array" ref="Y13:Y13">IF(OR(P$2=0,$N$5=0),0,IFERROR(INDEX(ПАКЕТИ_ЦІНИ,MATCH($N$6&amp;"|Вихідні",ПАКЕТИ_КЛЮЧ,0),P$2+1),0))</f>
        <v>0</v>
      </c>
      <c r="Z13" s="113" t="n">
        <f aca="false" t="array" ref="Z13:Z13">IF(OR(P$2=0,$N$7=0,$A13=""),0,IFERROR(INDEX(SPA_ЦІНИ,MATCH(INDEX(ДОВ_SPA,MATCH($A13,КАТЕГОРІЇ,0)),SPA_РОЛЬ,0),P$2),0))</f>
        <v>0</v>
      </c>
      <c r="AA13" s="113" t="n">
        <f aca="false">IF(OR($A13="",P13=0,Q13=0,AND($N$5=1,$D$4&gt;0,V13=0),AND($N$5=1,$F$4&gt;0,W13=0),AND($N$7=1,Z13=0)),0,1)</f>
        <v>1</v>
      </c>
      <c r="AB13" s="113" t="n">
        <f aca="false">IF(OR(AA13=0,R13=0,AND($N$5=1,$D$4&gt;0,X13=0),AND($N$5=1,$F$4&gt;0,Y13=0)),0,1)</f>
        <v>1</v>
      </c>
      <c r="AC13" s="110"/>
      <c r="AD13" s="124" t="n">
        <f aca="false" t="array" ref="AD13:AD13">IF(OR(AD$2=0,$A13=""),0,IFERROR(INDEX(БАЗА_RO,MATCH(INDEX(ДОВ_ОПОРА,MATCH($A13,КАТЕГОРІЇ,0)),БАЗА_КАТ,0),AD$2),0))</f>
        <v>7100</v>
      </c>
      <c r="AE13" s="125" t="n">
        <f aca="false" t="array" ref="AE13:AE13">IF(OR(AD$2=0,$A13=""),0,IFERROR(INDEX(МНОЖНИКИ,MATCH($A13,МНОЖ_КАТ,0),AD$2),0))</f>
        <v>1.5</v>
      </c>
      <c r="AF13" s="125" t="n">
        <f aca="false" t="array" ref="AF13:AF13">IF(OR(AD$2=0,$A13=""),0,IFERROR(INDEX(МНОЖНИКИ,MATCH($A13,МНОЖ_КАТ,0),AD$2+1),0))</f>
        <v>1.04</v>
      </c>
      <c r="AG13" s="119" t="n">
        <f aca="false" t="array" ref="AG13:AG13">IF($A13="",0,IFERROR(INDEX(ДОВ_МАКС,MATCH($A13,КАТЕГОРІЇ,0)),0))</f>
        <v>8</v>
      </c>
      <c r="AH13" s="119" t="n">
        <f aca="false" t="array" ref="AH13:AH13">IF($A13="",0,IFERROR(INDEX(ДОВ_ВКЛ,MATCH($A13,КАТЕГОРІЇ,0)),0))</f>
        <v>2</v>
      </c>
      <c r="AI13" s="119" t="n">
        <f aca="false" t="array" ref="AI13:AI13">IF($A13="",0,IFERROR(INDEX(ДОВ_МІН,MATCH($A13,КАТЕГОРІЇ,0)),0))</f>
        <v>1</v>
      </c>
      <c r="AJ13" s="113" t="n">
        <f aca="false" t="array" ref="AJ13:AJ13">IF(OR(AD$2=0,$N$5=0),0,IFERROR(INDEX(ПАКЕТИ_ЦІНИ,MATCH($N$6&amp;"|Будні",ПАКЕТИ_КЛЮЧ,0),AD$2+0),0))</f>
        <v>0</v>
      </c>
      <c r="AK13" s="113" t="n">
        <f aca="false" t="array" ref="AK13:AK13">IF(OR(AD$2=0,$N$5=0),0,IFERROR(INDEX(ПАКЕТИ_ЦІНИ,MATCH($N$6&amp;"|Будні",ПАКЕТИ_КЛЮЧ,0),AD$2+1),0))</f>
        <v>0</v>
      </c>
      <c r="AL13" s="113" t="n">
        <f aca="false" t="array" ref="AL13:AL13">IF(OR(AD$2=0,$N$5=0),0,IFERROR(INDEX(ПАКЕТИ_ЦІНИ,MATCH($N$6&amp;"|Вихідні",ПАКЕТИ_КЛЮЧ,0),AD$2+0),0))</f>
        <v>0</v>
      </c>
      <c r="AM13" s="113" t="n">
        <f aca="false" t="array" ref="AM13:AM13">IF(OR(AD$2=0,$N$5=0),0,IFERROR(INDEX(ПАКЕТИ_ЦІНИ,MATCH($N$6&amp;"|Вихідні",ПАКЕТИ_КЛЮЧ,0),AD$2+1),0))</f>
        <v>0</v>
      </c>
      <c r="AN13" s="113" t="n">
        <f aca="false" t="array" ref="AN13:AN13">IF(OR(AD$2=0,$N$7=0,$A13=""),0,IFERROR(INDEX(SPA_ЦІНИ,MATCH(INDEX(ДОВ_SPA,MATCH($A13,КАТЕГОРІЇ,0)),SPA_РОЛЬ,0),AD$2),0))</f>
        <v>0</v>
      </c>
      <c r="AO13" s="113" t="n">
        <f aca="false">IF(OR($A13="",AD13=0,AE13=0,AND($N$5=1,$D$4&gt;0,AJ13=0),AND($N$5=1,$F$4&gt;0,AK13=0),AND($N$7=1,AN13=0)),0,1)</f>
        <v>1</v>
      </c>
      <c r="AP13" s="113" t="n">
        <f aca="false">IF(OR(AO13=0,AF13=0,AND($N$5=1,$D$4&gt;0,AL13=0),AND($N$5=1,$F$4&gt;0,AM13=0)),0,1)</f>
        <v>1</v>
      </c>
    </row>
    <row r="14" customFormat="false" ht="15" hidden="false" customHeight="true" outlineLevel="0" collapsed="false">
      <c r="A14" s="126" t="str">
        <f aca="false">IF('Довідник категорій'!A12="","",'Довідник категорій'!A12)</f>
        <v>Апартаменти стандартні 20 м²</v>
      </c>
      <c r="B14" s="127" t="n">
        <f aca="false">IF(OR(AA14=0,($D$4+$F$4)=0,($D$4+$F$4)&gt;S14,($D$4+$F$4)&lt;U14),"",ROUND(P14*Q14*(1-P$3)/ОКРУГЛЕННЯ,0)*ОКРУГЛЕННЯ+MAX(0,($D$4+$F$4)-T14)*КРОК_ГОСТЯ*(1-P$3)+($D$4*V14+$F$4*W14)*(1-P$3*P$4)+Z14*(1-P$3*P$5))</f>
        <v>2370</v>
      </c>
      <c r="C14" s="127" t="n">
        <f aca="false">IF(OR(AB14=0,($D$4+$F$4)=0,($D$4+$F$4)&gt;S14,($D$4+$F$4)&lt;U14),"",ROUND(P14*Q14*R14*(1-P$3)/ОКРУГЛЕННЯ,0)*ОКРУГЛЕННЯ+MAX(0,($D$4+$F$4)-T14)*КРОК_ГОСТЯ*(1-P$3)+($D$4*X14+$F$4*Y14)*(1-P$3*P$4)+Z14*(1-P$3*P$5))</f>
        <v>2607</v>
      </c>
      <c r="D14" s="127" t="n">
        <f aca="false">IF(OR(AO14=0,($D$4+$F$4)=0,($D$4+$F$4)&gt;AG14,($D$4+$F$4)&lt;AI14),"",ROUND(AD14*AE14*(1-AD$3)/ОКРУГЛЕННЯ,0)*ОКРУГЛЕННЯ+MAX(0,($D$4+$F$4)-AH14)*КРОК_ГОСТЯ*(1-AD$3)+($D$4*AJ14+$F$4*AK14)*(1-AD$3*AD$4)+AN14*(1-AD$3*AD$5))</f>
        <v>2600</v>
      </c>
      <c r="E14" s="127" t="n">
        <f aca="false">IF(OR(AP14=0,($D$4+$F$4)=0,($D$4+$F$4)&gt;AG14,($D$4+$F$4)&lt;AI14),"",ROUND(AD14*AE14*AF14*(1-AD$3)/ОКРУГЛЕННЯ,0)*ОКРУГЛЕННЯ+MAX(0,($D$4+$F$4)-AH14)*КРОК_ГОСТЯ*(1-AD$3)+($D$4*AL14+$F$4*AM14)*(1-AD$3*AD$4)+AN14*(1-AD$3*AD$5))</f>
        <v>2860</v>
      </c>
      <c r="F14" s="127" t="n">
        <f aca="false">IF(OR(B14="",D14=""),"",D14-B14)</f>
        <v>230</v>
      </c>
      <c r="G14" s="127" t="n">
        <f aca="false">IF(OR(C14="",E14=""),"",E14-C14)</f>
        <v>253</v>
      </c>
      <c r="H14" s="128" t="n">
        <f aca="false">IF(OR(B14="",D14="",B14=0),"",D14/B14-1)</f>
        <v>0.0970464135021096</v>
      </c>
      <c r="I14" s="128" t="n">
        <f aca="false">IF(OR(C14="",E14="",C14=0),"",E14/C14-1)</f>
        <v>0.0970464135021096</v>
      </c>
      <c r="J14" s="110"/>
      <c r="K14" s="117" t="s">
        <v>167</v>
      </c>
      <c r="L14" s="131" t="n">
        <f aca="false">COUNTIF(КАТЕГОРІЇ,"&lt;&gt;")</f>
        <v>18</v>
      </c>
      <c r="M14" s="110"/>
      <c r="N14" s="110"/>
      <c r="O14" s="110"/>
      <c r="P14" s="124" t="n">
        <f aca="false" t="array" ref="P14:P14">IF(OR(P$2=0,$A14=""),0,IFERROR(INDEX(БАЗА_RO,MATCH(INDEX(ДОВ_ОПОРА,MATCH($A14,КАТЕГОРІЇ,0)),БАЗА_КАТ,0),P$2),0))</f>
        <v>2370</v>
      </c>
      <c r="Q14" s="125" t="n">
        <f aca="false" t="array" ref="Q14:Q14">IF(OR(P$2=0,$A14=""),0,IFERROR(INDEX(МНОЖНИКИ,MATCH($A14,МНОЖ_КАТ,0),P$2),0))</f>
        <v>1</v>
      </c>
      <c r="R14" s="125" t="n">
        <f aca="false" t="array" ref="R14:R14">IF(OR(P$2=0,$A14=""),0,IFERROR(INDEX(МНОЖНИКИ,MATCH($A14,МНОЖ_КАТ,0),P$2+1),0))</f>
        <v>1.1</v>
      </c>
      <c r="S14" s="119" t="n">
        <f aca="false" t="array" ref="S14:S14">IF($A14="",0,IFERROR(INDEX(ДОВ_МАКС,MATCH($A14,КАТЕГОРІЇ,0)),0))</f>
        <v>2</v>
      </c>
      <c r="T14" s="119" t="n">
        <f aca="false" t="array" ref="T14:T14">IF($A14="",0,IFERROR(INDEX(ДОВ_ВКЛ,MATCH($A14,КАТЕГОРІЇ,0)),0))</f>
        <v>2</v>
      </c>
      <c r="U14" s="119" t="n">
        <f aca="false" t="array" ref="U14:U14">IF($A14="",0,IFERROR(INDEX(ДОВ_МІН,MATCH($A14,КАТЕГОРІЇ,0)),0))</f>
        <v>1</v>
      </c>
      <c r="V14" s="113" t="n">
        <f aca="false" t="array" ref="V14:V14">IF(OR(P$2=0,$N$5=0),0,IFERROR(INDEX(ПАКЕТИ_ЦІНИ,MATCH($N$6&amp;"|Будні",ПАКЕТИ_КЛЮЧ,0),P$2+0),0))</f>
        <v>0</v>
      </c>
      <c r="W14" s="113" t="n">
        <f aca="false" t="array" ref="W14:W14">IF(OR(P$2=0,$N$5=0),0,IFERROR(INDEX(ПАКЕТИ_ЦІНИ,MATCH($N$6&amp;"|Будні",ПАКЕТИ_КЛЮЧ,0),P$2+1),0))</f>
        <v>0</v>
      </c>
      <c r="X14" s="113" t="n">
        <f aca="false" t="array" ref="X14:X14">IF(OR(P$2=0,$N$5=0),0,IFERROR(INDEX(ПАКЕТИ_ЦІНИ,MATCH($N$6&amp;"|Вихідні",ПАКЕТИ_КЛЮЧ,0),P$2+0),0))</f>
        <v>0</v>
      </c>
      <c r="Y14" s="113" t="n">
        <f aca="false" t="array" ref="Y14:Y14">IF(OR(P$2=0,$N$5=0),0,IFERROR(INDEX(ПАКЕТИ_ЦІНИ,MATCH($N$6&amp;"|Вихідні",ПАКЕТИ_КЛЮЧ,0),P$2+1),0))</f>
        <v>0</v>
      </c>
      <c r="Z14" s="113" t="n">
        <f aca="false" t="array" ref="Z14:Z14">IF(OR(P$2=0,$N$7=0,$A14=""),0,IFERROR(INDEX(SPA_ЦІНИ,MATCH(INDEX(ДОВ_SPA,MATCH($A14,КАТЕГОРІЇ,0)),SPA_РОЛЬ,0),P$2),0))</f>
        <v>0</v>
      </c>
      <c r="AA14" s="113" t="n">
        <f aca="false">IF(OR($A14="",P14=0,Q14=0,AND($N$5=1,$D$4&gt;0,V14=0),AND($N$5=1,$F$4&gt;0,W14=0),AND($N$7=1,Z14=0)),0,1)</f>
        <v>1</v>
      </c>
      <c r="AB14" s="113" t="n">
        <f aca="false">IF(OR(AA14=0,R14=0,AND($N$5=1,$D$4&gt;0,X14=0),AND($N$5=1,$F$4&gt;0,Y14=0)),0,1)</f>
        <v>1</v>
      </c>
      <c r="AC14" s="110"/>
      <c r="AD14" s="124" t="n">
        <f aca="false" t="array" ref="AD14:AD14">IF(OR(AD$2=0,$A14=""),0,IFERROR(INDEX(БАЗА_RO,MATCH(INDEX(ДОВ_ОПОРА,MATCH($A14,КАТЕГОРІЇ,0)),БАЗА_КАТ,0),AD$2),0))</f>
        <v>2600</v>
      </c>
      <c r="AE14" s="125" t="n">
        <f aca="false" t="array" ref="AE14:AE14">IF(OR(AD$2=0,$A14=""),0,IFERROR(INDEX(МНОЖНИКИ,MATCH($A14,МНОЖ_КАТ,0),AD$2),0))</f>
        <v>1</v>
      </c>
      <c r="AF14" s="125" t="n">
        <f aca="false" t="array" ref="AF14:AF14">IF(OR(AD$2=0,$A14=""),0,IFERROR(INDEX(МНОЖНИКИ,MATCH($A14,МНОЖ_КАТ,0),AD$2+1),0))</f>
        <v>1.1</v>
      </c>
      <c r="AG14" s="119" t="n">
        <f aca="false" t="array" ref="AG14:AG14">IF($A14="",0,IFERROR(INDEX(ДОВ_МАКС,MATCH($A14,КАТЕГОРІЇ,0)),0))</f>
        <v>2</v>
      </c>
      <c r="AH14" s="119" t="n">
        <f aca="false" t="array" ref="AH14:AH14">IF($A14="",0,IFERROR(INDEX(ДОВ_ВКЛ,MATCH($A14,КАТЕГОРІЇ,0)),0))</f>
        <v>2</v>
      </c>
      <c r="AI14" s="119" t="n">
        <f aca="false" t="array" ref="AI14:AI14">IF($A14="",0,IFERROR(INDEX(ДОВ_МІН,MATCH($A14,КАТЕГОРІЇ,0)),0))</f>
        <v>1</v>
      </c>
      <c r="AJ14" s="113" t="n">
        <f aca="false" t="array" ref="AJ14:AJ14">IF(OR(AD$2=0,$N$5=0),0,IFERROR(INDEX(ПАКЕТИ_ЦІНИ,MATCH($N$6&amp;"|Будні",ПАКЕТИ_КЛЮЧ,0),AD$2+0),0))</f>
        <v>0</v>
      </c>
      <c r="AK14" s="113" t="n">
        <f aca="false" t="array" ref="AK14:AK14">IF(OR(AD$2=0,$N$5=0),0,IFERROR(INDEX(ПАКЕТИ_ЦІНИ,MATCH($N$6&amp;"|Будні",ПАКЕТИ_КЛЮЧ,0),AD$2+1),0))</f>
        <v>0</v>
      </c>
      <c r="AL14" s="113" t="n">
        <f aca="false" t="array" ref="AL14:AL14">IF(OR(AD$2=0,$N$5=0),0,IFERROR(INDEX(ПАКЕТИ_ЦІНИ,MATCH($N$6&amp;"|Вихідні",ПАКЕТИ_КЛЮЧ,0),AD$2+0),0))</f>
        <v>0</v>
      </c>
      <c r="AM14" s="113" t="n">
        <f aca="false" t="array" ref="AM14:AM14">IF(OR(AD$2=0,$N$5=0),0,IFERROR(INDEX(ПАКЕТИ_ЦІНИ,MATCH($N$6&amp;"|Вихідні",ПАКЕТИ_КЛЮЧ,0),AD$2+1),0))</f>
        <v>0</v>
      </c>
      <c r="AN14" s="113" t="n">
        <f aca="false" t="array" ref="AN14:AN14">IF(OR(AD$2=0,$N$7=0,$A14=""),0,IFERROR(INDEX(SPA_ЦІНИ,MATCH(INDEX(ДОВ_SPA,MATCH($A14,КАТЕГОРІЇ,0)),SPA_РОЛЬ,0),AD$2),0))</f>
        <v>0</v>
      </c>
      <c r="AO14" s="113" t="n">
        <f aca="false">IF(OR($A14="",AD14=0,AE14=0,AND($N$5=1,$D$4&gt;0,AJ14=0),AND($N$5=1,$F$4&gt;0,AK14=0),AND($N$7=1,AN14=0)),0,1)</f>
        <v>1</v>
      </c>
      <c r="AP14" s="113" t="n">
        <f aca="false">IF(OR(AO14=0,AF14=0,AND($N$5=1,$D$4&gt;0,AL14=0),AND($N$5=1,$F$4&gt;0,AM14=0)),0,1)</f>
        <v>1</v>
      </c>
    </row>
    <row r="15" customFormat="false" ht="15" hidden="false" customHeight="true" outlineLevel="0" collapsed="false">
      <c r="A15" s="121" t="str">
        <f aca="false">IF('Довідник категорій'!A13="","",'Довідник категорій'!A13)</f>
        <v>Апартаменти покращені 28 м²</v>
      </c>
      <c r="B15" s="122" t="n">
        <f aca="false">IF(OR(AA15=0,($D$4+$F$4)=0,($D$4+$F$4)&gt;S15,($D$4+$F$4)&lt;U15),"",ROUND(P15*Q15*(1-P$3)/ОКРУГЛЕННЯ,0)*ОКРУГЛЕННЯ+MAX(0,($D$4+$F$4)-T15)*КРОК_ГОСТЯ*(1-P$3)+($D$4*V15+$F$4*W15)*(1-P$3*P$4)+Z15*(1-P$3*P$5))</f>
        <v>2726</v>
      </c>
      <c r="C15" s="122" t="n">
        <f aca="false">IF(OR(AB15=0,($D$4+$F$4)=0,($D$4+$F$4)&gt;S15,($D$4+$F$4)&lt;U15),"",ROUND(P15*Q15*R15*(1-P$3)/ОКРУГЛЕННЯ,0)*ОКРУГЛЕННЯ+MAX(0,($D$4+$F$4)-T15)*КРОК_ГОСТЯ*(1-P$3)+($D$4*X15+$F$4*Y15)*(1-P$3*P$4)+Z15*(1-P$3*P$5))</f>
        <v>2998</v>
      </c>
      <c r="D15" s="122" t="n">
        <f aca="false">IF(OR(AO15=0,($D$4+$F$4)=0,($D$4+$F$4)&gt;AG15,($D$4+$F$4)&lt;AI15),"",ROUND(AD15*AE15*(1-AD$3)/ОКРУГЛЕННЯ,0)*ОКРУГЛЕННЯ+MAX(0,($D$4+$F$4)-AH15)*КРОК_ГОСТЯ*(1-AD$3)+($D$4*AJ15+$F$4*AK15)*(1-AD$3*AD$4)+AN15*(1-AD$3*AD$5))</f>
        <v>3042</v>
      </c>
      <c r="E15" s="122" t="n">
        <f aca="false">IF(OR(AP15=0,($D$4+$F$4)=0,($D$4+$F$4)&gt;AG15,($D$4+$F$4)&lt;AI15),"",ROUND(AD15*AE15*AF15*(1-AD$3)/ОКРУГЛЕННЯ,0)*ОКРУГЛЕННЯ+MAX(0,($D$4+$F$4)-AH15)*КРОК_ГОСТЯ*(1-AD$3)+($D$4*AL15+$F$4*AM15)*(1-AD$3*AD$4)+AN15*(1-AD$3*AD$5))</f>
        <v>3346</v>
      </c>
      <c r="F15" s="122" t="n">
        <f aca="false">IF(OR(B15="",D15=""),"",D15-B15)</f>
        <v>316</v>
      </c>
      <c r="G15" s="122" t="n">
        <f aca="false">IF(OR(C15="",E15=""),"",E15-C15)</f>
        <v>348</v>
      </c>
      <c r="H15" s="123" t="n">
        <f aca="false">IF(OR(B15="",D15="",B15=0),"",D15/B15-1)</f>
        <v>0.115920763022744</v>
      </c>
      <c r="I15" s="123" t="n">
        <f aca="false">IF(OR(C15="",E15="",C15=0),"",E15/C15-1)</f>
        <v>0.116077384923282</v>
      </c>
      <c r="J15" s="110"/>
      <c r="K15" s="117" t="s">
        <v>168</v>
      </c>
      <c r="L15" s="127" t="n">
        <f aca="false">КРОК_ГОСТЯ</f>
        <v>500</v>
      </c>
      <c r="M15" s="110"/>
      <c r="N15" s="110"/>
      <c r="O15" s="110"/>
      <c r="P15" s="124" t="n">
        <f aca="false" t="array" ref="P15:P15">IF(OR(P$2=0,$A15=""),0,IFERROR(INDEX(БАЗА_RO,MATCH(INDEX(ДОВ_ОПОРА,MATCH($A15,КАТЕГОРІЇ,0)),БАЗА_КАТ,0),P$2),0))</f>
        <v>2370</v>
      </c>
      <c r="Q15" s="125" t="n">
        <f aca="false" t="array" ref="Q15:Q15">IF(OR(P$2=0,$A15=""),0,IFERROR(INDEX(МНОЖНИКИ,MATCH($A15,МНОЖ_КАТ,0),P$2),0))</f>
        <v>1.15</v>
      </c>
      <c r="R15" s="125" t="n">
        <f aca="false" t="array" ref="R15:R15">IF(OR(P$2=0,$A15=""),0,IFERROR(INDEX(МНОЖНИКИ,MATCH($A15,МНОЖ_КАТ,0),P$2+1),0))</f>
        <v>1.1</v>
      </c>
      <c r="S15" s="119" t="n">
        <f aca="false" t="array" ref="S15:S15">IF($A15="",0,IFERROR(INDEX(ДОВ_МАКС,MATCH($A15,КАТЕГОРІЇ,0)),0))</f>
        <v>2</v>
      </c>
      <c r="T15" s="119" t="n">
        <f aca="false" t="array" ref="T15:T15">IF($A15="",0,IFERROR(INDEX(ДОВ_ВКЛ,MATCH($A15,КАТЕГОРІЇ,0)),0))</f>
        <v>2</v>
      </c>
      <c r="U15" s="119" t="n">
        <f aca="false" t="array" ref="U15:U15">IF($A15="",0,IFERROR(INDEX(ДОВ_МІН,MATCH($A15,КАТЕГОРІЇ,0)),0))</f>
        <v>1</v>
      </c>
      <c r="V15" s="113" t="n">
        <f aca="false" t="array" ref="V15:V15">IF(OR(P$2=0,$N$5=0),0,IFERROR(INDEX(ПАКЕТИ_ЦІНИ,MATCH($N$6&amp;"|Будні",ПАКЕТИ_КЛЮЧ,0),P$2+0),0))</f>
        <v>0</v>
      </c>
      <c r="W15" s="113" t="n">
        <f aca="false" t="array" ref="W15:W15">IF(OR(P$2=0,$N$5=0),0,IFERROR(INDEX(ПАКЕТИ_ЦІНИ,MATCH($N$6&amp;"|Будні",ПАКЕТИ_КЛЮЧ,0),P$2+1),0))</f>
        <v>0</v>
      </c>
      <c r="X15" s="113" t="n">
        <f aca="false" t="array" ref="X15:X15">IF(OR(P$2=0,$N$5=0),0,IFERROR(INDEX(ПАКЕТИ_ЦІНИ,MATCH($N$6&amp;"|Вихідні",ПАКЕТИ_КЛЮЧ,0),P$2+0),0))</f>
        <v>0</v>
      </c>
      <c r="Y15" s="113" t="n">
        <f aca="false" t="array" ref="Y15:Y15">IF(OR(P$2=0,$N$5=0),0,IFERROR(INDEX(ПАКЕТИ_ЦІНИ,MATCH($N$6&amp;"|Вихідні",ПАКЕТИ_КЛЮЧ,0),P$2+1),0))</f>
        <v>0</v>
      </c>
      <c r="Z15" s="113" t="n">
        <f aca="false" t="array" ref="Z15:Z15">IF(OR(P$2=0,$N$7=0,$A15=""),0,IFERROR(INDEX(SPA_ЦІНИ,MATCH(INDEX(ДОВ_SPA,MATCH($A15,КАТЕГОРІЇ,0)),SPA_РОЛЬ,0),P$2),0))</f>
        <v>0</v>
      </c>
      <c r="AA15" s="113" t="n">
        <f aca="false">IF(OR($A15="",P15=0,Q15=0,AND($N$5=1,$D$4&gt;0,V15=0),AND($N$5=1,$F$4&gt;0,W15=0),AND($N$7=1,Z15=0)),0,1)</f>
        <v>1</v>
      </c>
      <c r="AB15" s="113" t="n">
        <f aca="false">IF(OR(AA15=0,R15=0,AND($N$5=1,$D$4&gt;0,X15=0),AND($N$5=1,$F$4&gt;0,Y15=0)),0,1)</f>
        <v>1</v>
      </c>
      <c r="AC15" s="110"/>
      <c r="AD15" s="124" t="n">
        <f aca="false" t="array" ref="AD15:AD15">IF(OR(AD$2=0,$A15=""),0,IFERROR(INDEX(БАЗА_RO,MATCH(INDEX(ДОВ_ОПОРА,MATCH($A15,КАТЕГОРІЇ,0)),БАЗА_КАТ,0),AD$2),0))</f>
        <v>2600</v>
      </c>
      <c r="AE15" s="125" t="n">
        <f aca="false" t="array" ref="AE15:AE15">IF(OR(AD$2=0,$A15=""),0,IFERROR(INDEX(МНОЖНИКИ,MATCH($A15,МНОЖ_КАТ,0),AD$2),0))</f>
        <v>1.17</v>
      </c>
      <c r="AF15" s="125" t="n">
        <f aca="false" t="array" ref="AF15:AF15">IF(OR(AD$2=0,$A15=""),0,IFERROR(INDEX(МНОЖНИКИ,MATCH($A15,МНОЖ_КАТ,0),AD$2+1),0))</f>
        <v>1.1</v>
      </c>
      <c r="AG15" s="119" t="n">
        <f aca="false" t="array" ref="AG15:AG15">IF($A15="",0,IFERROR(INDEX(ДОВ_МАКС,MATCH($A15,КАТЕГОРІЇ,0)),0))</f>
        <v>2</v>
      </c>
      <c r="AH15" s="119" t="n">
        <f aca="false" t="array" ref="AH15:AH15">IF($A15="",0,IFERROR(INDEX(ДОВ_ВКЛ,MATCH($A15,КАТЕГОРІЇ,0)),0))</f>
        <v>2</v>
      </c>
      <c r="AI15" s="119" t="n">
        <f aca="false" t="array" ref="AI15:AI15">IF($A15="",0,IFERROR(INDEX(ДОВ_МІН,MATCH($A15,КАТЕГОРІЇ,0)),0))</f>
        <v>1</v>
      </c>
      <c r="AJ15" s="113" t="n">
        <f aca="false" t="array" ref="AJ15:AJ15">IF(OR(AD$2=0,$N$5=0),0,IFERROR(INDEX(ПАКЕТИ_ЦІНИ,MATCH($N$6&amp;"|Будні",ПАКЕТИ_КЛЮЧ,0),AD$2+0),0))</f>
        <v>0</v>
      </c>
      <c r="AK15" s="113" t="n">
        <f aca="false" t="array" ref="AK15:AK15">IF(OR(AD$2=0,$N$5=0),0,IFERROR(INDEX(ПАКЕТИ_ЦІНИ,MATCH($N$6&amp;"|Будні",ПАКЕТИ_КЛЮЧ,0),AD$2+1),0))</f>
        <v>0</v>
      </c>
      <c r="AL15" s="113" t="n">
        <f aca="false" t="array" ref="AL15:AL15">IF(OR(AD$2=0,$N$5=0),0,IFERROR(INDEX(ПАКЕТИ_ЦІНИ,MATCH($N$6&amp;"|Вихідні",ПАКЕТИ_КЛЮЧ,0),AD$2+0),0))</f>
        <v>0</v>
      </c>
      <c r="AM15" s="113" t="n">
        <f aca="false" t="array" ref="AM15:AM15">IF(OR(AD$2=0,$N$5=0),0,IFERROR(INDEX(ПАКЕТИ_ЦІНИ,MATCH($N$6&amp;"|Вихідні",ПАКЕТИ_КЛЮЧ,0),AD$2+1),0))</f>
        <v>0</v>
      </c>
      <c r="AN15" s="113" t="n">
        <f aca="false" t="array" ref="AN15:AN15">IF(OR(AD$2=0,$N$7=0,$A15=""),0,IFERROR(INDEX(SPA_ЦІНИ,MATCH(INDEX(ДОВ_SPA,MATCH($A15,КАТЕГОРІЇ,0)),SPA_РОЛЬ,0),AD$2),0))</f>
        <v>0</v>
      </c>
      <c r="AO15" s="113" t="n">
        <f aca="false">IF(OR($A15="",AD15=0,AE15=0,AND($N$5=1,$D$4&gt;0,AJ15=0),AND($N$5=1,$F$4&gt;0,AK15=0),AND($N$7=1,AN15=0)),0,1)</f>
        <v>1</v>
      </c>
      <c r="AP15" s="113" t="n">
        <f aca="false">IF(OR(AO15=0,AF15=0,AND($N$5=1,$D$4&gt;0,AL15=0),AND($N$5=1,$F$4&gt;0,AM15=0)),0,1)</f>
        <v>1</v>
      </c>
    </row>
    <row r="16" customFormat="false" ht="15" hidden="false" customHeight="true" outlineLevel="0" collapsed="false">
      <c r="A16" s="126" t="str">
        <f aca="false">IF('Довідник категорій'!A14="","",'Довідник категорій'!A14)</f>
        <v>Апартаменти Люкс 25 м²</v>
      </c>
      <c r="B16" s="127" t="n">
        <f aca="false">IF(OR(AA16=0,($D$4+$F$4)=0,($D$4+$F$4)&gt;S16,($D$4+$F$4)&lt;U16),"",ROUND(P16*Q16*(1-P$3)/ОКРУГЛЕННЯ,0)*ОКРУГЛЕННЯ+MAX(0,($D$4+$F$4)-T16)*КРОК_ГОСТЯ*(1-P$3)+($D$4*V16+$F$4*W16)*(1-P$3*P$4)+Z16*(1-P$3*P$5))</f>
        <v>3200</v>
      </c>
      <c r="C16" s="127" t="n">
        <f aca="false">IF(OR(AB16=0,($D$4+$F$4)=0,($D$4+$F$4)&gt;S16,($D$4+$F$4)&lt;U16),"",ROUND(P16*Q16*R16*(1-P$3)/ОКРУГЛЕННЯ,0)*ОКРУГЛЕННЯ+MAX(0,($D$4+$F$4)-T16)*КРОК_ГОСТЯ*(1-P$3)+($D$4*X16+$F$4*Y16)*(1-P$3*P$4)+Z16*(1-P$3*P$5))</f>
        <v>3423</v>
      </c>
      <c r="D16" s="127" t="n">
        <f aca="false">IF(OR(AO16=0,($D$4+$F$4)=0,($D$4+$F$4)&gt;AG16,($D$4+$F$4)&lt;AI16),"",ROUND(AD16*AE16*(1-AD$3)/ОКРУГЛЕННЯ,0)*ОКРУГЛЕННЯ+MAX(0,($D$4+$F$4)-AH16)*КРОК_ГОСТЯ*(1-AD$3)+($D$4*AJ16+$F$4*AK16)*(1-AD$3*AD$4)+AN16*(1-AD$3*AD$5))</f>
        <v>3640</v>
      </c>
      <c r="E16" s="127" t="n">
        <f aca="false">IF(OR(AP16=0,($D$4+$F$4)=0,($D$4+$F$4)&gt;AG16,($D$4+$F$4)&lt;AI16),"",ROUND(AD16*AE16*AF16*(1-AD$3)/ОКРУГЛЕННЯ,0)*ОКРУГЛЕННЯ+MAX(0,($D$4+$F$4)-AH16)*КРОК_ГОСТЯ*(1-AD$3)+($D$4*AL16+$F$4*AM16)*(1-AD$3*AD$4)+AN16*(1-AD$3*AD$5))</f>
        <v>3895</v>
      </c>
      <c r="F16" s="127" t="n">
        <f aca="false">IF(OR(B16="",D16=""),"",D16-B16)</f>
        <v>440</v>
      </c>
      <c r="G16" s="127" t="n">
        <f aca="false">IF(OR(C16="",E16=""),"",E16-C16)</f>
        <v>472</v>
      </c>
      <c r="H16" s="128" t="n">
        <f aca="false">IF(OR(B16="",D16="",B16=0),"",D16/B16-1)</f>
        <v>0.1375</v>
      </c>
      <c r="I16" s="128" t="n">
        <f aca="false">IF(OR(C16="",E16="",C16=0),"",E16/C16-1)</f>
        <v>0.137890739117733</v>
      </c>
      <c r="J16" s="110"/>
      <c r="K16" s="117" t="s">
        <v>40</v>
      </c>
      <c r="L16" s="127" t="n">
        <f aca="false">ОКРУГЛЕННЯ</f>
        <v>1</v>
      </c>
      <c r="M16" s="110"/>
      <c r="N16" s="110"/>
      <c r="O16" s="110"/>
      <c r="P16" s="124" t="n">
        <f aca="false" t="array" ref="P16:P16">IF(OR(P$2=0,$A16=""),0,IFERROR(INDEX(БАЗА_RO,MATCH(INDEX(ДОВ_ОПОРА,MATCH($A16,КАТЕГОРІЇ,0)),БАЗА_КАТ,0),P$2),0))</f>
        <v>2370</v>
      </c>
      <c r="Q16" s="125" t="n">
        <f aca="false" t="array" ref="Q16:Q16">IF(OR(P$2=0,$A16=""),0,IFERROR(INDEX(МНОЖНИКИ,MATCH($A16,МНОЖ_КАТ,0),P$2),0))</f>
        <v>1.35</v>
      </c>
      <c r="R16" s="125" t="n">
        <f aca="false" t="array" ref="R16:R16">IF(OR(P$2=0,$A16=""),0,IFERROR(INDEX(МНОЖНИКИ,MATCH($A16,МНОЖ_КАТ,0),P$2+1),0))</f>
        <v>1.07</v>
      </c>
      <c r="S16" s="119" t="n">
        <f aca="false" t="array" ref="S16:S16">IF($A16="",0,IFERROR(INDEX(ДОВ_МАКС,MATCH($A16,КАТЕГОРІЇ,0)),0))</f>
        <v>2</v>
      </c>
      <c r="T16" s="119" t="n">
        <f aca="false" t="array" ref="T16:T16">IF($A16="",0,IFERROR(INDEX(ДОВ_ВКЛ,MATCH($A16,КАТЕГОРІЇ,0)),0))</f>
        <v>2</v>
      </c>
      <c r="U16" s="119" t="n">
        <f aca="false" t="array" ref="U16:U16">IF($A16="",0,IFERROR(INDEX(ДОВ_МІН,MATCH($A16,КАТЕГОРІЇ,0)),0))</f>
        <v>1</v>
      </c>
      <c r="V16" s="113" t="n">
        <f aca="false" t="array" ref="V16:V16">IF(OR(P$2=0,$N$5=0),0,IFERROR(INDEX(ПАКЕТИ_ЦІНИ,MATCH($N$6&amp;"|Будні",ПАКЕТИ_КЛЮЧ,0),P$2+0),0))</f>
        <v>0</v>
      </c>
      <c r="W16" s="113" t="n">
        <f aca="false" t="array" ref="W16:W16">IF(OR(P$2=0,$N$5=0),0,IFERROR(INDEX(ПАКЕТИ_ЦІНИ,MATCH($N$6&amp;"|Будні",ПАКЕТИ_КЛЮЧ,0),P$2+1),0))</f>
        <v>0</v>
      </c>
      <c r="X16" s="113" t="n">
        <f aca="false" t="array" ref="X16:X16">IF(OR(P$2=0,$N$5=0),0,IFERROR(INDEX(ПАКЕТИ_ЦІНИ,MATCH($N$6&amp;"|Вихідні",ПАКЕТИ_КЛЮЧ,0),P$2+0),0))</f>
        <v>0</v>
      </c>
      <c r="Y16" s="113" t="n">
        <f aca="false" t="array" ref="Y16:Y16">IF(OR(P$2=0,$N$5=0),0,IFERROR(INDEX(ПАКЕТИ_ЦІНИ,MATCH($N$6&amp;"|Вихідні",ПАКЕТИ_КЛЮЧ,0),P$2+1),0))</f>
        <v>0</v>
      </c>
      <c r="Z16" s="113" t="n">
        <f aca="false" t="array" ref="Z16:Z16">IF(OR(P$2=0,$N$7=0,$A16=""),0,IFERROR(INDEX(SPA_ЦІНИ,MATCH(INDEX(ДОВ_SPA,MATCH($A16,КАТЕГОРІЇ,0)),SPA_РОЛЬ,0),P$2),0))</f>
        <v>0</v>
      </c>
      <c r="AA16" s="113" t="n">
        <f aca="false">IF(OR($A16="",P16=0,Q16=0,AND($N$5=1,$D$4&gt;0,V16=0),AND($N$5=1,$F$4&gt;0,W16=0),AND($N$7=1,Z16=0)),0,1)</f>
        <v>1</v>
      </c>
      <c r="AB16" s="113" t="n">
        <f aca="false">IF(OR(AA16=0,R16=0,AND($N$5=1,$D$4&gt;0,X16=0),AND($N$5=1,$F$4&gt;0,Y16=0)),0,1)</f>
        <v>1</v>
      </c>
      <c r="AC16" s="110"/>
      <c r="AD16" s="124" t="n">
        <f aca="false" t="array" ref="AD16:AD16">IF(OR(AD$2=0,$A16=""),0,IFERROR(INDEX(БАЗА_RO,MATCH(INDEX(ДОВ_ОПОРА,MATCH($A16,КАТЕГОРІЇ,0)),БАЗА_КАТ,0),AD$2),0))</f>
        <v>2600</v>
      </c>
      <c r="AE16" s="125" t="n">
        <f aca="false" t="array" ref="AE16:AE16">IF(OR(AD$2=0,$A16=""),0,IFERROR(INDEX(МНОЖНИКИ,MATCH($A16,МНОЖ_КАТ,0),AD$2),0))</f>
        <v>1.4</v>
      </c>
      <c r="AF16" s="125" t="n">
        <f aca="false" t="array" ref="AF16:AF16">IF(OR(AD$2=0,$A16=""),0,IFERROR(INDEX(МНОЖНИКИ,MATCH($A16,МНОЖ_КАТ,0),AD$2+1),0))</f>
        <v>1.07</v>
      </c>
      <c r="AG16" s="119" t="n">
        <f aca="false" t="array" ref="AG16:AG16">IF($A16="",0,IFERROR(INDEX(ДОВ_МАКС,MATCH($A16,КАТЕГОРІЇ,0)),0))</f>
        <v>2</v>
      </c>
      <c r="AH16" s="119" t="n">
        <f aca="false" t="array" ref="AH16:AH16">IF($A16="",0,IFERROR(INDEX(ДОВ_ВКЛ,MATCH($A16,КАТЕГОРІЇ,0)),0))</f>
        <v>2</v>
      </c>
      <c r="AI16" s="119" t="n">
        <f aca="false" t="array" ref="AI16:AI16">IF($A16="",0,IFERROR(INDEX(ДОВ_МІН,MATCH($A16,КАТЕГОРІЇ,0)),0))</f>
        <v>1</v>
      </c>
      <c r="AJ16" s="113" t="n">
        <f aca="false" t="array" ref="AJ16:AJ16">IF(OR(AD$2=0,$N$5=0),0,IFERROR(INDEX(ПАКЕТИ_ЦІНИ,MATCH($N$6&amp;"|Будні",ПАКЕТИ_КЛЮЧ,0),AD$2+0),0))</f>
        <v>0</v>
      </c>
      <c r="AK16" s="113" t="n">
        <f aca="false" t="array" ref="AK16:AK16">IF(OR(AD$2=0,$N$5=0),0,IFERROR(INDEX(ПАКЕТИ_ЦІНИ,MATCH($N$6&amp;"|Будні",ПАКЕТИ_КЛЮЧ,0),AD$2+1),0))</f>
        <v>0</v>
      </c>
      <c r="AL16" s="113" t="n">
        <f aca="false" t="array" ref="AL16:AL16">IF(OR(AD$2=0,$N$5=0),0,IFERROR(INDEX(ПАКЕТИ_ЦІНИ,MATCH($N$6&amp;"|Вихідні",ПАКЕТИ_КЛЮЧ,0),AD$2+0),0))</f>
        <v>0</v>
      </c>
      <c r="AM16" s="113" t="n">
        <f aca="false" t="array" ref="AM16:AM16">IF(OR(AD$2=0,$N$5=0),0,IFERROR(INDEX(ПАКЕТИ_ЦІНИ,MATCH($N$6&amp;"|Вихідні",ПАКЕТИ_КЛЮЧ,0),AD$2+1),0))</f>
        <v>0</v>
      </c>
      <c r="AN16" s="113" t="n">
        <f aca="false" t="array" ref="AN16:AN16">IF(OR(AD$2=0,$N$7=0,$A16=""),0,IFERROR(INDEX(SPA_ЦІНИ,MATCH(INDEX(ДОВ_SPA,MATCH($A16,КАТЕГОРІЇ,0)),SPA_РОЛЬ,0),AD$2),0))</f>
        <v>0</v>
      </c>
      <c r="AO16" s="113" t="n">
        <f aca="false">IF(OR($A16="",AD16=0,AE16=0,AND($N$5=1,$D$4&gt;0,AJ16=0),AND($N$5=1,$F$4&gt;0,AK16=0),AND($N$7=1,AN16=0)),0,1)</f>
        <v>1</v>
      </c>
      <c r="AP16" s="113" t="n">
        <f aca="false">IF(OR(AO16=0,AF16=0,AND($N$5=1,$D$4&gt;0,AL16=0),AND($N$5=1,$F$4&gt;0,AM16=0)),0,1)</f>
        <v>1</v>
      </c>
    </row>
    <row r="17" customFormat="false" ht="15" hidden="false" customHeight="true" outlineLevel="0" collapsed="false">
      <c r="A17" s="121" t="str">
        <f aca="false">IF('Довідник категорій'!A15="","",'Довідник категорій'!A15)</f>
        <v>Люкс зі спальнею та вітальнею</v>
      </c>
      <c r="B17" s="122" t="n">
        <f aca="false">IF(OR(AA17=0,($D$4+$F$4)=0,($D$4+$F$4)&gt;S17,($D$4+$F$4)&lt;U17),"",ROUND(P17*Q17*(1-P$3)/ОКРУГЛЕННЯ,0)*ОКРУГЛЕННЯ+MAX(0,($D$4+$F$4)-T17)*КРОК_ГОСТЯ*(1-P$3)+($D$4*V17+$F$4*W17)*(1-P$3*P$4)+Z17*(1-P$3*P$5))</f>
        <v>3792</v>
      </c>
      <c r="C17" s="122" t="n">
        <f aca="false">IF(OR(AB17=0,($D$4+$F$4)=0,($D$4+$F$4)&gt;S17,($D$4+$F$4)&lt;U17),"",ROUND(P17*Q17*R17*(1-P$3)/ОКРУГЛЕННЯ,0)*ОКРУГЛЕННЯ+MAX(0,($D$4+$F$4)-T17)*КРОК_ГОСТЯ*(1-P$3)+($D$4*X17+$F$4*Y17)*(1-P$3*P$4)+Z17*(1-P$3*P$5))</f>
        <v>4039</v>
      </c>
      <c r="D17" s="122" t="n">
        <f aca="false">IF(OR(AO17=0,($D$4+$F$4)=0,($D$4+$F$4)&gt;AG17,($D$4+$F$4)&lt;AI17),"",ROUND(AD17*AE17*(1-AD$3)/ОКРУГЛЕННЯ,0)*ОКРУГЛЕННЯ+MAX(0,($D$4+$F$4)-AH17)*КРОК_ГОСТЯ*(1-AD$3)+($D$4*AJ17+$F$4*AK17)*(1-AD$3*AD$4)+AN17*(1-AD$3*AD$5))</f>
        <v>4160</v>
      </c>
      <c r="E17" s="122" t="n">
        <f aca="false">IF(OR(AP17=0,($D$4+$F$4)=0,($D$4+$F$4)&gt;AG17,($D$4+$F$4)&lt;AI17),"",ROUND(AD17*AE17*AF17*(1-AD$3)/ОКРУГЛЕННЯ,0)*ОКРУГЛЕННЯ+MAX(0,($D$4+$F$4)-AH17)*КРОК_ГОСТЯ*(1-AD$3)+($D$4*AL17+$F$4*AM17)*(1-AD$3*AD$4)+AN17*(1-AD$3*AD$5))</f>
        <v>4431</v>
      </c>
      <c r="F17" s="122" t="n">
        <f aca="false">IF(OR(B17="",D17=""),"",D17-B17)</f>
        <v>368</v>
      </c>
      <c r="G17" s="122" t="n">
        <f aca="false">IF(OR(C17="",E17=""),"",E17-C17)</f>
        <v>392</v>
      </c>
      <c r="H17" s="123" t="n">
        <f aca="false">IF(OR(B17="",D17="",B17=0),"",D17/B17-1)</f>
        <v>0.0970464135021096</v>
      </c>
      <c r="I17" s="123" t="n">
        <f aca="false">IF(OR(C17="",E17="",C17=0),"",E17/C17-1)</f>
        <v>0.0970537261698441</v>
      </c>
      <c r="J17" s="110"/>
      <c r="K17" s="110"/>
      <c r="L17" s="110"/>
      <c r="M17" s="110"/>
      <c r="N17" s="110"/>
      <c r="O17" s="110"/>
      <c r="P17" s="124" t="n">
        <f aca="false" t="array" ref="P17:P17">IF(OR(P$2=0,$A17=""),0,IFERROR(INDEX(БАЗА_RO,MATCH(INDEX(ДОВ_ОПОРА,MATCH($A17,КАТЕГОРІЇ,0)),БАЗА_КАТ,0),P$2),0))</f>
        <v>2370</v>
      </c>
      <c r="Q17" s="125" t="n">
        <f aca="false" t="array" ref="Q17:Q17">IF(OR(P$2=0,$A17=""),0,IFERROR(INDEX(МНОЖНИКИ,MATCH($A17,МНОЖ_КАТ,0),P$2),0))</f>
        <v>1.6</v>
      </c>
      <c r="R17" s="125" t="n">
        <f aca="false" t="array" ref="R17:R17">IF(OR(P$2=0,$A17=""),0,IFERROR(INDEX(МНОЖНИКИ,MATCH($A17,МНОЖ_КАТ,0),P$2+1),0))</f>
        <v>1.0652</v>
      </c>
      <c r="S17" s="119" t="n">
        <f aca="false" t="array" ref="S17:S17">IF($A17="",0,IFERROR(INDEX(ДОВ_МАКС,MATCH($A17,КАТЕГОРІЇ,0)),0))</f>
        <v>3</v>
      </c>
      <c r="T17" s="119" t="n">
        <f aca="false" t="array" ref="T17:T17">IF($A17="",0,IFERROR(INDEX(ДОВ_ВКЛ,MATCH($A17,КАТЕГОРІЇ,0)),0))</f>
        <v>2</v>
      </c>
      <c r="U17" s="119" t="n">
        <f aca="false" t="array" ref="U17:U17">IF($A17="",0,IFERROR(INDEX(ДОВ_МІН,MATCH($A17,КАТЕГОРІЇ,0)),0))</f>
        <v>1</v>
      </c>
      <c r="V17" s="113" t="n">
        <f aca="false" t="array" ref="V17:V17">IF(OR(P$2=0,$N$5=0),0,IFERROR(INDEX(ПАКЕТИ_ЦІНИ,MATCH($N$6&amp;"|Будні",ПАКЕТИ_КЛЮЧ,0),P$2+0),0))</f>
        <v>0</v>
      </c>
      <c r="W17" s="113" t="n">
        <f aca="false" t="array" ref="W17:W17">IF(OR(P$2=0,$N$5=0),0,IFERROR(INDEX(ПАКЕТИ_ЦІНИ,MATCH($N$6&amp;"|Будні",ПАКЕТИ_КЛЮЧ,0),P$2+1),0))</f>
        <v>0</v>
      </c>
      <c r="X17" s="113" t="n">
        <f aca="false" t="array" ref="X17:X17">IF(OR(P$2=0,$N$5=0),0,IFERROR(INDEX(ПАКЕТИ_ЦІНИ,MATCH($N$6&amp;"|Вихідні",ПАКЕТИ_КЛЮЧ,0),P$2+0),0))</f>
        <v>0</v>
      </c>
      <c r="Y17" s="113" t="n">
        <f aca="false" t="array" ref="Y17:Y17">IF(OR(P$2=0,$N$5=0),0,IFERROR(INDEX(ПАКЕТИ_ЦІНИ,MATCH($N$6&amp;"|Вихідні",ПАКЕТИ_КЛЮЧ,0),P$2+1),0))</f>
        <v>0</v>
      </c>
      <c r="Z17" s="113" t="n">
        <f aca="false" t="array" ref="Z17:Z17">IF(OR(P$2=0,$N$7=0,$A17=""),0,IFERROR(INDEX(SPA_ЦІНИ,MATCH(INDEX(ДОВ_SPA,MATCH($A17,КАТЕГОРІЇ,0)),SPA_РОЛЬ,0),P$2),0))</f>
        <v>0</v>
      </c>
      <c r="AA17" s="113" t="n">
        <f aca="false">IF(OR($A17="",P17=0,Q17=0,AND($N$5=1,$D$4&gt;0,V17=0),AND($N$5=1,$F$4&gt;0,W17=0),AND($N$7=1,Z17=0)),0,1)</f>
        <v>1</v>
      </c>
      <c r="AB17" s="113" t="n">
        <f aca="false">IF(OR(AA17=0,R17=0,AND($N$5=1,$D$4&gt;0,X17=0),AND($N$5=1,$F$4&gt;0,Y17=0)),0,1)</f>
        <v>1</v>
      </c>
      <c r="AC17" s="110"/>
      <c r="AD17" s="124" t="n">
        <f aca="false" t="array" ref="AD17:AD17">IF(OR(AD$2=0,$A17=""),0,IFERROR(INDEX(БАЗА_RO,MATCH(INDEX(ДОВ_ОПОРА,MATCH($A17,КАТЕГОРІЇ,0)),БАЗА_КАТ,0),AD$2),0))</f>
        <v>2600</v>
      </c>
      <c r="AE17" s="125" t="n">
        <f aca="false" t="array" ref="AE17:AE17">IF(OR(AD$2=0,$A17=""),0,IFERROR(INDEX(МНОЖНИКИ,MATCH($A17,МНОЖ_КАТ,0),AD$2),0))</f>
        <v>1.6</v>
      </c>
      <c r="AF17" s="125" t="n">
        <f aca="false" t="array" ref="AF17:AF17">IF(OR(AD$2=0,$A17=""),0,IFERROR(INDEX(МНОЖНИКИ,MATCH($A17,МНОЖ_КАТ,0),AD$2+1),0))</f>
        <v>1.0652</v>
      </c>
      <c r="AG17" s="119" t="n">
        <f aca="false" t="array" ref="AG17:AG17">IF($A17="",0,IFERROR(INDEX(ДОВ_МАКС,MATCH($A17,КАТЕГОРІЇ,0)),0))</f>
        <v>3</v>
      </c>
      <c r="AH17" s="119" t="n">
        <f aca="false" t="array" ref="AH17:AH17">IF($A17="",0,IFERROR(INDEX(ДОВ_ВКЛ,MATCH($A17,КАТЕГОРІЇ,0)),0))</f>
        <v>2</v>
      </c>
      <c r="AI17" s="119" t="n">
        <f aca="false" t="array" ref="AI17:AI17">IF($A17="",0,IFERROR(INDEX(ДОВ_МІН,MATCH($A17,КАТЕГОРІЇ,0)),0))</f>
        <v>1</v>
      </c>
      <c r="AJ17" s="113" t="n">
        <f aca="false" t="array" ref="AJ17:AJ17">IF(OR(AD$2=0,$N$5=0),0,IFERROR(INDEX(ПАКЕТИ_ЦІНИ,MATCH($N$6&amp;"|Будні",ПАКЕТИ_КЛЮЧ,0),AD$2+0),0))</f>
        <v>0</v>
      </c>
      <c r="AK17" s="113" t="n">
        <f aca="false" t="array" ref="AK17:AK17">IF(OR(AD$2=0,$N$5=0),0,IFERROR(INDEX(ПАКЕТИ_ЦІНИ,MATCH($N$6&amp;"|Будні",ПАКЕТИ_КЛЮЧ,0),AD$2+1),0))</f>
        <v>0</v>
      </c>
      <c r="AL17" s="113" t="n">
        <f aca="false" t="array" ref="AL17:AL17">IF(OR(AD$2=0,$N$5=0),0,IFERROR(INDEX(ПАКЕТИ_ЦІНИ,MATCH($N$6&amp;"|Вихідні",ПАКЕТИ_КЛЮЧ,0),AD$2+0),0))</f>
        <v>0</v>
      </c>
      <c r="AM17" s="113" t="n">
        <f aca="false" t="array" ref="AM17:AM17">IF(OR(AD$2=0,$N$5=0),0,IFERROR(INDEX(ПАКЕТИ_ЦІНИ,MATCH($N$6&amp;"|Вихідні",ПАКЕТИ_КЛЮЧ,0),AD$2+1),0))</f>
        <v>0</v>
      </c>
      <c r="AN17" s="113" t="n">
        <f aca="false" t="array" ref="AN17:AN17">IF(OR(AD$2=0,$N$7=0,$A17=""),0,IFERROR(INDEX(SPA_ЦІНИ,MATCH(INDEX(ДОВ_SPA,MATCH($A17,КАТЕГОРІЇ,0)),SPA_РОЛЬ,0),AD$2),0))</f>
        <v>0</v>
      </c>
      <c r="AO17" s="113" t="n">
        <f aca="false">IF(OR($A17="",AD17=0,AE17=0,AND($N$5=1,$D$4&gt;0,AJ17=0),AND($N$5=1,$F$4&gt;0,AK17=0),AND($N$7=1,AN17=0)),0,1)</f>
        <v>1</v>
      </c>
      <c r="AP17" s="113" t="n">
        <f aca="false">IF(OR(AO17=0,AF17=0,AND($N$5=1,$D$4&gt;0,AL17=0),AND($N$5=1,$F$4&gt;0,AM17=0)),0,1)</f>
        <v>1</v>
      </c>
    </row>
    <row r="18" customFormat="false" ht="15" hidden="false" customHeight="true" outlineLevel="0" collapsed="false">
      <c r="A18" s="126" t="str">
        <f aca="false">IF('Довідник категорій'!A16="","",'Довідник категорій'!A16)</f>
        <v>Люкс з видом на гори (з 2-ма спальнями) 61 м²</v>
      </c>
      <c r="B18" s="127" t="n">
        <f aca="false">IF(OR(AA18=0,($D$4+$F$4)=0,($D$4+$F$4)&gt;S18,($D$4+$F$4)&lt;U18),"",ROUND(P18*Q18*(1-P$3)/ОКРУГЛЕННЯ,0)*ОКРУГЛЕННЯ+MAX(0,($D$4+$F$4)-T18)*КРОК_ГОСТЯ*(1-P$3)+($D$4*V18+$F$4*W18)*(1-P$3*P$4)+Z18*(1-P$3*P$5))</f>
        <v>4503</v>
      </c>
      <c r="C18" s="127" t="n">
        <f aca="false">IF(OR(AB18=0,($D$4+$F$4)=0,($D$4+$F$4)&gt;S18,($D$4+$F$4)&lt;U18),"",ROUND(P18*Q18*R18*(1-P$3)/ОКРУГЛЕННЯ,0)*ОКРУГЛЕННЯ+MAX(0,($D$4+$F$4)-T18)*КРОК_ГОСТЯ*(1-P$3)+($D$4*X18+$F$4*Y18)*(1-P$3*P$4)+Z18*(1-P$3*P$5))</f>
        <v>4818</v>
      </c>
      <c r="D18" s="127" t="n">
        <f aca="false">IF(OR(AO18=0,($D$4+$F$4)=0,($D$4+$F$4)&gt;AG18,($D$4+$F$4)&lt;AI18),"",ROUND(AD18*AE18*(1-AD$3)/ОКРУГЛЕННЯ,0)*ОКРУГЛЕННЯ+MAX(0,($D$4+$F$4)-AH18)*КРОК_ГОСТЯ*(1-AD$3)+($D$4*AJ18+$F$4*AK18)*(1-AD$3*AD$4)+AN18*(1-AD$3*AD$5))</f>
        <v>4940</v>
      </c>
      <c r="E18" s="127" t="n">
        <f aca="false">IF(OR(AP18=0,($D$4+$F$4)=0,($D$4+$F$4)&gt;AG18,($D$4+$F$4)&lt;AI18),"",ROUND(AD18*AE18*AF18*(1-AD$3)/ОКРУГЛЕННЯ,0)*ОКРУГЛЕННЯ+MAX(0,($D$4+$F$4)-AH18)*КРОК_ГОСТЯ*(1-AD$3)+($D$4*AL18+$F$4*AM18)*(1-AD$3*AD$4)+AN18*(1-AD$3*AD$5))</f>
        <v>5286</v>
      </c>
      <c r="F18" s="127" t="n">
        <f aca="false">IF(OR(B18="",D18=""),"",D18-B18)</f>
        <v>437</v>
      </c>
      <c r="G18" s="127" t="n">
        <f aca="false">IF(OR(C18="",E18=""),"",E18-C18)</f>
        <v>468</v>
      </c>
      <c r="H18" s="128" t="n">
        <f aca="false">IF(OR(B18="",D18="",B18=0),"",D18/B18-1)</f>
        <v>0.0970464135021096</v>
      </c>
      <c r="I18" s="128" t="n">
        <f aca="false">IF(OR(C18="",E18="",C18=0),"",E18/C18-1)</f>
        <v>0.0971357409713574</v>
      </c>
      <c r="J18" s="110"/>
      <c r="K18" s="132" t="s">
        <v>169</v>
      </c>
      <c r="L18" s="132"/>
      <c r="M18" s="110"/>
      <c r="N18" s="110"/>
      <c r="O18" s="110"/>
      <c r="P18" s="124" t="n">
        <f aca="false" t="array" ref="P18:P18">IF(OR(P$2=0,$A18=""),0,IFERROR(INDEX(БАЗА_RO,MATCH(INDEX(ДОВ_ОПОРА,MATCH($A18,КАТЕГОРІЇ,0)),БАЗА_КАТ,0),P$2),0))</f>
        <v>2370</v>
      </c>
      <c r="Q18" s="125" t="n">
        <f aca="false" t="array" ref="Q18:Q18">IF(OR(P$2=0,$A18=""),0,IFERROR(INDEX(МНОЖНИКИ,MATCH($A18,МНОЖ_КАТ,0),P$2),0))</f>
        <v>1.9</v>
      </c>
      <c r="R18" s="125" t="n">
        <f aca="false" t="array" ref="R18:R18">IF(OR(P$2=0,$A18=""),0,IFERROR(INDEX(МНОЖНИКИ,MATCH($A18,МНОЖ_КАТ,0),P$2+1),0))</f>
        <v>1.07</v>
      </c>
      <c r="S18" s="119" t="n">
        <f aca="false" t="array" ref="S18:S18">IF($A18="",0,IFERROR(INDEX(ДОВ_МАКС,MATCH($A18,КАТЕГОРІЇ,0)),0))</f>
        <v>5</v>
      </c>
      <c r="T18" s="119" t="n">
        <f aca="false" t="array" ref="T18:T18">IF($A18="",0,IFERROR(INDEX(ДОВ_ВКЛ,MATCH($A18,КАТЕГОРІЇ,0)),0))</f>
        <v>2</v>
      </c>
      <c r="U18" s="119" t="n">
        <f aca="false" t="array" ref="U18:U18">IF($A18="",0,IFERROR(INDEX(ДОВ_МІН,MATCH($A18,КАТЕГОРІЇ,0)),0))</f>
        <v>1</v>
      </c>
      <c r="V18" s="113" t="n">
        <f aca="false" t="array" ref="V18:V18">IF(OR(P$2=0,$N$5=0),0,IFERROR(INDEX(ПАКЕТИ_ЦІНИ,MATCH($N$6&amp;"|Будні",ПАКЕТИ_КЛЮЧ,0),P$2+0),0))</f>
        <v>0</v>
      </c>
      <c r="W18" s="113" t="n">
        <f aca="false" t="array" ref="W18:W18">IF(OR(P$2=0,$N$5=0),0,IFERROR(INDEX(ПАКЕТИ_ЦІНИ,MATCH($N$6&amp;"|Будні",ПАКЕТИ_КЛЮЧ,0),P$2+1),0))</f>
        <v>0</v>
      </c>
      <c r="X18" s="113" t="n">
        <f aca="false" t="array" ref="X18:X18">IF(OR(P$2=0,$N$5=0),0,IFERROR(INDEX(ПАКЕТИ_ЦІНИ,MATCH($N$6&amp;"|Вихідні",ПАКЕТИ_КЛЮЧ,0),P$2+0),0))</f>
        <v>0</v>
      </c>
      <c r="Y18" s="113" t="n">
        <f aca="false" t="array" ref="Y18:Y18">IF(OR(P$2=0,$N$5=0),0,IFERROR(INDEX(ПАКЕТИ_ЦІНИ,MATCH($N$6&amp;"|Вихідні",ПАКЕТИ_КЛЮЧ,0),P$2+1),0))</f>
        <v>0</v>
      </c>
      <c r="Z18" s="113" t="n">
        <f aca="false" t="array" ref="Z18:Z18">IF(OR(P$2=0,$N$7=0,$A18=""),0,IFERROR(INDEX(SPA_ЦІНИ,MATCH(INDEX(ДОВ_SPA,MATCH($A18,КАТЕГОРІЇ,0)),SPA_РОЛЬ,0),P$2),0))</f>
        <v>0</v>
      </c>
      <c r="AA18" s="113" t="n">
        <f aca="false">IF(OR($A18="",P18=0,Q18=0,AND($N$5=1,$D$4&gt;0,V18=0),AND($N$5=1,$F$4&gt;0,W18=0),AND($N$7=1,Z18=0)),0,1)</f>
        <v>1</v>
      </c>
      <c r="AB18" s="113" t="n">
        <f aca="false">IF(OR(AA18=0,R18=0,AND($N$5=1,$D$4&gt;0,X18=0),AND($N$5=1,$F$4&gt;0,Y18=0)),0,1)</f>
        <v>1</v>
      </c>
      <c r="AC18" s="110"/>
      <c r="AD18" s="124" t="n">
        <f aca="false" t="array" ref="AD18:AD18">IF(OR(AD$2=0,$A18=""),0,IFERROR(INDEX(БАЗА_RO,MATCH(INDEX(ДОВ_ОПОРА,MATCH($A18,КАТЕГОРІЇ,0)),БАЗА_КАТ,0),AD$2),0))</f>
        <v>2600</v>
      </c>
      <c r="AE18" s="125" t="n">
        <f aca="false" t="array" ref="AE18:AE18">IF(OR(AD$2=0,$A18=""),0,IFERROR(INDEX(МНОЖНИКИ,MATCH($A18,МНОЖ_КАТ,0),AD$2),0))</f>
        <v>1.9</v>
      </c>
      <c r="AF18" s="125" t="n">
        <f aca="false" t="array" ref="AF18:AF18">IF(OR(AD$2=0,$A18=""),0,IFERROR(INDEX(МНОЖНИКИ,MATCH($A18,МНОЖ_КАТ,0),AD$2+1),0))</f>
        <v>1.07</v>
      </c>
      <c r="AG18" s="119" t="n">
        <f aca="false" t="array" ref="AG18:AG18">IF($A18="",0,IFERROR(INDEX(ДОВ_МАКС,MATCH($A18,КАТЕГОРІЇ,0)),0))</f>
        <v>5</v>
      </c>
      <c r="AH18" s="119" t="n">
        <f aca="false" t="array" ref="AH18:AH18">IF($A18="",0,IFERROR(INDEX(ДОВ_ВКЛ,MATCH($A18,КАТЕГОРІЇ,0)),0))</f>
        <v>2</v>
      </c>
      <c r="AI18" s="119" t="n">
        <f aca="false" t="array" ref="AI18:AI18">IF($A18="",0,IFERROR(INDEX(ДОВ_МІН,MATCH($A18,КАТЕГОРІЇ,0)),0))</f>
        <v>1</v>
      </c>
      <c r="AJ18" s="113" t="n">
        <f aca="false" t="array" ref="AJ18:AJ18">IF(OR(AD$2=0,$N$5=0),0,IFERROR(INDEX(ПАКЕТИ_ЦІНИ,MATCH($N$6&amp;"|Будні",ПАКЕТИ_КЛЮЧ,0),AD$2+0),0))</f>
        <v>0</v>
      </c>
      <c r="AK18" s="113" t="n">
        <f aca="false" t="array" ref="AK18:AK18">IF(OR(AD$2=0,$N$5=0),0,IFERROR(INDEX(ПАКЕТИ_ЦІНИ,MATCH($N$6&amp;"|Будні",ПАКЕТИ_КЛЮЧ,0),AD$2+1),0))</f>
        <v>0</v>
      </c>
      <c r="AL18" s="113" t="n">
        <f aca="false" t="array" ref="AL18:AL18">IF(OR(AD$2=0,$N$5=0),0,IFERROR(INDEX(ПАКЕТИ_ЦІНИ,MATCH($N$6&amp;"|Вихідні",ПАКЕТИ_КЛЮЧ,0),AD$2+0),0))</f>
        <v>0</v>
      </c>
      <c r="AM18" s="113" t="n">
        <f aca="false" t="array" ref="AM18:AM18">IF(OR(AD$2=0,$N$5=0),0,IFERROR(INDEX(ПАКЕТИ_ЦІНИ,MATCH($N$6&amp;"|Вихідні",ПАКЕТИ_КЛЮЧ,0),AD$2+1),0))</f>
        <v>0</v>
      </c>
      <c r="AN18" s="113" t="n">
        <f aca="false" t="array" ref="AN18:AN18">IF(OR(AD$2=0,$N$7=0,$A18=""),0,IFERROR(INDEX(SPA_ЦІНИ,MATCH(INDEX(ДОВ_SPA,MATCH($A18,КАТЕГОРІЇ,0)),SPA_РОЛЬ,0),AD$2),0))</f>
        <v>0</v>
      </c>
      <c r="AO18" s="113" t="n">
        <f aca="false">IF(OR($A18="",AD18=0,AE18=0,AND($N$5=1,$D$4&gt;0,AJ18=0),AND($N$5=1,$F$4&gt;0,AK18=0),AND($N$7=1,AN18=0)),0,1)</f>
        <v>1</v>
      </c>
      <c r="AP18" s="113" t="n">
        <f aca="false">IF(OR(AO18=0,AF18=0,AND($N$5=1,$D$4&gt;0,AL18=0),AND($N$5=1,$F$4&gt;0,AM18=0)),0,1)</f>
        <v>1</v>
      </c>
    </row>
    <row r="19" customFormat="false" ht="15" hidden="false" customHeight="true" outlineLevel="0" collapsed="false">
      <c r="A19" s="121" t="str">
        <f aca="false">IF('Довідник категорій'!A17="","",'Довідник категорій'!A17)</f>
        <v>Апартаменти 1-й поверх 45 м²</v>
      </c>
      <c r="B19" s="122" t="n">
        <f aca="false">IF(OR(AA19=0,($D$4+$F$4)=0,($D$4+$F$4)&gt;S19,($D$4+$F$4)&lt;U19),"",ROUND(P19*Q19*(1-P$3)/ОКРУГЛЕННЯ,0)*ОКРУГЛЕННЯ+MAX(0,($D$4+$F$4)-T19)*КРОК_ГОСТЯ*(1-P$3)+($D$4*V19+$F$4*W19)*(1-P$3*P$4)+Z19*(1-P$3*P$5))</f>
        <v>2930</v>
      </c>
      <c r="C19" s="122" t="n">
        <f aca="false">IF(OR(AB19=0,($D$4+$F$4)=0,($D$4+$F$4)&gt;S19,($D$4+$F$4)&lt;U19),"",ROUND(P19*Q19*R19*(1-P$3)/ОКРУГЛЕННЯ,0)*ОКРУГЛЕННЯ+MAX(0,($D$4+$F$4)-T19)*КРОК_ГОСТЯ*(1-P$3)+($D$4*X19+$F$4*Y19)*(1-P$3*P$4)+Z19*(1-P$3*P$5))</f>
        <v>3135</v>
      </c>
      <c r="D19" s="122" t="n">
        <f aca="false">IF(OR(AO19=0,($D$4+$F$4)=0,($D$4+$F$4)&gt;AG19,($D$4+$F$4)&lt;AI19),"",ROUND(AD19*AE19*(1-AD$3)/ОКРУГЛЕННЯ,0)*ОКРУГЛЕННЯ+MAX(0,($D$4+$F$4)-AH19)*КРОК_ГОСТЯ*(1-AD$3)+($D$4*AJ19+$F$4*AK19)*(1-AD$3*AD$4)+AN19*(1-AD$3*AD$5))</f>
        <v>3400</v>
      </c>
      <c r="E19" s="122" t="n">
        <f aca="false">IF(OR(AP19=0,($D$4+$F$4)=0,($D$4+$F$4)&gt;AG19,($D$4+$F$4)&lt;AI19),"",ROUND(AD19*AE19*AF19*(1-AD$3)/ОКРУГЛЕННЯ,0)*ОКРУГЛЕННЯ+MAX(0,($D$4+$F$4)-AH19)*КРОК_ГОСТЯ*(1-AD$3)+($D$4*AL19+$F$4*AM19)*(1-AD$3*AD$4)+AN19*(1-AD$3*AD$5))</f>
        <v>3638</v>
      </c>
      <c r="F19" s="122" t="n">
        <f aca="false">IF(OR(B19="",D19=""),"",D19-B19)</f>
        <v>470</v>
      </c>
      <c r="G19" s="122" t="n">
        <f aca="false">IF(OR(C19="",E19=""),"",E19-C19)</f>
        <v>503</v>
      </c>
      <c r="H19" s="123" t="n">
        <f aca="false">IF(OR(B19="",D19="",B19=0),"",D19/B19-1)</f>
        <v>0.160409556313993</v>
      </c>
      <c r="I19" s="123" t="n">
        <f aca="false">IF(OR(C19="",E19="",C19=0),"",E19/C19-1)</f>
        <v>0.160446570972887</v>
      </c>
      <c r="J19" s="110"/>
      <c r="K19" s="132"/>
      <c r="L19" s="132"/>
      <c r="M19" s="110"/>
      <c r="N19" s="110"/>
      <c r="O19" s="110"/>
      <c r="P19" s="124" t="n">
        <f aca="false" t="array" ref="P19:P19">IF(OR(P$2=0,$A19=""),0,IFERROR(INDEX(БАЗА_RO,MATCH(INDEX(ДОВ_ОПОРА,MATCH($A19,КАТЕГОРІЇ,0)),БАЗА_КАТ,0),P$2),0))</f>
        <v>2930</v>
      </c>
      <c r="Q19" s="125" t="n">
        <f aca="false" t="array" ref="Q19:Q19">IF(OR(P$2=0,$A19=""),0,IFERROR(INDEX(МНОЖНИКИ,MATCH($A19,МНОЖ_КАТ,0),P$2),0))</f>
        <v>1</v>
      </c>
      <c r="R19" s="125" t="n">
        <f aca="false" t="array" ref="R19:R19">IF(OR(P$2=0,$A19=""),0,IFERROR(INDEX(МНОЖНИКИ,MATCH($A19,МНОЖ_КАТ,0),P$2+1),0))</f>
        <v>1.07</v>
      </c>
      <c r="S19" s="119" t="n">
        <f aca="false" t="array" ref="S19:S19">IF($A19="",0,IFERROR(INDEX(ДОВ_МАКС,MATCH($A19,КАТЕГОРІЇ,0)),0))</f>
        <v>3</v>
      </c>
      <c r="T19" s="119" t="n">
        <f aca="false" t="array" ref="T19:T19">IF($A19="",0,IFERROR(INDEX(ДОВ_ВКЛ,MATCH($A19,КАТЕГОРІЇ,0)),0))</f>
        <v>2</v>
      </c>
      <c r="U19" s="119" t="n">
        <f aca="false" t="array" ref="U19:U19">IF($A19="",0,IFERROR(INDEX(ДОВ_МІН,MATCH($A19,КАТЕГОРІЇ,0)),0))</f>
        <v>1</v>
      </c>
      <c r="V19" s="113" t="n">
        <f aca="false" t="array" ref="V19:V19">IF(OR(P$2=0,$N$5=0),0,IFERROR(INDEX(ПАКЕТИ_ЦІНИ,MATCH($N$6&amp;"|Будні",ПАКЕТИ_КЛЮЧ,0),P$2+0),0))</f>
        <v>0</v>
      </c>
      <c r="W19" s="113" t="n">
        <f aca="false" t="array" ref="W19:W19">IF(OR(P$2=0,$N$5=0),0,IFERROR(INDEX(ПАКЕТИ_ЦІНИ,MATCH($N$6&amp;"|Будні",ПАКЕТИ_КЛЮЧ,0),P$2+1),0))</f>
        <v>0</v>
      </c>
      <c r="X19" s="113" t="n">
        <f aca="false" t="array" ref="X19:X19">IF(OR(P$2=0,$N$5=0),0,IFERROR(INDEX(ПАКЕТИ_ЦІНИ,MATCH($N$6&amp;"|Вихідні",ПАКЕТИ_КЛЮЧ,0),P$2+0),0))</f>
        <v>0</v>
      </c>
      <c r="Y19" s="113" t="n">
        <f aca="false" t="array" ref="Y19:Y19">IF(OR(P$2=0,$N$5=0),0,IFERROR(INDEX(ПАКЕТИ_ЦІНИ,MATCH($N$6&amp;"|Вихідні",ПАКЕТИ_КЛЮЧ,0),P$2+1),0))</f>
        <v>0</v>
      </c>
      <c r="Z19" s="113" t="n">
        <f aca="false" t="array" ref="Z19:Z19">IF(OR(P$2=0,$N$7=0,$A19=""),0,IFERROR(INDEX(SPA_ЦІНИ,MATCH(INDEX(ДОВ_SPA,MATCH($A19,КАТЕГОРІЇ,0)),SPA_РОЛЬ,0),P$2),0))</f>
        <v>0</v>
      </c>
      <c r="AA19" s="113" t="n">
        <f aca="false">IF(OR($A19="",P19=0,Q19=0,AND($N$5=1,$D$4&gt;0,V19=0),AND($N$5=1,$F$4&gt;0,W19=0),AND($N$7=1,Z19=0)),0,1)</f>
        <v>1</v>
      </c>
      <c r="AB19" s="113" t="n">
        <f aca="false">IF(OR(AA19=0,R19=0,AND($N$5=1,$D$4&gt;0,X19=0),AND($N$5=1,$F$4&gt;0,Y19=0)),0,1)</f>
        <v>1</v>
      </c>
      <c r="AC19" s="110"/>
      <c r="AD19" s="124" t="n">
        <f aca="false" t="array" ref="AD19:AD19">IF(OR(AD$2=0,$A19=""),0,IFERROR(INDEX(БАЗА_RO,MATCH(INDEX(ДОВ_ОПОРА,MATCH($A19,КАТЕГОРІЇ,0)),БАЗА_КАТ,0),AD$2),0))</f>
        <v>3400</v>
      </c>
      <c r="AE19" s="125" t="n">
        <f aca="false" t="array" ref="AE19:AE19">IF(OR(AD$2=0,$A19=""),0,IFERROR(INDEX(МНОЖНИКИ,MATCH($A19,МНОЖ_КАТ,0),AD$2),0))</f>
        <v>1</v>
      </c>
      <c r="AF19" s="125" t="n">
        <f aca="false" t="array" ref="AF19:AF19">IF(OR(AD$2=0,$A19=""),0,IFERROR(INDEX(МНОЖНИКИ,MATCH($A19,МНОЖ_КАТ,0),AD$2+1),0))</f>
        <v>1.07</v>
      </c>
      <c r="AG19" s="119" t="n">
        <f aca="false" t="array" ref="AG19:AG19">IF($A19="",0,IFERROR(INDEX(ДОВ_МАКС,MATCH($A19,КАТЕГОРІЇ,0)),0))</f>
        <v>3</v>
      </c>
      <c r="AH19" s="119" t="n">
        <f aca="false" t="array" ref="AH19:AH19">IF($A19="",0,IFERROR(INDEX(ДОВ_ВКЛ,MATCH($A19,КАТЕГОРІЇ,0)),0))</f>
        <v>2</v>
      </c>
      <c r="AI19" s="119" t="n">
        <f aca="false" t="array" ref="AI19:AI19">IF($A19="",0,IFERROR(INDEX(ДОВ_МІН,MATCH($A19,КАТЕГОРІЇ,0)),0))</f>
        <v>1</v>
      </c>
      <c r="AJ19" s="113" t="n">
        <f aca="false" t="array" ref="AJ19:AJ19">IF(OR(AD$2=0,$N$5=0),0,IFERROR(INDEX(ПАКЕТИ_ЦІНИ,MATCH($N$6&amp;"|Будні",ПАКЕТИ_КЛЮЧ,0),AD$2+0),0))</f>
        <v>0</v>
      </c>
      <c r="AK19" s="113" t="n">
        <f aca="false" t="array" ref="AK19:AK19">IF(OR(AD$2=0,$N$5=0),0,IFERROR(INDEX(ПАКЕТИ_ЦІНИ,MATCH($N$6&amp;"|Будні",ПАКЕТИ_КЛЮЧ,0),AD$2+1),0))</f>
        <v>0</v>
      </c>
      <c r="AL19" s="113" t="n">
        <f aca="false" t="array" ref="AL19:AL19">IF(OR(AD$2=0,$N$5=0),0,IFERROR(INDEX(ПАКЕТИ_ЦІНИ,MATCH($N$6&amp;"|Вихідні",ПАКЕТИ_КЛЮЧ,0),AD$2+0),0))</f>
        <v>0</v>
      </c>
      <c r="AM19" s="113" t="n">
        <f aca="false" t="array" ref="AM19:AM19">IF(OR(AD$2=0,$N$5=0),0,IFERROR(INDEX(ПАКЕТИ_ЦІНИ,MATCH($N$6&amp;"|Вихідні",ПАКЕТИ_КЛЮЧ,0),AD$2+1),0))</f>
        <v>0</v>
      </c>
      <c r="AN19" s="113" t="n">
        <f aca="false" t="array" ref="AN19:AN19">IF(OR(AD$2=0,$N$7=0,$A19=""),0,IFERROR(INDEX(SPA_ЦІНИ,MATCH(INDEX(ДОВ_SPA,MATCH($A19,КАТЕГОРІЇ,0)),SPA_РОЛЬ,0),AD$2),0))</f>
        <v>0</v>
      </c>
      <c r="AO19" s="113" t="n">
        <f aca="false">IF(OR($A19="",AD19=0,AE19=0,AND($N$5=1,$D$4&gt;0,AJ19=0),AND($N$5=1,$F$4&gt;0,AK19=0),AND($N$7=1,AN19=0)),0,1)</f>
        <v>1</v>
      </c>
      <c r="AP19" s="113" t="n">
        <f aca="false">IF(OR(AO19=0,AF19=0,AND($N$5=1,$D$4&gt;0,AL19=0),AND($N$5=1,$F$4&gt;0,AM19=0)),0,1)</f>
        <v>1</v>
      </c>
    </row>
    <row r="20" customFormat="false" ht="15" hidden="false" customHeight="true" outlineLevel="0" collapsed="false">
      <c r="A20" s="126" t="str">
        <f aca="false">IF('Довідник категорій'!A18="","",'Довідник категорій'!A18)</f>
        <v>Апартаменти 2-кімнатні 1-й поверх</v>
      </c>
      <c r="B20" s="127" t="n">
        <f aca="false">IF(OR(AA20=0,($D$4+$F$4)=0,($D$4+$F$4)&gt;S20,($D$4+$F$4)&lt;U20),"",ROUND(P20*Q20*(1-P$3)/ОКРУГЛЕННЯ,0)*ОКРУГЛЕННЯ+MAX(0,($D$4+$F$4)-T20)*КРОК_ГОСТЯ*(1-P$3)+($D$4*V20+$F$4*W20)*(1-P$3*P$4)+Z20*(1-P$3*P$5))</f>
        <v>3194</v>
      </c>
      <c r="C20" s="127" t="n">
        <f aca="false">IF(OR(AB20=0,($D$4+$F$4)=0,($D$4+$F$4)&gt;S20,($D$4+$F$4)&lt;U20),"",ROUND(P20*Q20*R20*(1-P$3)/ОКРУГЛЕННЯ,0)*ОКРУГЛЕННЯ+MAX(0,($D$4+$F$4)-T20)*КРОК_ГОСТЯ*(1-P$3)+($D$4*X20+$F$4*Y20)*(1-P$3*P$4)+Z20*(1-P$3*P$5))</f>
        <v>3402</v>
      </c>
      <c r="D20" s="127" t="n">
        <f aca="false">IF(OR(AO20=0,($D$4+$F$4)=0,($D$4+$F$4)&gt;AG20,($D$4+$F$4)&lt;AI20),"",ROUND(AD20*AE20*(1-AD$3)/ОКРУГЛЕННЯ,0)*ОКРУГЛЕННЯ+MAX(0,($D$4+$F$4)-AH20)*КРОК_ГОСТЯ*(1-AD$3)+($D$4*AJ20+$F$4*AK20)*(1-AD$3*AD$4)+AN20*(1-AD$3*AD$5))</f>
        <v>3740</v>
      </c>
      <c r="E20" s="127" t="n">
        <f aca="false">IF(OR(AP20=0,($D$4+$F$4)=0,($D$4+$F$4)&gt;AG20,($D$4+$F$4)&lt;AI20),"",ROUND(AD20*AE20*AF20*(1-AD$3)/ОКРУГЛЕННЯ,0)*ОКРУГЛЕННЯ+MAX(0,($D$4+$F$4)-AH20)*КРОК_ГОСТЯ*(1-AD$3)+($D$4*AL20+$F$4*AM20)*(1-AD$3*AD$4)+AN20*(1-AD$3*AD$5))</f>
        <v>3984</v>
      </c>
      <c r="F20" s="127" t="n">
        <f aca="false">IF(OR(B20="",D20=""),"",D20-B20)</f>
        <v>546</v>
      </c>
      <c r="G20" s="127" t="n">
        <f aca="false">IF(OR(C20="",E20=""),"",E20-C20)</f>
        <v>582</v>
      </c>
      <c r="H20" s="128" t="n">
        <f aca="false">IF(OR(B20="",D20="",B20=0),"",D20/B20-1)</f>
        <v>0.170945522855354</v>
      </c>
      <c r="I20" s="128" t="n">
        <f aca="false">IF(OR(C20="",E20="",C20=0),"",E20/C20-1)</f>
        <v>0.171075837742504</v>
      </c>
      <c r="J20" s="110"/>
      <c r="K20" s="110"/>
      <c r="L20" s="110"/>
      <c r="M20" s="110"/>
      <c r="N20" s="110"/>
      <c r="O20" s="110"/>
      <c r="P20" s="124" t="n">
        <f aca="false" t="array" ref="P20:P20">IF(OR(P$2=0,$A20=""),0,IFERROR(INDEX(БАЗА_RO,MATCH(INDEX(ДОВ_ОПОРА,MATCH($A20,КАТЕГОРІЇ,0)),БАЗА_КАТ,0),P$2),0))</f>
        <v>2930</v>
      </c>
      <c r="Q20" s="125" t="n">
        <f aca="false" t="array" ref="Q20:Q20">IF(OR(P$2=0,$A20=""),0,IFERROR(INDEX(МНОЖНИКИ,MATCH($A20,МНОЖ_КАТ,0),P$2),0))</f>
        <v>1.09</v>
      </c>
      <c r="R20" s="125" t="n">
        <f aca="false" t="array" ref="R20:R20">IF(OR(P$2=0,$A20=""),0,IFERROR(INDEX(МНОЖНИКИ,MATCH($A20,МНОЖ_КАТ,0),P$2+1),0))</f>
        <v>1.0652</v>
      </c>
      <c r="S20" s="119" t="n">
        <f aca="false" t="array" ref="S20:S20">IF($A20="",0,IFERROR(INDEX(ДОВ_МАКС,MATCH($A20,КАТЕГОРІЇ,0)),0))</f>
        <v>3</v>
      </c>
      <c r="T20" s="119" t="n">
        <f aca="false" t="array" ref="T20:T20">IF($A20="",0,IFERROR(INDEX(ДОВ_ВКЛ,MATCH($A20,КАТЕГОРІЇ,0)),0))</f>
        <v>2</v>
      </c>
      <c r="U20" s="119" t="n">
        <f aca="false" t="array" ref="U20:U20">IF($A20="",0,IFERROR(INDEX(ДОВ_МІН,MATCH($A20,КАТЕГОРІЇ,0)),0))</f>
        <v>1</v>
      </c>
      <c r="V20" s="113" t="n">
        <f aca="false" t="array" ref="V20:V20">IF(OR(P$2=0,$N$5=0),0,IFERROR(INDEX(ПАКЕТИ_ЦІНИ,MATCH($N$6&amp;"|Будні",ПАКЕТИ_КЛЮЧ,0),P$2+0),0))</f>
        <v>0</v>
      </c>
      <c r="W20" s="113" t="n">
        <f aca="false" t="array" ref="W20:W20">IF(OR(P$2=0,$N$5=0),0,IFERROR(INDEX(ПАКЕТИ_ЦІНИ,MATCH($N$6&amp;"|Будні",ПАКЕТИ_КЛЮЧ,0),P$2+1),0))</f>
        <v>0</v>
      </c>
      <c r="X20" s="113" t="n">
        <f aca="false" t="array" ref="X20:X20">IF(OR(P$2=0,$N$5=0),0,IFERROR(INDEX(ПАКЕТИ_ЦІНИ,MATCH($N$6&amp;"|Вихідні",ПАКЕТИ_КЛЮЧ,0),P$2+0),0))</f>
        <v>0</v>
      </c>
      <c r="Y20" s="113" t="n">
        <f aca="false" t="array" ref="Y20:Y20">IF(OR(P$2=0,$N$5=0),0,IFERROR(INDEX(ПАКЕТИ_ЦІНИ,MATCH($N$6&amp;"|Вихідні",ПАКЕТИ_КЛЮЧ,0),P$2+1),0))</f>
        <v>0</v>
      </c>
      <c r="Z20" s="113" t="n">
        <f aca="false" t="array" ref="Z20:Z20">IF(OR(P$2=0,$N$7=0,$A20=""),0,IFERROR(INDEX(SPA_ЦІНИ,MATCH(INDEX(ДОВ_SPA,MATCH($A20,КАТЕГОРІЇ,0)),SPA_РОЛЬ,0),P$2),0))</f>
        <v>0</v>
      </c>
      <c r="AA20" s="113" t="n">
        <f aca="false">IF(OR($A20="",P20=0,Q20=0,AND($N$5=1,$D$4&gt;0,V20=0),AND($N$5=1,$F$4&gt;0,W20=0),AND($N$7=1,Z20=0)),0,1)</f>
        <v>1</v>
      </c>
      <c r="AB20" s="113" t="n">
        <f aca="false">IF(OR(AA20=0,R20=0,AND($N$5=1,$D$4&gt;0,X20=0),AND($N$5=1,$F$4&gt;0,Y20=0)),0,1)</f>
        <v>1</v>
      </c>
      <c r="AC20" s="110"/>
      <c r="AD20" s="124" t="n">
        <f aca="false" t="array" ref="AD20:AD20">IF(OR(AD$2=0,$A20=""),0,IFERROR(INDEX(БАЗА_RO,MATCH(INDEX(ДОВ_ОПОРА,MATCH($A20,КАТЕГОРІЇ,0)),БАЗА_КАТ,0),AD$2),0))</f>
        <v>3400</v>
      </c>
      <c r="AE20" s="125" t="n">
        <f aca="false" t="array" ref="AE20:AE20">IF(OR(AD$2=0,$A20=""),0,IFERROR(INDEX(МНОЖНИКИ,MATCH($A20,МНОЖ_КАТ,0),AD$2),0))</f>
        <v>1.1</v>
      </c>
      <c r="AF20" s="125" t="n">
        <f aca="false" t="array" ref="AF20:AF20">IF(OR(AD$2=0,$A20=""),0,IFERROR(INDEX(МНОЖНИКИ,MATCH($A20,МНОЖ_КАТ,0),AD$2+1),0))</f>
        <v>1.0652</v>
      </c>
      <c r="AG20" s="119" t="n">
        <f aca="false" t="array" ref="AG20:AG20">IF($A20="",0,IFERROR(INDEX(ДОВ_МАКС,MATCH($A20,КАТЕГОРІЇ,0)),0))</f>
        <v>3</v>
      </c>
      <c r="AH20" s="119" t="n">
        <f aca="false" t="array" ref="AH20:AH20">IF($A20="",0,IFERROR(INDEX(ДОВ_ВКЛ,MATCH($A20,КАТЕГОРІЇ,0)),0))</f>
        <v>2</v>
      </c>
      <c r="AI20" s="119" t="n">
        <f aca="false" t="array" ref="AI20:AI20">IF($A20="",0,IFERROR(INDEX(ДОВ_МІН,MATCH($A20,КАТЕГОРІЇ,0)),0))</f>
        <v>1</v>
      </c>
      <c r="AJ20" s="113" t="n">
        <f aca="false" t="array" ref="AJ20:AJ20">IF(OR(AD$2=0,$N$5=0),0,IFERROR(INDEX(ПАКЕТИ_ЦІНИ,MATCH($N$6&amp;"|Будні",ПАКЕТИ_КЛЮЧ,0),AD$2+0),0))</f>
        <v>0</v>
      </c>
      <c r="AK20" s="113" t="n">
        <f aca="false" t="array" ref="AK20:AK20">IF(OR(AD$2=0,$N$5=0),0,IFERROR(INDEX(ПАКЕТИ_ЦІНИ,MATCH($N$6&amp;"|Будні",ПАКЕТИ_КЛЮЧ,0),AD$2+1),0))</f>
        <v>0</v>
      </c>
      <c r="AL20" s="113" t="n">
        <f aca="false" t="array" ref="AL20:AL20">IF(OR(AD$2=0,$N$5=0),0,IFERROR(INDEX(ПАКЕТИ_ЦІНИ,MATCH($N$6&amp;"|Вихідні",ПАКЕТИ_КЛЮЧ,0),AD$2+0),0))</f>
        <v>0</v>
      </c>
      <c r="AM20" s="113" t="n">
        <f aca="false" t="array" ref="AM20:AM20">IF(OR(AD$2=0,$N$5=0),0,IFERROR(INDEX(ПАКЕТИ_ЦІНИ,MATCH($N$6&amp;"|Вихідні",ПАКЕТИ_КЛЮЧ,0),AD$2+1),0))</f>
        <v>0</v>
      </c>
      <c r="AN20" s="113" t="n">
        <f aca="false" t="array" ref="AN20:AN20">IF(OR(AD$2=0,$N$7=0,$A20=""),0,IFERROR(INDEX(SPA_ЦІНИ,MATCH(INDEX(ДОВ_SPA,MATCH($A20,КАТЕГОРІЇ,0)),SPA_РОЛЬ,0),AD$2),0))</f>
        <v>0</v>
      </c>
      <c r="AO20" s="113" t="n">
        <f aca="false">IF(OR($A20="",AD20=0,AE20=0,AND($N$5=1,$D$4&gt;0,AJ20=0),AND($N$5=1,$F$4&gt;0,AK20=0),AND($N$7=1,AN20=0)),0,1)</f>
        <v>1</v>
      </c>
      <c r="AP20" s="113" t="n">
        <f aca="false">IF(OR(AO20=0,AF20=0,AND($N$5=1,$D$4&gt;0,AL20=0),AND($N$5=1,$F$4&gt;0,AM20=0)),0,1)</f>
        <v>1</v>
      </c>
    </row>
    <row r="21" customFormat="false" ht="15.75" hidden="false" customHeight="true" outlineLevel="0" collapsed="false">
      <c r="A21" s="121" t="str">
        <f aca="false">IF('Довідник категорій'!A19="","",'Довідник категорій'!A19)</f>
        <v>Апартаменти з ванною 2-й поверх</v>
      </c>
      <c r="B21" s="122" t="n">
        <f aca="false">IF(OR(AA21=0,($D$4+$F$4)=0,($D$4+$F$4)&gt;S21,($D$4+$F$4)&lt;U21),"",ROUND(P21*Q21*(1-P$3)/ОКРУГЛЕННЯ,0)*ОКРУГЛЕННЯ+MAX(0,($D$4+$F$4)-T21)*КРОК_ГОСТЯ*(1-P$3)+($D$4*V21+$F$4*W21)*(1-P$3*P$4)+Z21*(1-P$3*P$5))</f>
        <v>3194</v>
      </c>
      <c r="C21" s="122" t="n">
        <f aca="false">IF(OR(AB21=0,($D$4+$F$4)=0,($D$4+$F$4)&gt;S21,($D$4+$F$4)&lt;U21),"",ROUND(P21*Q21*R21*(1-P$3)/ОКРУГЛЕННЯ,0)*ОКРУГЛЕННЯ+MAX(0,($D$4+$F$4)-T21)*КРОК_ГОСТЯ*(1-P$3)+($D$4*X21+$F$4*Y21)*(1-P$3*P$4)+Z21*(1-P$3*P$5))</f>
        <v>3402</v>
      </c>
      <c r="D21" s="122" t="n">
        <f aca="false">IF(OR(AO21=0,($D$4+$F$4)=0,($D$4+$F$4)&gt;AG21,($D$4+$F$4)&lt;AI21),"",ROUND(AD21*AE21*(1-AD$3)/ОКРУГЛЕННЯ,0)*ОКРУГЛЕННЯ+MAX(0,($D$4+$F$4)-AH21)*КРОК_ГОСТЯ*(1-AD$3)+($D$4*AJ21+$F$4*AK21)*(1-AD$3*AD$4)+AN21*(1-AD$3*AD$5))</f>
        <v>3740</v>
      </c>
      <c r="E21" s="122" t="n">
        <f aca="false">IF(OR(AP21=0,($D$4+$F$4)=0,($D$4+$F$4)&gt;AG21,($D$4+$F$4)&lt;AI21),"",ROUND(AD21*AE21*AF21*(1-AD$3)/ОКРУГЛЕННЯ,0)*ОКРУГЛЕННЯ+MAX(0,($D$4+$F$4)-AH21)*КРОК_ГОСТЯ*(1-AD$3)+($D$4*AL21+$F$4*AM21)*(1-AD$3*AD$4)+AN21*(1-AD$3*AD$5))</f>
        <v>3984</v>
      </c>
      <c r="F21" s="122" t="n">
        <f aca="false">IF(OR(B21="",D21=""),"",D21-B21)</f>
        <v>546</v>
      </c>
      <c r="G21" s="122" t="n">
        <f aca="false">IF(OR(C21="",E21=""),"",E21-C21)</f>
        <v>582</v>
      </c>
      <c r="H21" s="123" t="n">
        <f aca="false">IF(OR(B21="",D21="",B21=0),"",D21/B21-1)</f>
        <v>0.170945522855354</v>
      </c>
      <c r="I21" s="123" t="n">
        <f aca="false">IF(OR(C21="",E21="",C21=0),"",E21/C21-1)</f>
        <v>0.171075837742504</v>
      </c>
      <c r="J21" s="110"/>
      <c r="K21" s="110"/>
      <c r="L21" s="110"/>
      <c r="M21" s="110"/>
      <c r="N21" s="110"/>
      <c r="O21" s="110"/>
      <c r="P21" s="124" t="n">
        <f aca="false" t="array" ref="P21:P21">IF(OR(P$2=0,$A21=""),0,IFERROR(INDEX(БАЗА_RO,MATCH(INDEX(ДОВ_ОПОРА,MATCH($A21,КАТЕГОРІЇ,0)),БАЗА_КАТ,0),P$2),0))</f>
        <v>2930</v>
      </c>
      <c r="Q21" s="125" t="n">
        <f aca="false" t="array" ref="Q21:Q21">IF(OR(P$2=0,$A21=""),0,IFERROR(INDEX(МНОЖНИКИ,MATCH($A21,МНОЖ_КАТ,0),P$2),0))</f>
        <v>1.09</v>
      </c>
      <c r="R21" s="125" t="n">
        <f aca="false" t="array" ref="R21:R21">IF(OR(P$2=0,$A21=""),0,IFERROR(INDEX(МНОЖНИКИ,MATCH($A21,МНОЖ_КАТ,0),P$2+1),0))</f>
        <v>1.0652</v>
      </c>
      <c r="S21" s="119" t="n">
        <f aca="false" t="array" ref="S21:S21">IF($A21="",0,IFERROR(INDEX(ДОВ_МАКС,MATCH($A21,КАТЕГОРІЇ,0)),0))</f>
        <v>3</v>
      </c>
      <c r="T21" s="119" t="n">
        <f aca="false" t="array" ref="T21:T21">IF($A21="",0,IFERROR(INDEX(ДОВ_ВКЛ,MATCH($A21,КАТЕГОРІЇ,0)),0))</f>
        <v>2</v>
      </c>
      <c r="U21" s="119" t="n">
        <f aca="false" t="array" ref="U21:U21">IF($A21="",0,IFERROR(INDEX(ДОВ_МІН,MATCH($A21,КАТЕГОРІЇ,0)),0))</f>
        <v>1</v>
      </c>
      <c r="V21" s="113" t="n">
        <f aca="false" t="array" ref="V21:V21">IF(OR(P$2=0,$N$5=0),0,IFERROR(INDEX(ПАКЕТИ_ЦІНИ,MATCH($N$6&amp;"|Будні",ПАКЕТИ_КЛЮЧ,0),P$2+0),0))</f>
        <v>0</v>
      </c>
      <c r="W21" s="113" t="n">
        <f aca="false" t="array" ref="W21:W21">IF(OR(P$2=0,$N$5=0),0,IFERROR(INDEX(ПАКЕТИ_ЦІНИ,MATCH($N$6&amp;"|Будні",ПАКЕТИ_КЛЮЧ,0),P$2+1),0))</f>
        <v>0</v>
      </c>
      <c r="X21" s="113" t="n">
        <f aca="false" t="array" ref="X21:X21">IF(OR(P$2=0,$N$5=0),0,IFERROR(INDEX(ПАКЕТИ_ЦІНИ,MATCH($N$6&amp;"|Вихідні",ПАКЕТИ_КЛЮЧ,0),P$2+0),0))</f>
        <v>0</v>
      </c>
      <c r="Y21" s="113" t="n">
        <f aca="false" t="array" ref="Y21:Y21">IF(OR(P$2=0,$N$5=0),0,IFERROR(INDEX(ПАКЕТИ_ЦІНИ,MATCH($N$6&amp;"|Вихідні",ПАКЕТИ_КЛЮЧ,0),P$2+1),0))</f>
        <v>0</v>
      </c>
      <c r="Z21" s="113" t="n">
        <f aca="false" t="array" ref="Z21:Z21">IF(OR(P$2=0,$N$7=0,$A21=""),0,IFERROR(INDEX(SPA_ЦІНИ,MATCH(INDEX(ДОВ_SPA,MATCH($A21,КАТЕГОРІЇ,0)),SPA_РОЛЬ,0),P$2),0))</f>
        <v>0</v>
      </c>
      <c r="AA21" s="113" t="n">
        <f aca="false">IF(OR($A21="",P21=0,Q21=0,AND($N$5=1,$D$4&gt;0,V21=0),AND($N$5=1,$F$4&gt;0,W21=0),AND($N$7=1,Z21=0)),0,1)</f>
        <v>1</v>
      </c>
      <c r="AB21" s="113" t="n">
        <f aca="false">IF(OR(AA21=0,R21=0,AND($N$5=1,$D$4&gt;0,X21=0),AND($N$5=1,$F$4&gt;0,Y21=0)),0,1)</f>
        <v>1</v>
      </c>
      <c r="AC21" s="110"/>
      <c r="AD21" s="124" t="n">
        <f aca="false" t="array" ref="AD21:AD21">IF(OR(AD$2=0,$A21=""),0,IFERROR(INDEX(БАЗА_RO,MATCH(INDEX(ДОВ_ОПОРА,MATCH($A21,КАТЕГОРІЇ,0)),БАЗА_КАТ,0),AD$2),0))</f>
        <v>3400</v>
      </c>
      <c r="AE21" s="125" t="n">
        <f aca="false" t="array" ref="AE21:AE21">IF(OR(AD$2=0,$A21=""),0,IFERROR(INDEX(МНОЖНИКИ,MATCH($A21,МНОЖ_КАТ,0),AD$2),0))</f>
        <v>1.1</v>
      </c>
      <c r="AF21" s="125" t="n">
        <f aca="false" t="array" ref="AF21:AF21">IF(OR(AD$2=0,$A21=""),0,IFERROR(INDEX(МНОЖНИКИ,MATCH($A21,МНОЖ_КАТ,0),AD$2+1),0))</f>
        <v>1.0652</v>
      </c>
      <c r="AG21" s="119" t="n">
        <f aca="false" t="array" ref="AG21:AG21">IF($A21="",0,IFERROR(INDEX(ДОВ_МАКС,MATCH($A21,КАТЕГОРІЇ,0)),0))</f>
        <v>3</v>
      </c>
      <c r="AH21" s="119" t="n">
        <f aca="false" t="array" ref="AH21:AH21">IF($A21="",0,IFERROR(INDEX(ДОВ_ВКЛ,MATCH($A21,КАТЕГОРІЇ,0)),0))</f>
        <v>2</v>
      </c>
      <c r="AI21" s="119" t="n">
        <f aca="false" t="array" ref="AI21:AI21">IF($A21="",0,IFERROR(INDEX(ДОВ_МІН,MATCH($A21,КАТЕГОРІЇ,0)),0))</f>
        <v>1</v>
      </c>
      <c r="AJ21" s="113" t="n">
        <f aca="false" t="array" ref="AJ21:AJ21">IF(OR(AD$2=0,$N$5=0),0,IFERROR(INDEX(ПАКЕТИ_ЦІНИ,MATCH($N$6&amp;"|Будні",ПАКЕТИ_КЛЮЧ,0),AD$2+0),0))</f>
        <v>0</v>
      </c>
      <c r="AK21" s="113" t="n">
        <f aca="false" t="array" ref="AK21:AK21">IF(OR(AD$2=0,$N$5=0),0,IFERROR(INDEX(ПАКЕТИ_ЦІНИ,MATCH($N$6&amp;"|Будні",ПАКЕТИ_КЛЮЧ,0),AD$2+1),0))</f>
        <v>0</v>
      </c>
      <c r="AL21" s="113" t="n">
        <f aca="false" t="array" ref="AL21:AL21">IF(OR(AD$2=0,$N$5=0),0,IFERROR(INDEX(ПАКЕТИ_ЦІНИ,MATCH($N$6&amp;"|Вихідні",ПАКЕТИ_КЛЮЧ,0),AD$2+0),0))</f>
        <v>0</v>
      </c>
      <c r="AM21" s="113" t="n">
        <f aca="false" t="array" ref="AM21:AM21">IF(OR(AD$2=0,$N$5=0),0,IFERROR(INDEX(ПАКЕТИ_ЦІНИ,MATCH($N$6&amp;"|Вихідні",ПАКЕТИ_КЛЮЧ,0),AD$2+1),0))</f>
        <v>0</v>
      </c>
      <c r="AN21" s="113" t="n">
        <f aca="false" t="array" ref="AN21:AN21">IF(OR(AD$2=0,$N$7=0,$A21=""),0,IFERROR(INDEX(SPA_ЦІНИ,MATCH(INDEX(ДОВ_SPA,MATCH($A21,КАТЕГОРІЇ,0)),SPA_РОЛЬ,0),AD$2),0))</f>
        <v>0</v>
      </c>
      <c r="AO21" s="113" t="n">
        <f aca="false">IF(OR($A21="",AD21=0,AE21=0,AND($N$5=1,$D$4&gt;0,AJ21=0),AND($N$5=1,$F$4&gt;0,AK21=0),AND($N$7=1,AN21=0)),0,1)</f>
        <v>1</v>
      </c>
      <c r="AP21" s="113" t="n">
        <f aca="false">IF(OR(AO21=0,AF21=0,AND($N$5=1,$D$4&gt;0,AL21=0),AND($N$5=1,$F$4&gt;0,AM21=0)),0,1)</f>
        <v>1</v>
      </c>
    </row>
    <row r="22" customFormat="false" ht="15.75" hidden="false" customHeight="true" outlineLevel="0" collapsed="false">
      <c r="A22" s="126" t="str">
        <f aca="false">IF('Довідник категорій'!A20="","",'Довідник категорій'!A20)</f>
        <v>Апартаменти 2-х місні стандартні</v>
      </c>
      <c r="B22" s="127" t="n">
        <f aca="false">IF(OR(AA22=0,($D$4+$F$4)=0,($D$4+$F$4)&gt;S22,($D$4+$F$4)&lt;U22),"",ROUND(P22*Q22*(1-P$3)/ОКРУГЛЕННЯ,0)*ОКРУГЛЕННЯ+MAX(0,($D$4+$F$4)-T22)*КРОК_ГОСТЯ*(1-P$3)+($D$4*V22+$F$4*W22)*(1-P$3*P$4)+Z22*(1-P$3*P$5))</f>
        <v>3194</v>
      </c>
      <c r="C22" s="127" t="n">
        <f aca="false">IF(OR(AB22=0,($D$4+$F$4)=0,($D$4+$F$4)&gt;S22,($D$4+$F$4)&lt;U22),"",ROUND(P22*Q22*R22*(1-P$3)/ОКРУГЛЕННЯ,0)*ОКРУГЛЕННЯ+MAX(0,($D$4+$F$4)-T22)*КРОК_ГОСТЯ*(1-P$3)+($D$4*X22+$F$4*Y22)*(1-P$3*P$4)+Z22*(1-P$3*P$5))</f>
        <v>3402</v>
      </c>
      <c r="D22" s="127" t="n">
        <f aca="false">IF(OR(AO22=0,($D$4+$F$4)=0,($D$4+$F$4)&gt;AG22,($D$4+$F$4)&lt;AI22),"",ROUND(AD22*AE22*(1-AD$3)/ОКРУГЛЕННЯ,0)*ОКРУГЛЕННЯ+MAX(0,($D$4+$F$4)-AH22)*КРОК_ГОСТЯ*(1-AD$3)+($D$4*AJ22+$F$4*AK22)*(1-AD$3*AD$4)+AN22*(1-AD$3*AD$5))</f>
        <v>3740</v>
      </c>
      <c r="E22" s="127" t="n">
        <f aca="false">IF(OR(AP22=0,($D$4+$F$4)=0,($D$4+$F$4)&gt;AG22,($D$4+$F$4)&lt;AI22),"",ROUND(AD22*AE22*AF22*(1-AD$3)/ОКРУГЛЕННЯ,0)*ОКРУГЛЕННЯ+MAX(0,($D$4+$F$4)-AH22)*КРОК_ГОСТЯ*(1-AD$3)+($D$4*AL22+$F$4*AM22)*(1-AD$3*AD$4)+AN22*(1-AD$3*AD$5))</f>
        <v>3984</v>
      </c>
      <c r="F22" s="127" t="n">
        <f aca="false">IF(OR(B22="",D22=""),"",D22-B22)</f>
        <v>546</v>
      </c>
      <c r="G22" s="127" t="n">
        <f aca="false">IF(OR(C22="",E22=""),"",E22-C22)</f>
        <v>582</v>
      </c>
      <c r="H22" s="128" t="n">
        <f aca="false">IF(OR(B22="",D22="",B22=0),"",D22/B22-1)</f>
        <v>0.170945522855354</v>
      </c>
      <c r="I22" s="128" t="n">
        <f aca="false">IF(OR(C22="",E22="",C22=0),"",E22/C22-1)</f>
        <v>0.171075837742504</v>
      </c>
      <c r="J22" s="110"/>
      <c r="K22" s="110"/>
      <c r="L22" s="110"/>
      <c r="M22" s="110"/>
      <c r="N22" s="110"/>
      <c r="O22" s="110"/>
      <c r="P22" s="124" t="n">
        <f aca="false" t="array" ref="P22:P22">IF(OR(P$2=0,$A22=""),0,IFERROR(INDEX(БАЗА_RO,MATCH(INDEX(ДОВ_ОПОРА,MATCH($A22,КАТЕГОРІЇ,0)),БАЗА_КАТ,0),P$2),0))</f>
        <v>2930</v>
      </c>
      <c r="Q22" s="125" t="n">
        <f aca="false" t="array" ref="Q22:Q22">IF(OR(P$2=0,$A22=""),0,IFERROR(INDEX(МНОЖНИКИ,MATCH($A22,МНОЖ_КАТ,0),P$2),0))</f>
        <v>1.09</v>
      </c>
      <c r="R22" s="125" t="n">
        <f aca="false" t="array" ref="R22:R22">IF(OR(P$2=0,$A22=""),0,IFERROR(INDEX(МНОЖНИКИ,MATCH($A22,МНОЖ_КАТ,0),P$2+1),0))</f>
        <v>1.0652</v>
      </c>
      <c r="S22" s="119" t="n">
        <f aca="false" t="array" ref="S22:S22">IF($A22="",0,IFERROR(INDEX(ДОВ_МАКС,MATCH($A22,КАТЕГОРІЇ,0)),0))</f>
        <v>3</v>
      </c>
      <c r="T22" s="119" t="n">
        <f aca="false" t="array" ref="T22:T22">IF($A22="",0,IFERROR(INDEX(ДОВ_ВКЛ,MATCH($A22,КАТЕГОРІЇ,0)),0))</f>
        <v>2</v>
      </c>
      <c r="U22" s="119" t="n">
        <f aca="false" t="array" ref="U22:U22">IF($A22="",0,IFERROR(INDEX(ДОВ_МІН,MATCH($A22,КАТЕГОРІЇ,0)),0))</f>
        <v>1</v>
      </c>
      <c r="V22" s="113" t="n">
        <f aca="false" t="array" ref="V22:V22">IF(OR(P$2=0,$N$5=0),0,IFERROR(INDEX(ПАКЕТИ_ЦІНИ,MATCH($N$6&amp;"|Будні",ПАКЕТИ_КЛЮЧ,0),P$2+0),0))</f>
        <v>0</v>
      </c>
      <c r="W22" s="113" t="n">
        <f aca="false" t="array" ref="W22:W22">IF(OR(P$2=0,$N$5=0),0,IFERROR(INDEX(ПАКЕТИ_ЦІНИ,MATCH($N$6&amp;"|Будні",ПАКЕТИ_КЛЮЧ,0),P$2+1),0))</f>
        <v>0</v>
      </c>
      <c r="X22" s="113" t="n">
        <f aca="false" t="array" ref="X22:X22">IF(OR(P$2=0,$N$5=0),0,IFERROR(INDEX(ПАКЕТИ_ЦІНИ,MATCH($N$6&amp;"|Вихідні",ПАКЕТИ_КЛЮЧ,0),P$2+0),0))</f>
        <v>0</v>
      </c>
      <c r="Y22" s="113" t="n">
        <f aca="false" t="array" ref="Y22:Y22">IF(OR(P$2=0,$N$5=0),0,IFERROR(INDEX(ПАКЕТИ_ЦІНИ,MATCH($N$6&amp;"|Вихідні",ПАКЕТИ_КЛЮЧ,0),P$2+1),0))</f>
        <v>0</v>
      </c>
      <c r="Z22" s="113" t="n">
        <f aca="false" t="array" ref="Z22:Z22">IF(OR(P$2=0,$N$7=0,$A22=""),0,IFERROR(INDEX(SPA_ЦІНИ,MATCH(INDEX(ДОВ_SPA,MATCH($A22,КАТЕГОРІЇ,0)),SPA_РОЛЬ,0),P$2),0))</f>
        <v>0</v>
      </c>
      <c r="AA22" s="113" t="n">
        <f aca="false">IF(OR($A22="",P22=0,Q22=0,AND($N$5=1,$D$4&gt;0,V22=0),AND($N$5=1,$F$4&gt;0,W22=0),AND($N$7=1,Z22=0)),0,1)</f>
        <v>1</v>
      </c>
      <c r="AB22" s="113" t="n">
        <f aca="false">IF(OR(AA22=0,R22=0,AND($N$5=1,$D$4&gt;0,X22=0),AND($N$5=1,$F$4&gt;0,Y22=0)),0,1)</f>
        <v>1</v>
      </c>
      <c r="AC22" s="110"/>
      <c r="AD22" s="124" t="n">
        <f aca="false" t="array" ref="AD22:AD22">IF(OR(AD$2=0,$A22=""),0,IFERROR(INDEX(БАЗА_RO,MATCH(INDEX(ДОВ_ОПОРА,MATCH($A22,КАТЕГОРІЇ,0)),БАЗА_КАТ,0),AD$2),0))</f>
        <v>3400</v>
      </c>
      <c r="AE22" s="125" t="n">
        <f aca="false" t="array" ref="AE22:AE22">IF(OR(AD$2=0,$A22=""),0,IFERROR(INDEX(МНОЖНИКИ,MATCH($A22,МНОЖ_КАТ,0),AD$2),0))</f>
        <v>1.1</v>
      </c>
      <c r="AF22" s="125" t="n">
        <f aca="false" t="array" ref="AF22:AF22">IF(OR(AD$2=0,$A22=""),0,IFERROR(INDEX(МНОЖНИКИ,MATCH($A22,МНОЖ_КАТ,0),AD$2+1),0))</f>
        <v>1.0652</v>
      </c>
      <c r="AG22" s="119" t="n">
        <f aca="false" t="array" ref="AG22:AG22">IF($A22="",0,IFERROR(INDEX(ДОВ_МАКС,MATCH($A22,КАТЕГОРІЇ,0)),0))</f>
        <v>3</v>
      </c>
      <c r="AH22" s="119" t="n">
        <f aca="false" t="array" ref="AH22:AH22">IF($A22="",0,IFERROR(INDEX(ДОВ_ВКЛ,MATCH($A22,КАТЕГОРІЇ,0)),0))</f>
        <v>2</v>
      </c>
      <c r="AI22" s="119" t="n">
        <f aca="false" t="array" ref="AI22:AI22">IF($A22="",0,IFERROR(INDEX(ДОВ_МІН,MATCH($A22,КАТЕГОРІЇ,0)),0))</f>
        <v>1</v>
      </c>
      <c r="AJ22" s="113" t="n">
        <f aca="false" t="array" ref="AJ22:AJ22">IF(OR(AD$2=0,$N$5=0),0,IFERROR(INDEX(ПАКЕТИ_ЦІНИ,MATCH($N$6&amp;"|Будні",ПАКЕТИ_КЛЮЧ,0),AD$2+0),0))</f>
        <v>0</v>
      </c>
      <c r="AK22" s="113" t="n">
        <f aca="false" t="array" ref="AK22:AK22">IF(OR(AD$2=0,$N$5=0),0,IFERROR(INDEX(ПАКЕТИ_ЦІНИ,MATCH($N$6&amp;"|Будні",ПАКЕТИ_КЛЮЧ,0),AD$2+1),0))</f>
        <v>0</v>
      </c>
      <c r="AL22" s="113" t="n">
        <f aca="false" t="array" ref="AL22:AL22">IF(OR(AD$2=0,$N$5=0),0,IFERROR(INDEX(ПАКЕТИ_ЦІНИ,MATCH($N$6&amp;"|Вихідні",ПАКЕТИ_КЛЮЧ,0),AD$2+0),0))</f>
        <v>0</v>
      </c>
      <c r="AM22" s="113" t="n">
        <f aca="false" t="array" ref="AM22:AM22">IF(OR(AD$2=0,$N$5=0),0,IFERROR(INDEX(ПАКЕТИ_ЦІНИ,MATCH($N$6&amp;"|Вихідні",ПАКЕТИ_КЛЮЧ,0),AD$2+1),0))</f>
        <v>0</v>
      </c>
      <c r="AN22" s="113" t="n">
        <f aca="false" t="array" ref="AN22:AN22">IF(OR(AD$2=0,$N$7=0,$A22=""),0,IFERROR(INDEX(SPA_ЦІНИ,MATCH(INDEX(ДОВ_SPA,MATCH($A22,КАТЕГОРІЇ,0)),SPA_РОЛЬ,0),AD$2),0))</f>
        <v>0</v>
      </c>
      <c r="AO22" s="113" t="n">
        <f aca="false">IF(OR($A22="",AD22=0,AE22=0,AND($N$5=1,$D$4&gt;0,AJ22=0),AND($N$5=1,$F$4&gt;0,AK22=0),AND($N$7=1,AN22=0)),0,1)</f>
        <v>1</v>
      </c>
      <c r="AP22" s="113" t="n">
        <f aca="false">IF(OR(AO22=0,AF22=0,AND($N$5=1,$D$4&gt;0,AL22=0),AND($N$5=1,$F$4&gt;0,AM22=0)),0,1)</f>
        <v>1</v>
      </c>
    </row>
    <row r="23" customFormat="false" ht="15.75" hidden="false" customHeight="true" outlineLevel="0" collapsed="false">
      <c r="A23" s="121" t="str">
        <f aca="false">IF('Довідник категорій'!A21="","",'Довідник категорій'!A21)</f>
        <v>Апартаменти 3-й поверх</v>
      </c>
      <c r="B23" s="122" t="n">
        <f aca="false">IF(OR(AA23=0,($D$4+$F$4)=0,($D$4+$F$4)&gt;S23,($D$4+$F$4)&lt;U23),"",ROUND(P23*Q23*(1-P$3)/ОКРУГЛЕННЯ,0)*ОКРУГЛЕННЯ+MAX(0,($D$4+$F$4)-T23)*КРОК_ГОСТЯ*(1-P$3)+($D$4*V23+$F$4*W23)*(1-P$3*P$4)+Z23*(1-P$3*P$5))</f>
        <v>3194</v>
      </c>
      <c r="C23" s="122" t="n">
        <f aca="false">IF(OR(AB23=0,($D$4+$F$4)=0,($D$4+$F$4)&gt;S23,($D$4+$F$4)&lt;U23),"",ROUND(P23*Q23*R23*(1-P$3)/ОКРУГЛЕННЯ,0)*ОКРУГЛЕННЯ+MAX(0,($D$4+$F$4)-T23)*КРОК_ГОСТЯ*(1-P$3)+($D$4*X23+$F$4*Y23)*(1-P$3*P$4)+Z23*(1-P$3*P$5))</f>
        <v>3402</v>
      </c>
      <c r="D23" s="122" t="n">
        <f aca="false">IF(OR(AO23=0,($D$4+$F$4)=0,($D$4+$F$4)&gt;AG23,($D$4+$F$4)&lt;AI23),"",ROUND(AD23*AE23*(1-AD$3)/ОКРУГЛЕННЯ,0)*ОКРУГЛЕННЯ+MAX(0,($D$4+$F$4)-AH23)*КРОК_ГОСТЯ*(1-AD$3)+($D$4*AJ23+$F$4*AK23)*(1-AD$3*AD$4)+AN23*(1-AD$3*AD$5))</f>
        <v>3740</v>
      </c>
      <c r="E23" s="122" t="n">
        <f aca="false">IF(OR(AP23=0,($D$4+$F$4)=0,($D$4+$F$4)&gt;AG23,($D$4+$F$4)&lt;AI23),"",ROUND(AD23*AE23*AF23*(1-AD$3)/ОКРУГЛЕННЯ,0)*ОКРУГЛЕННЯ+MAX(0,($D$4+$F$4)-AH23)*КРОК_ГОСТЯ*(1-AD$3)+($D$4*AL23+$F$4*AM23)*(1-AD$3*AD$4)+AN23*(1-AD$3*AD$5))</f>
        <v>3984</v>
      </c>
      <c r="F23" s="122" t="n">
        <f aca="false">IF(OR(B23="",D23=""),"",D23-B23)</f>
        <v>546</v>
      </c>
      <c r="G23" s="122" t="n">
        <f aca="false">IF(OR(C23="",E23=""),"",E23-C23)</f>
        <v>582</v>
      </c>
      <c r="H23" s="123" t="n">
        <f aca="false">IF(OR(B23="",D23="",B23=0),"",D23/B23-1)</f>
        <v>0.170945522855354</v>
      </c>
      <c r="I23" s="123" t="n">
        <f aca="false">IF(OR(C23="",E23="",C23=0),"",E23/C23-1)</f>
        <v>0.171075837742504</v>
      </c>
      <c r="J23" s="110"/>
      <c r="K23" s="110"/>
      <c r="L23" s="110"/>
      <c r="M23" s="110"/>
      <c r="N23" s="110"/>
      <c r="O23" s="110"/>
      <c r="P23" s="124" t="n">
        <f aca="false" t="array" ref="P23:P23">IF(OR(P$2=0,$A23=""),0,IFERROR(INDEX(БАЗА_RO,MATCH(INDEX(ДОВ_ОПОРА,MATCH($A23,КАТЕГОРІЇ,0)),БАЗА_КАТ,0),P$2),0))</f>
        <v>2930</v>
      </c>
      <c r="Q23" s="125" t="n">
        <f aca="false" t="array" ref="Q23:Q23">IF(OR(P$2=0,$A23=""),0,IFERROR(INDEX(МНОЖНИКИ,MATCH($A23,МНОЖ_КАТ,0),P$2),0))</f>
        <v>1.09</v>
      </c>
      <c r="R23" s="125" t="n">
        <f aca="false" t="array" ref="R23:R23">IF(OR(P$2=0,$A23=""),0,IFERROR(INDEX(МНОЖНИКИ,MATCH($A23,МНОЖ_КАТ,0),P$2+1),0))</f>
        <v>1.0652</v>
      </c>
      <c r="S23" s="119" t="n">
        <f aca="false" t="array" ref="S23:S23">IF($A23="",0,IFERROR(INDEX(ДОВ_МАКС,MATCH($A23,КАТЕГОРІЇ,0)),0))</f>
        <v>3</v>
      </c>
      <c r="T23" s="119" t="n">
        <f aca="false" t="array" ref="T23:T23">IF($A23="",0,IFERROR(INDEX(ДОВ_ВКЛ,MATCH($A23,КАТЕГОРІЇ,0)),0))</f>
        <v>2</v>
      </c>
      <c r="U23" s="119" t="n">
        <f aca="false" t="array" ref="U23:U23">IF($A23="",0,IFERROR(INDEX(ДОВ_МІН,MATCH($A23,КАТЕГОРІЇ,0)),0))</f>
        <v>1</v>
      </c>
      <c r="V23" s="113" t="n">
        <f aca="false" t="array" ref="V23:V23">IF(OR(P$2=0,$N$5=0),0,IFERROR(INDEX(ПАКЕТИ_ЦІНИ,MATCH($N$6&amp;"|Будні",ПАКЕТИ_КЛЮЧ,0),P$2+0),0))</f>
        <v>0</v>
      </c>
      <c r="W23" s="113" t="n">
        <f aca="false" t="array" ref="W23:W23">IF(OR(P$2=0,$N$5=0),0,IFERROR(INDEX(ПАКЕТИ_ЦІНИ,MATCH($N$6&amp;"|Будні",ПАКЕТИ_КЛЮЧ,0),P$2+1),0))</f>
        <v>0</v>
      </c>
      <c r="X23" s="113" t="n">
        <f aca="false" t="array" ref="X23:X23">IF(OR(P$2=0,$N$5=0),0,IFERROR(INDEX(ПАКЕТИ_ЦІНИ,MATCH($N$6&amp;"|Вихідні",ПАКЕТИ_КЛЮЧ,0),P$2+0),0))</f>
        <v>0</v>
      </c>
      <c r="Y23" s="113" t="n">
        <f aca="false" t="array" ref="Y23:Y23">IF(OR(P$2=0,$N$5=0),0,IFERROR(INDEX(ПАКЕТИ_ЦІНИ,MATCH($N$6&amp;"|Вихідні",ПАКЕТИ_КЛЮЧ,0),P$2+1),0))</f>
        <v>0</v>
      </c>
      <c r="Z23" s="113" t="n">
        <f aca="false" t="array" ref="Z23:Z23">IF(OR(P$2=0,$N$7=0,$A23=""),0,IFERROR(INDEX(SPA_ЦІНИ,MATCH(INDEX(ДОВ_SPA,MATCH($A23,КАТЕГОРІЇ,0)),SPA_РОЛЬ,0),P$2),0))</f>
        <v>0</v>
      </c>
      <c r="AA23" s="113" t="n">
        <f aca="false">IF(OR($A23="",P23=0,Q23=0,AND($N$5=1,$D$4&gt;0,V23=0),AND($N$5=1,$F$4&gt;0,W23=0),AND($N$7=1,Z23=0)),0,1)</f>
        <v>1</v>
      </c>
      <c r="AB23" s="113" t="n">
        <f aca="false">IF(OR(AA23=0,R23=0,AND($N$5=1,$D$4&gt;0,X23=0),AND($N$5=1,$F$4&gt;0,Y23=0)),0,1)</f>
        <v>1</v>
      </c>
      <c r="AC23" s="110"/>
      <c r="AD23" s="124" t="n">
        <f aca="false" t="array" ref="AD23:AD23">IF(OR(AD$2=0,$A23=""),0,IFERROR(INDEX(БАЗА_RO,MATCH(INDEX(ДОВ_ОПОРА,MATCH($A23,КАТЕГОРІЇ,0)),БАЗА_КАТ,0),AD$2),0))</f>
        <v>3400</v>
      </c>
      <c r="AE23" s="125" t="n">
        <f aca="false" t="array" ref="AE23:AE23">IF(OR(AD$2=0,$A23=""),0,IFERROR(INDEX(МНОЖНИКИ,MATCH($A23,МНОЖ_КАТ,0),AD$2),0))</f>
        <v>1.1</v>
      </c>
      <c r="AF23" s="125" t="n">
        <f aca="false" t="array" ref="AF23:AF23">IF(OR(AD$2=0,$A23=""),0,IFERROR(INDEX(МНОЖНИКИ,MATCH($A23,МНОЖ_КАТ,0),AD$2+1),0))</f>
        <v>1.0652</v>
      </c>
      <c r="AG23" s="119" t="n">
        <f aca="false" t="array" ref="AG23:AG23">IF($A23="",0,IFERROR(INDEX(ДОВ_МАКС,MATCH($A23,КАТЕГОРІЇ,0)),0))</f>
        <v>3</v>
      </c>
      <c r="AH23" s="119" t="n">
        <f aca="false" t="array" ref="AH23:AH23">IF($A23="",0,IFERROR(INDEX(ДОВ_ВКЛ,MATCH($A23,КАТЕГОРІЇ,0)),0))</f>
        <v>2</v>
      </c>
      <c r="AI23" s="119" t="n">
        <f aca="false" t="array" ref="AI23:AI23">IF($A23="",0,IFERROR(INDEX(ДОВ_МІН,MATCH($A23,КАТЕГОРІЇ,0)),0))</f>
        <v>1</v>
      </c>
      <c r="AJ23" s="113" t="n">
        <f aca="false" t="array" ref="AJ23:AJ23">IF(OR(AD$2=0,$N$5=0),0,IFERROR(INDEX(ПАКЕТИ_ЦІНИ,MATCH($N$6&amp;"|Будні",ПАКЕТИ_КЛЮЧ,0),AD$2+0),0))</f>
        <v>0</v>
      </c>
      <c r="AK23" s="113" t="n">
        <f aca="false" t="array" ref="AK23:AK23">IF(OR(AD$2=0,$N$5=0),0,IFERROR(INDEX(ПАКЕТИ_ЦІНИ,MATCH($N$6&amp;"|Будні",ПАКЕТИ_КЛЮЧ,0),AD$2+1),0))</f>
        <v>0</v>
      </c>
      <c r="AL23" s="113" t="n">
        <f aca="false" t="array" ref="AL23:AL23">IF(OR(AD$2=0,$N$5=0),0,IFERROR(INDEX(ПАКЕТИ_ЦІНИ,MATCH($N$6&amp;"|Вихідні",ПАКЕТИ_КЛЮЧ,0),AD$2+0),0))</f>
        <v>0</v>
      </c>
      <c r="AM23" s="113" t="n">
        <f aca="false" t="array" ref="AM23:AM23">IF(OR(AD$2=0,$N$5=0),0,IFERROR(INDEX(ПАКЕТИ_ЦІНИ,MATCH($N$6&amp;"|Вихідні",ПАКЕТИ_КЛЮЧ,0),AD$2+1),0))</f>
        <v>0</v>
      </c>
      <c r="AN23" s="113" t="n">
        <f aca="false" t="array" ref="AN23:AN23">IF(OR(AD$2=0,$N$7=0,$A23=""),0,IFERROR(INDEX(SPA_ЦІНИ,MATCH(INDEX(ДОВ_SPA,MATCH($A23,КАТЕГОРІЇ,0)),SPA_РОЛЬ,0),AD$2),0))</f>
        <v>0</v>
      </c>
      <c r="AO23" s="113" t="n">
        <f aca="false">IF(OR($A23="",AD23=0,AE23=0,AND($N$5=1,$D$4&gt;0,AJ23=0),AND($N$5=1,$F$4&gt;0,AK23=0),AND($N$7=1,AN23=0)),0,1)</f>
        <v>1</v>
      </c>
      <c r="AP23" s="113" t="n">
        <f aca="false">IF(OR(AO23=0,AF23=0,AND($N$5=1,$D$4&gt;0,AL23=0),AND($N$5=1,$F$4&gt;0,AM23=0)),0,1)</f>
        <v>1</v>
      </c>
    </row>
    <row r="24" customFormat="false" ht="15.75" hidden="false" customHeight="true" outlineLevel="0" collapsed="false">
      <c r="A24" s="126" t="str">
        <f aca="false">IF('Довідник категорій'!A22="","",'Довідник категорій'!A22)</f>
        <v>Апартаменти президентські</v>
      </c>
      <c r="B24" s="127" t="n">
        <f aca="false">IF(OR(AA24=0,($D$4+$F$4)=0,($D$4+$F$4)&gt;S24,($D$4+$F$4)&lt;U24),"",ROUND(P24*Q24*(1-P$3)/ОКРУГЛЕННЯ,0)*ОКРУГЛЕННЯ+MAX(0,($D$4+$F$4)-T24)*КРОК_ГОСТЯ*(1-P$3)+($D$4*V24+$F$4*W24)*(1-P$3*P$4)+Z24*(1-P$3*P$5))</f>
        <v>4600</v>
      </c>
      <c r="C24" s="127" t="n">
        <f aca="false">IF(OR(AB24=0,($D$4+$F$4)=0,($D$4+$F$4)&gt;S24,($D$4+$F$4)&lt;U24),"",ROUND(P24*Q24*R24*(1-P$3)/ОКРУГЛЕННЯ,0)*ОКРУГЛЕННЯ+MAX(0,($D$4+$F$4)-T24)*КРОК_ГОСТЯ*(1-P$3)+($D$4*X24+$F$4*Y24)*(1-P$3*P$4)+Z24*(1-P$3*P$5))</f>
        <v>4876</v>
      </c>
      <c r="D24" s="127" t="n">
        <f aca="false">IF(OR(AO24=0,($D$4+$F$4)=0,($D$4+$F$4)&gt;AG24,($D$4+$F$4)&lt;AI24),"",ROUND(AD24*AE24*(1-AD$3)/ОКРУГЛЕННЯ,0)*ОКРУГЛЕННЯ+MAX(0,($D$4+$F$4)-AH24)*КРОК_ГОСТЯ*(1-AD$3)+($D$4*AJ24+$F$4*AK24)*(1-AD$3*AD$4)+AN24*(1-AD$3*AD$5))</f>
        <v>5338</v>
      </c>
      <c r="E24" s="127" t="n">
        <f aca="false">IF(OR(AP24=0,($D$4+$F$4)=0,($D$4+$F$4)&gt;AG24,($D$4+$F$4)&lt;AI24),"",ROUND(AD24*AE24*AF24*(1-AD$3)/ОКРУГЛЕННЯ,0)*ОКРУГЛЕННЯ+MAX(0,($D$4+$F$4)-AH24)*КРОК_ГОСТЯ*(1-AD$3)+($D$4*AL24+$F$4*AM24)*(1-AD$3*AD$4)+AN24*(1-AD$3*AD$5))</f>
        <v>5658</v>
      </c>
      <c r="F24" s="127" t="n">
        <f aca="false">IF(OR(B24="",D24=""),"",D24-B24)</f>
        <v>738</v>
      </c>
      <c r="G24" s="127" t="n">
        <f aca="false">IF(OR(C24="",E24=""),"",E24-C24)</f>
        <v>782</v>
      </c>
      <c r="H24" s="128" t="n">
        <f aca="false">IF(OR(B24="",D24="",B24=0),"",D24/B24-1)</f>
        <v>0.160434782608696</v>
      </c>
      <c r="I24" s="128" t="n">
        <f aca="false">IF(OR(C24="",E24="",C24=0),"",E24/C24-1)</f>
        <v>0.160377358490566</v>
      </c>
      <c r="J24" s="110"/>
      <c r="K24" s="110"/>
      <c r="L24" s="110"/>
      <c r="M24" s="110"/>
      <c r="N24" s="110"/>
      <c r="O24" s="110"/>
      <c r="P24" s="124" t="n">
        <f aca="false" t="array" ref="P24:P24">IF(OR(P$2=0,$A24=""),0,IFERROR(INDEX(БАЗА_RO,MATCH(INDEX(ДОВ_ОПОРА,MATCH($A24,КАТЕГОРІЇ,0)),БАЗА_КАТ,0),P$2),0))</f>
        <v>2930</v>
      </c>
      <c r="Q24" s="125" t="n">
        <f aca="false" t="array" ref="Q24:Q24">IF(OR(P$2=0,$A24=""),0,IFERROR(INDEX(МНОЖНИКИ,MATCH($A24,МНОЖ_КАТ,0),P$2),0))</f>
        <v>1.57</v>
      </c>
      <c r="R24" s="125" t="n">
        <f aca="false" t="array" ref="R24:R24">IF(OR(P$2=0,$A24=""),0,IFERROR(INDEX(МНОЖНИКИ,MATCH($A24,МНОЖ_КАТ,0),P$2+1),0))</f>
        <v>1.06</v>
      </c>
      <c r="S24" s="119" t="n">
        <f aca="false" t="array" ref="S24:S24">IF($A24="",0,IFERROR(INDEX(ДОВ_МАКС,MATCH($A24,КАТЕГОРІЇ,0)),0))</f>
        <v>3</v>
      </c>
      <c r="T24" s="119" t="n">
        <f aca="false" t="array" ref="T24:T24">IF($A24="",0,IFERROR(INDEX(ДОВ_ВКЛ,MATCH($A24,КАТЕГОРІЇ,0)),0))</f>
        <v>2</v>
      </c>
      <c r="U24" s="119" t="n">
        <f aca="false" t="array" ref="U24:U24">IF($A24="",0,IFERROR(INDEX(ДОВ_МІН,MATCH($A24,КАТЕГОРІЇ,0)),0))</f>
        <v>1</v>
      </c>
      <c r="V24" s="113" t="n">
        <f aca="false" t="array" ref="V24:V24">IF(OR(P$2=0,$N$5=0),0,IFERROR(INDEX(ПАКЕТИ_ЦІНИ,MATCH($N$6&amp;"|Будні",ПАКЕТИ_КЛЮЧ,0),P$2+0),0))</f>
        <v>0</v>
      </c>
      <c r="W24" s="113" t="n">
        <f aca="false" t="array" ref="W24:W24">IF(OR(P$2=0,$N$5=0),0,IFERROR(INDEX(ПАКЕТИ_ЦІНИ,MATCH($N$6&amp;"|Будні",ПАКЕТИ_КЛЮЧ,0),P$2+1),0))</f>
        <v>0</v>
      </c>
      <c r="X24" s="113" t="n">
        <f aca="false" t="array" ref="X24:X24">IF(OR(P$2=0,$N$5=0),0,IFERROR(INDEX(ПАКЕТИ_ЦІНИ,MATCH($N$6&amp;"|Вихідні",ПАКЕТИ_КЛЮЧ,0),P$2+0),0))</f>
        <v>0</v>
      </c>
      <c r="Y24" s="113" t="n">
        <f aca="false" t="array" ref="Y24:Y24">IF(OR(P$2=0,$N$5=0),0,IFERROR(INDEX(ПАКЕТИ_ЦІНИ,MATCH($N$6&amp;"|Вихідні",ПАКЕТИ_КЛЮЧ,0),P$2+1),0))</f>
        <v>0</v>
      </c>
      <c r="Z24" s="113" t="n">
        <f aca="false" t="array" ref="Z24:Z24">IF(OR(P$2=0,$N$7=0,$A24=""),0,IFERROR(INDEX(SPA_ЦІНИ,MATCH(INDEX(ДОВ_SPA,MATCH($A24,КАТЕГОРІЇ,0)),SPA_РОЛЬ,0),P$2),0))</f>
        <v>0</v>
      </c>
      <c r="AA24" s="113" t="n">
        <f aca="false">IF(OR($A24="",P24=0,Q24=0,AND($N$5=1,$D$4&gt;0,V24=0),AND($N$5=1,$F$4&gt;0,W24=0),AND($N$7=1,Z24=0)),0,1)</f>
        <v>1</v>
      </c>
      <c r="AB24" s="113" t="n">
        <f aca="false">IF(OR(AA24=0,R24=0,AND($N$5=1,$D$4&gt;0,X24=0),AND($N$5=1,$F$4&gt;0,Y24=0)),0,1)</f>
        <v>1</v>
      </c>
      <c r="AC24" s="110"/>
      <c r="AD24" s="124" t="n">
        <f aca="false" t="array" ref="AD24:AD24">IF(OR(AD$2=0,$A24=""),0,IFERROR(INDEX(БАЗА_RO,MATCH(INDEX(ДОВ_ОПОРА,MATCH($A24,КАТЕГОРІЇ,0)),БАЗА_КАТ,0),AD$2),0))</f>
        <v>3400</v>
      </c>
      <c r="AE24" s="125" t="n">
        <f aca="false" t="array" ref="AE24:AE24">IF(OR(AD$2=0,$A24=""),0,IFERROR(INDEX(МНОЖНИКИ,MATCH($A24,МНОЖ_КАТ,0),AD$2),0))</f>
        <v>1.57</v>
      </c>
      <c r="AF24" s="125" t="n">
        <f aca="false" t="array" ref="AF24:AF24">IF(OR(AD$2=0,$A24=""),0,IFERROR(INDEX(МНОЖНИКИ,MATCH($A24,МНОЖ_КАТ,0),AD$2+1),0))</f>
        <v>1.06</v>
      </c>
      <c r="AG24" s="119" t="n">
        <f aca="false" t="array" ref="AG24:AG24">IF($A24="",0,IFERROR(INDEX(ДОВ_МАКС,MATCH($A24,КАТЕГОРІЇ,0)),0))</f>
        <v>3</v>
      </c>
      <c r="AH24" s="119" t="n">
        <f aca="false" t="array" ref="AH24:AH24">IF($A24="",0,IFERROR(INDEX(ДОВ_ВКЛ,MATCH($A24,КАТЕГОРІЇ,0)),0))</f>
        <v>2</v>
      </c>
      <c r="AI24" s="119" t="n">
        <f aca="false" t="array" ref="AI24:AI24">IF($A24="",0,IFERROR(INDEX(ДОВ_МІН,MATCH($A24,КАТЕГОРІЇ,0)),0))</f>
        <v>1</v>
      </c>
      <c r="AJ24" s="113" t="n">
        <f aca="false" t="array" ref="AJ24:AJ24">IF(OR(AD$2=0,$N$5=0),0,IFERROR(INDEX(ПАКЕТИ_ЦІНИ,MATCH($N$6&amp;"|Будні",ПАКЕТИ_КЛЮЧ,0),AD$2+0),0))</f>
        <v>0</v>
      </c>
      <c r="AK24" s="113" t="n">
        <f aca="false" t="array" ref="AK24:AK24">IF(OR(AD$2=0,$N$5=0),0,IFERROR(INDEX(ПАКЕТИ_ЦІНИ,MATCH($N$6&amp;"|Будні",ПАКЕТИ_КЛЮЧ,0),AD$2+1),0))</f>
        <v>0</v>
      </c>
      <c r="AL24" s="113" t="n">
        <f aca="false" t="array" ref="AL24:AL24">IF(OR(AD$2=0,$N$5=0),0,IFERROR(INDEX(ПАКЕТИ_ЦІНИ,MATCH($N$6&amp;"|Вихідні",ПАКЕТИ_КЛЮЧ,0),AD$2+0),0))</f>
        <v>0</v>
      </c>
      <c r="AM24" s="113" t="n">
        <f aca="false" t="array" ref="AM24:AM24">IF(OR(AD$2=0,$N$5=0),0,IFERROR(INDEX(ПАКЕТИ_ЦІНИ,MATCH($N$6&amp;"|Вихідні",ПАКЕТИ_КЛЮЧ,0),AD$2+1),0))</f>
        <v>0</v>
      </c>
      <c r="AN24" s="113" t="n">
        <f aca="false" t="array" ref="AN24:AN24">IF(OR(AD$2=0,$N$7=0,$A24=""),0,IFERROR(INDEX(SPA_ЦІНИ,MATCH(INDEX(ДОВ_SPA,MATCH($A24,КАТЕГОРІЇ,0)),SPA_РОЛЬ,0),AD$2),0))</f>
        <v>0</v>
      </c>
      <c r="AO24" s="113" t="n">
        <f aca="false">IF(OR($A24="",AD24=0,AE24=0,AND($N$5=1,$D$4&gt;0,AJ24=0),AND($N$5=1,$F$4&gt;0,AK24=0),AND($N$7=1,AN24=0)),0,1)</f>
        <v>1</v>
      </c>
      <c r="AP24" s="113" t="n">
        <f aca="false">IF(OR(AO24=0,AF24=0,AND($N$5=1,$D$4&gt;0,AL24=0),AND($N$5=1,$F$4&gt;0,AM24=0)),0,1)</f>
        <v>1</v>
      </c>
    </row>
    <row r="25" customFormat="false" ht="15.75" hidden="false" customHeight="true" outlineLevel="0" collapsed="false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</row>
    <row r="26" customFormat="false" ht="15.75" hidden="false" customHeight="true" outlineLevel="0" collapsed="false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</row>
    <row r="27" customFormat="false" ht="15.75" hidden="false" customHeight="true" outlineLevel="0" collapsed="false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</row>
    <row r="28" customFormat="false" ht="15.75" hidden="false" customHeight="true" outlineLevel="0" collapsed="false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</row>
    <row r="29" customFormat="false" ht="15.75" hidden="false" customHeight="true" outlineLevel="0" collapsed="false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</row>
    <row r="30" customFormat="false" ht="15.75" hidden="false" customHeight="true" outlineLevel="0" collapsed="false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</row>
    <row r="31" customFormat="false" ht="15.75" hidden="false" customHeight="true" outlineLevel="0" collapsed="false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</row>
    <row r="32" customFormat="false" ht="15.75" hidden="false" customHeight="true" outlineLevel="0" collapsed="false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</row>
    <row r="33" customFormat="false" ht="15.75" hidden="false" customHeight="true" outlineLevel="0" collapsed="false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</row>
    <row r="34" customFormat="false" ht="15.75" hidden="false" customHeight="true" outlineLevel="0" collapsed="false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</row>
    <row r="35" customFormat="false" ht="15.75" hidden="false" customHeight="true" outlineLevel="0" collapsed="false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</row>
    <row r="36" customFormat="false" ht="15.75" hidden="false" customHeight="true" outlineLevel="0" collapsed="false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</row>
    <row r="37" customFormat="false" ht="15.75" hidden="false" customHeight="true" outlineLevel="0" collapsed="false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</row>
    <row r="38" customFormat="false" ht="15.75" hidden="false" customHeight="true" outlineLevel="0" collapsed="false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</row>
    <row r="39" customFormat="false" ht="15.75" hidden="false" customHeight="true" outlineLevel="0" collapsed="false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</row>
    <row r="40" customFormat="false" ht="15.75" hidden="false" customHeight="true" outlineLevel="0" collapsed="false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</row>
    <row r="41" customFormat="false" ht="15.75" hidden="false" customHeight="true" outlineLevel="0" collapsed="false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</row>
    <row r="42" customFormat="false" ht="15.75" hidden="false" customHeight="true" outlineLevel="0" collapsed="false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</row>
    <row r="43" customFormat="false" ht="15.75" hidden="false" customHeight="true" outlineLevel="0" collapsed="false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</row>
    <row r="44" customFormat="false" ht="15.75" hidden="false" customHeight="true" outlineLevel="0" collapsed="false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</row>
    <row r="45" customFormat="false" ht="15.75" hidden="false" customHeight="true" outlineLevel="0" collapsed="false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</row>
    <row r="46" customFormat="false" ht="15.75" hidden="false" customHeight="true" outlineLevel="0" collapsed="false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</row>
    <row r="47" customFormat="false" ht="15.75" hidden="false" customHeight="true" outlineLevel="0" collapsed="false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</row>
    <row r="48" customFormat="false" ht="15.75" hidden="false" customHeight="true" outlineLevel="0" collapsed="false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</row>
    <row r="49" customFormat="false" ht="15.75" hidden="false" customHeight="true" outlineLevel="0" collapsed="false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</row>
    <row r="50" customFormat="false" ht="15.75" hidden="false" customHeight="true" outlineLevel="0" collapsed="false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</row>
    <row r="51" customFormat="false" ht="15.75" hidden="false" customHeight="true" outlineLevel="0" collapsed="false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</row>
    <row r="52" customFormat="false" ht="15.75" hidden="false" customHeight="true" outlineLevel="0" collapsed="false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</row>
    <row r="53" customFormat="false" ht="15.75" hidden="false" customHeight="true" outlineLevel="0" collapsed="false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</row>
    <row r="54" customFormat="false" ht="15.75" hidden="false" customHeight="true" outlineLevel="0" collapsed="false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</row>
    <row r="55" customFormat="false" ht="15.75" hidden="false" customHeight="true" outlineLevel="0" collapsed="false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</row>
    <row r="56" customFormat="false" ht="15.75" hidden="false" customHeight="true" outlineLevel="0" collapsed="false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</row>
    <row r="57" customFormat="false" ht="15.75" hidden="false" customHeight="true" outlineLevel="0" collapsed="false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</row>
    <row r="58" customFormat="false" ht="15.75" hidden="false" customHeight="true" outlineLevel="0" collapsed="false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</row>
    <row r="59" customFormat="false" ht="15.75" hidden="false" customHeight="true" outlineLevel="0" collapsed="false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</row>
    <row r="60" customFormat="false" ht="15.75" hidden="false" customHeight="true" outlineLevel="0" collapsed="false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</row>
    <row r="61" customFormat="false" ht="15.75" hidden="false" customHeight="true" outlineLevel="0" collapsed="false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</row>
    <row r="62" customFormat="false" ht="15.75" hidden="false" customHeight="true" outlineLevel="0" collapsed="false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</row>
    <row r="63" customFormat="false" ht="15.75" hidden="false" customHeight="true" outlineLevel="0" collapsed="false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</row>
    <row r="64" customFormat="false" ht="15.75" hidden="false" customHeight="true" outlineLevel="0" collapsed="false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</row>
    <row r="65" customFormat="false" ht="15.75" hidden="false" customHeight="true" outlineLevel="0" collapsed="false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</row>
    <row r="66" customFormat="false" ht="15.75" hidden="false" customHeight="true" outlineLevel="0" collapsed="false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</row>
    <row r="67" customFormat="false" ht="15.75" hidden="false" customHeight="true" outlineLevel="0" collapsed="false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</row>
    <row r="68" customFormat="false" ht="15.75" hidden="false" customHeight="true" outlineLevel="0" collapsed="false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</row>
    <row r="69" customFormat="false" ht="15.75" hidden="false" customHeight="true" outlineLevel="0" collapsed="false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</row>
    <row r="70" customFormat="false" ht="15.75" hidden="false" customHeight="true" outlineLevel="0" collapsed="false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</row>
    <row r="71" customFormat="false" ht="15.75" hidden="false" customHeight="true" outlineLevel="0" collapsed="false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</row>
    <row r="72" customFormat="false" ht="15.75" hidden="false" customHeight="true" outlineLevel="0" collapsed="false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</row>
    <row r="73" customFormat="false" ht="15.75" hidden="false" customHeight="true" outlineLevel="0" collapsed="false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</row>
    <row r="74" customFormat="false" ht="15.75" hidden="false" customHeight="true" outlineLevel="0" collapsed="false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</row>
    <row r="75" customFormat="false" ht="15.75" hidden="false" customHeight="true" outlineLevel="0" collapsed="false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</row>
    <row r="76" customFormat="false" ht="15.75" hidden="false" customHeight="true" outlineLevel="0" collapsed="false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</row>
    <row r="77" customFormat="false" ht="15.75" hidden="false" customHeight="true" outlineLevel="0" collapsed="false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</row>
    <row r="78" customFormat="false" ht="15.75" hidden="false" customHeight="true" outlineLevel="0" collapsed="false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</row>
    <row r="79" customFormat="false" ht="15.75" hidden="false" customHeight="true" outlineLevel="0" collapsed="false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</row>
    <row r="80" customFormat="false" ht="15.75" hidden="false" customHeight="true" outlineLevel="0" collapsed="false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</row>
    <row r="81" customFormat="false" ht="15.75" hidden="false" customHeight="true" outlineLevel="0" collapsed="false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</row>
    <row r="82" customFormat="false" ht="15.75" hidden="false" customHeight="true" outlineLevel="0" collapsed="false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</row>
    <row r="83" customFormat="false" ht="15.75" hidden="false" customHeight="true" outlineLevel="0" collapsed="false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</row>
    <row r="84" customFormat="false" ht="15.75" hidden="false" customHeight="true" outlineLevel="0" collapsed="false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</row>
    <row r="85" customFormat="false" ht="15.75" hidden="false" customHeight="true" outlineLevel="0" collapsed="false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</row>
    <row r="86" customFormat="false" ht="15.75" hidden="false" customHeight="true" outlineLevel="0" collapsed="false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</row>
    <row r="87" customFormat="false" ht="15.75" hidden="false" customHeight="true" outlineLevel="0" collapsed="false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</row>
    <row r="88" customFormat="false" ht="15.75" hidden="false" customHeight="true" outlineLevel="0" collapsed="false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</row>
    <row r="89" customFormat="false" ht="15.75" hidden="false" customHeight="true" outlineLevel="0" collapsed="false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</row>
    <row r="90" customFormat="false" ht="15.75" hidden="false" customHeight="true" outlineLevel="0" collapsed="false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</row>
    <row r="91" customFormat="false" ht="15.75" hidden="false" customHeight="true" outlineLevel="0" collapsed="false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</row>
    <row r="92" customFormat="false" ht="15.75" hidden="false" customHeight="true" outlineLevel="0" collapsed="false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</row>
    <row r="93" customFormat="false" ht="15.75" hidden="false" customHeight="true" outlineLevel="0" collapsed="false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</row>
    <row r="94" customFormat="false" ht="15.75" hidden="false" customHeight="true" outlineLevel="0" collapsed="false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</row>
    <row r="95" customFormat="false" ht="15.75" hidden="false" customHeight="true" outlineLevel="0" collapsed="false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</row>
    <row r="96" customFormat="false" ht="15.75" hidden="false" customHeight="true" outlineLevel="0" collapsed="false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</row>
    <row r="97" customFormat="false" ht="15.75" hidden="false" customHeight="true" outlineLevel="0" collapsed="false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</row>
    <row r="98" customFormat="false" ht="15.75" hidden="false" customHeight="true" outlineLevel="0" collapsed="false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</row>
    <row r="99" customFormat="false" ht="15.75" hidden="false" customHeight="true" outlineLevel="0" collapsed="false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</row>
    <row r="100" customFormat="false" ht="15.75" hidden="false" customHeight="true" outlineLevel="0" collapsed="false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</row>
    <row r="101" customFormat="false" ht="15.75" hidden="false" customHeight="true" outlineLevel="0" collapsed="false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</row>
    <row r="102" customFormat="false" ht="15.75" hidden="false" customHeight="true" outlineLevel="0" collapsed="false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</row>
    <row r="103" customFormat="false" ht="15.75" hidden="false" customHeight="true" outlineLevel="0" collapsed="false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</row>
    <row r="104" customFormat="false" ht="15.75" hidden="false" customHeight="true" outlineLevel="0" collapsed="false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</row>
    <row r="105" customFormat="false" ht="15.75" hidden="false" customHeight="true" outlineLevel="0" collapsed="false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</row>
    <row r="106" customFormat="false" ht="15.75" hidden="false" customHeight="true" outlineLevel="0" collapsed="false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</row>
    <row r="107" customFormat="false" ht="15.75" hidden="false" customHeight="true" outlineLevel="0" collapsed="false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</row>
    <row r="108" customFormat="false" ht="15.75" hidden="false" customHeight="true" outlineLevel="0" collapsed="false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</row>
    <row r="109" customFormat="false" ht="15.75" hidden="false" customHeight="true" outlineLevel="0" collapsed="false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</row>
    <row r="110" customFormat="false" ht="15.75" hidden="false" customHeight="true" outlineLevel="0" collapsed="false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</row>
    <row r="111" customFormat="false" ht="15.75" hidden="false" customHeight="true" outlineLevel="0" collapsed="false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</row>
    <row r="112" customFormat="false" ht="15.75" hidden="false" customHeight="true" outlineLevel="0" collapsed="false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</row>
    <row r="113" customFormat="false" ht="15.75" hidden="false" customHeight="true" outlineLevel="0" collapsed="false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</row>
    <row r="114" customFormat="false" ht="15.75" hidden="false" customHeight="true" outlineLevel="0" collapsed="false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</row>
    <row r="115" customFormat="false" ht="15.75" hidden="false" customHeight="true" outlineLevel="0" collapsed="false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</row>
    <row r="116" customFormat="false" ht="15.75" hidden="false" customHeight="true" outlineLevel="0" collapsed="false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</row>
    <row r="117" customFormat="false" ht="15.75" hidden="false" customHeight="true" outlineLevel="0" collapsed="false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</row>
    <row r="118" customFormat="false" ht="15.75" hidden="false" customHeight="true" outlineLevel="0" collapsed="false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</row>
    <row r="119" customFormat="false" ht="15.75" hidden="false" customHeight="true" outlineLevel="0" collapsed="false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</row>
    <row r="120" customFormat="false" ht="15.75" hidden="false" customHeight="true" outlineLevel="0" collapsed="false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</row>
    <row r="121" customFormat="false" ht="15.75" hidden="false" customHeight="true" outlineLevel="0" collapsed="false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</row>
    <row r="122" customFormat="false" ht="15.75" hidden="false" customHeight="true" outlineLevel="0" collapsed="false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</row>
    <row r="123" customFormat="false" ht="15.75" hidden="false" customHeight="true" outlineLevel="0" collapsed="false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</row>
    <row r="124" customFormat="false" ht="15.75" hidden="false" customHeight="true" outlineLevel="0" collapsed="false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</row>
    <row r="125" customFormat="false" ht="15.75" hidden="false" customHeight="true" outlineLevel="0" collapsed="false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</row>
    <row r="126" customFormat="false" ht="15.75" hidden="false" customHeight="true" outlineLevel="0" collapsed="false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</row>
    <row r="127" customFormat="false" ht="15.75" hidden="false" customHeight="true" outlineLevel="0" collapsed="false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</row>
    <row r="128" customFormat="false" ht="15.75" hidden="false" customHeight="true" outlineLevel="0" collapsed="false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</row>
    <row r="129" customFormat="false" ht="15.75" hidden="false" customHeight="true" outlineLevel="0" collapsed="false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</row>
    <row r="130" customFormat="false" ht="15.75" hidden="false" customHeight="true" outlineLevel="0" collapsed="false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</row>
    <row r="131" customFormat="false" ht="15.75" hidden="false" customHeight="true" outlineLevel="0" collapsed="false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</row>
    <row r="132" customFormat="false" ht="15.75" hidden="false" customHeight="true" outlineLevel="0" collapsed="false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</row>
    <row r="133" customFormat="false" ht="15.75" hidden="false" customHeight="true" outlineLevel="0" collapsed="false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</row>
    <row r="134" customFormat="false" ht="15.75" hidden="false" customHeight="true" outlineLevel="0" collapsed="false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</row>
    <row r="135" customFormat="false" ht="15.75" hidden="false" customHeight="true" outlineLevel="0" collapsed="false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</row>
    <row r="136" customFormat="false" ht="15.75" hidden="false" customHeight="true" outlineLevel="0" collapsed="false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</row>
    <row r="137" customFormat="false" ht="15.75" hidden="false" customHeight="true" outlineLevel="0" collapsed="false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</row>
    <row r="138" customFormat="false" ht="15.75" hidden="false" customHeight="true" outlineLevel="0" collapsed="false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</row>
    <row r="139" customFormat="false" ht="15.75" hidden="false" customHeight="true" outlineLevel="0" collapsed="false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</row>
    <row r="140" customFormat="false" ht="15.75" hidden="false" customHeight="true" outlineLevel="0" collapsed="false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</row>
    <row r="141" customFormat="false" ht="15.75" hidden="false" customHeight="true" outlineLevel="0" collapsed="false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</row>
    <row r="142" customFormat="false" ht="15.75" hidden="false" customHeight="true" outlineLevel="0" collapsed="false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</row>
    <row r="143" customFormat="false" ht="15.75" hidden="false" customHeight="true" outlineLevel="0" collapsed="false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</row>
    <row r="144" customFormat="false" ht="15.75" hidden="false" customHeight="true" outlineLevel="0" collapsed="false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</row>
    <row r="145" customFormat="false" ht="15.75" hidden="false" customHeight="true" outlineLevel="0" collapsed="false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</row>
    <row r="146" customFormat="false" ht="15.75" hidden="false" customHeight="true" outlineLevel="0" collapsed="false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</row>
    <row r="147" customFormat="false" ht="15.75" hidden="false" customHeight="true" outlineLevel="0" collapsed="false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</row>
    <row r="148" customFormat="false" ht="15.75" hidden="false" customHeight="true" outlineLevel="0" collapsed="false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</row>
    <row r="149" customFormat="false" ht="15.75" hidden="false" customHeight="true" outlineLevel="0" collapsed="false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</row>
    <row r="150" customFormat="false" ht="15.75" hidden="false" customHeight="true" outlineLevel="0" collapsed="false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</row>
    <row r="151" customFormat="false" ht="15.75" hidden="false" customHeight="true" outlineLevel="0" collapsed="false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</row>
    <row r="152" customFormat="false" ht="15.75" hidden="false" customHeight="true" outlineLevel="0" collapsed="false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</row>
    <row r="153" customFormat="false" ht="15.75" hidden="false" customHeight="true" outlineLevel="0" collapsed="false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</row>
    <row r="154" customFormat="false" ht="15.75" hidden="false" customHeight="true" outlineLevel="0" collapsed="false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</row>
    <row r="155" customFormat="false" ht="15.75" hidden="false" customHeight="true" outlineLevel="0" collapsed="false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</row>
    <row r="156" customFormat="false" ht="15.75" hidden="false" customHeight="true" outlineLevel="0" collapsed="false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</row>
    <row r="157" customFormat="false" ht="15.75" hidden="false" customHeight="true" outlineLevel="0" collapsed="false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</row>
    <row r="158" customFormat="false" ht="15.75" hidden="false" customHeight="true" outlineLevel="0" collapsed="false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</row>
    <row r="159" customFormat="false" ht="15.75" hidden="false" customHeight="true" outlineLevel="0" collapsed="false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</row>
    <row r="160" customFormat="false" ht="15.75" hidden="false" customHeight="true" outlineLevel="0" collapsed="false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</row>
    <row r="161" customFormat="false" ht="15.75" hidden="false" customHeight="true" outlineLevel="0" collapsed="false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</row>
    <row r="162" customFormat="false" ht="15.75" hidden="false" customHeight="true" outlineLevel="0" collapsed="false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</row>
    <row r="163" customFormat="false" ht="15.75" hidden="false" customHeight="true" outlineLevel="0" collapsed="false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</row>
    <row r="164" customFormat="false" ht="15.75" hidden="false" customHeight="true" outlineLevel="0" collapsed="false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</row>
    <row r="165" customFormat="false" ht="15.75" hidden="false" customHeight="true" outlineLevel="0" collapsed="false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</row>
    <row r="166" customFormat="false" ht="15.75" hidden="false" customHeight="true" outlineLevel="0" collapsed="false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</row>
    <row r="167" customFormat="false" ht="15.75" hidden="false" customHeight="true" outlineLevel="0" collapsed="false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</row>
    <row r="168" customFormat="false" ht="15.75" hidden="false" customHeight="true" outlineLevel="0" collapsed="false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</row>
    <row r="169" customFormat="false" ht="15.75" hidden="false" customHeight="true" outlineLevel="0" collapsed="false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</row>
    <row r="170" customFormat="false" ht="15.75" hidden="false" customHeight="true" outlineLevel="0" collapsed="false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</row>
    <row r="171" customFormat="false" ht="15.75" hidden="false" customHeight="true" outlineLevel="0" collapsed="false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</row>
    <row r="172" customFormat="false" ht="15.75" hidden="false" customHeight="true" outlineLevel="0" collapsed="false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</row>
    <row r="173" customFormat="false" ht="15.75" hidden="false" customHeight="true" outlineLevel="0" collapsed="false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</row>
    <row r="174" customFormat="false" ht="15.75" hidden="false" customHeight="true" outlineLevel="0" collapsed="false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</row>
    <row r="175" customFormat="false" ht="15.75" hidden="false" customHeight="true" outlineLevel="0" collapsed="false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</row>
    <row r="176" customFormat="false" ht="15.75" hidden="false" customHeight="true" outlineLevel="0" collapsed="false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</row>
    <row r="177" customFormat="false" ht="15.75" hidden="false" customHeight="true" outlineLevel="0" collapsed="false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</row>
    <row r="178" customFormat="false" ht="15.75" hidden="false" customHeight="true" outlineLevel="0" collapsed="false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</row>
    <row r="179" customFormat="false" ht="15.75" hidden="false" customHeight="true" outlineLevel="0" collapsed="false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</row>
    <row r="180" customFormat="false" ht="15.75" hidden="false" customHeight="true" outlineLevel="0" collapsed="false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</row>
    <row r="181" customFormat="false" ht="15.75" hidden="false" customHeight="true" outlineLevel="0" collapsed="false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</row>
    <row r="182" customFormat="false" ht="15.75" hidden="false" customHeight="true" outlineLevel="0" collapsed="false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</row>
    <row r="183" customFormat="false" ht="15.75" hidden="false" customHeight="true" outlineLevel="0" collapsed="false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</row>
    <row r="184" customFormat="false" ht="15.75" hidden="false" customHeight="true" outlineLevel="0" collapsed="false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</row>
    <row r="185" customFormat="false" ht="15.75" hidden="false" customHeight="true" outlineLevel="0" collapsed="false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</row>
    <row r="186" customFormat="false" ht="15.75" hidden="false" customHeight="true" outlineLevel="0" collapsed="false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</row>
    <row r="187" customFormat="false" ht="15.75" hidden="false" customHeight="true" outlineLevel="0" collapsed="false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</row>
    <row r="188" customFormat="false" ht="15.75" hidden="false" customHeight="true" outlineLevel="0" collapsed="false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</row>
    <row r="189" customFormat="false" ht="15.75" hidden="false" customHeight="true" outlineLevel="0" collapsed="false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</row>
    <row r="190" customFormat="false" ht="15.75" hidden="false" customHeight="true" outlineLevel="0" collapsed="false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</row>
    <row r="191" customFormat="false" ht="15.75" hidden="false" customHeight="true" outlineLevel="0" collapsed="false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</row>
    <row r="192" customFormat="false" ht="15.75" hidden="false" customHeight="true" outlineLevel="0" collapsed="false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</row>
    <row r="193" customFormat="false" ht="15.75" hidden="false" customHeight="true" outlineLevel="0" collapsed="false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</row>
    <row r="194" customFormat="false" ht="15.75" hidden="false" customHeight="true" outlineLevel="0" collapsed="false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</row>
    <row r="195" customFormat="false" ht="15.75" hidden="false" customHeight="true" outlineLevel="0" collapsed="false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</row>
    <row r="196" customFormat="false" ht="15.75" hidden="false" customHeight="true" outlineLevel="0" collapsed="false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</row>
    <row r="197" customFormat="false" ht="15.75" hidden="false" customHeight="true" outlineLevel="0" collapsed="false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</row>
    <row r="198" customFormat="false" ht="15.75" hidden="false" customHeight="true" outlineLevel="0" collapsed="false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</row>
    <row r="199" customFormat="false" ht="15.75" hidden="false" customHeight="true" outlineLevel="0" collapsed="false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</row>
    <row r="200" customFormat="false" ht="15.75" hidden="false" customHeight="true" outlineLevel="0" collapsed="false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</row>
    <row r="201" customFormat="false" ht="15.75" hidden="false" customHeight="true" outlineLevel="0" collapsed="false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</row>
    <row r="202" customFormat="false" ht="15.75" hidden="false" customHeight="true" outlineLevel="0" collapsed="false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</row>
    <row r="203" customFormat="false" ht="15.75" hidden="false" customHeight="true" outlineLevel="0" collapsed="false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</row>
    <row r="204" customFormat="false" ht="15.75" hidden="false" customHeight="true" outlineLevel="0" collapsed="false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</row>
    <row r="205" customFormat="false" ht="15.75" hidden="false" customHeight="true" outlineLevel="0" collapsed="false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</row>
    <row r="206" customFormat="false" ht="15.75" hidden="false" customHeight="true" outlineLevel="0" collapsed="false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</row>
    <row r="207" customFormat="false" ht="15.75" hidden="false" customHeight="true" outlineLevel="0" collapsed="false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</row>
    <row r="208" customFormat="false" ht="15.75" hidden="false" customHeight="true" outlineLevel="0" collapsed="false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</row>
    <row r="209" customFormat="false" ht="15.75" hidden="false" customHeight="true" outlineLevel="0" collapsed="false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</row>
    <row r="210" customFormat="false" ht="15.75" hidden="false" customHeight="true" outlineLevel="0" collapsed="false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</row>
    <row r="211" customFormat="false" ht="15.75" hidden="false" customHeight="true" outlineLevel="0" collapsed="false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</row>
    <row r="212" customFormat="false" ht="15.75" hidden="false" customHeight="true" outlineLevel="0" collapsed="false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</row>
    <row r="213" customFormat="false" ht="15.75" hidden="false" customHeight="true" outlineLevel="0" collapsed="false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</row>
    <row r="214" customFormat="false" ht="15.75" hidden="false" customHeight="true" outlineLevel="0" collapsed="false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</row>
    <row r="215" customFormat="false" ht="15.75" hidden="false" customHeight="true" outlineLevel="0" collapsed="false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</row>
    <row r="216" customFormat="false" ht="15.75" hidden="false" customHeight="true" outlineLevel="0" collapsed="false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</row>
    <row r="217" customFormat="false" ht="15.75" hidden="false" customHeight="true" outlineLevel="0" collapsed="false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</row>
    <row r="218" customFormat="false" ht="15.75" hidden="false" customHeight="true" outlineLevel="0" collapsed="false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</row>
    <row r="219" customFormat="false" ht="15.75" hidden="false" customHeight="true" outlineLevel="0" collapsed="false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</row>
    <row r="220" customFormat="false" ht="15.75" hidden="false" customHeight="true" outlineLevel="0" collapsed="false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</row>
    <row r="221" customFormat="false" ht="15.75" hidden="false" customHeight="true" outlineLevel="0" collapsed="false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</row>
    <row r="222" customFormat="false" ht="15.75" hidden="false" customHeight="true" outlineLevel="0" collapsed="false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</row>
    <row r="223" customFormat="false" ht="15.75" hidden="false" customHeight="true" outlineLevel="0" collapsed="false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</row>
    <row r="224" customFormat="false" ht="15.75" hidden="false" customHeight="true" outlineLevel="0" collapsed="false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</row>
    <row r="225" customFormat="false" ht="15.75" hidden="false" customHeight="true" outlineLevel="0" collapsed="false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</row>
    <row r="226" customFormat="false" ht="15.75" hidden="false" customHeight="true" outlineLevel="0" collapsed="false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</row>
    <row r="227" customFormat="false" ht="15.75" hidden="false" customHeight="true" outlineLevel="0" collapsed="false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</row>
    <row r="228" customFormat="false" ht="15.75" hidden="false" customHeight="true" outlineLevel="0" collapsed="false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</row>
    <row r="229" customFormat="false" ht="15.75" hidden="false" customHeight="true" outlineLevel="0" collapsed="false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</row>
    <row r="230" customFormat="false" ht="15.75" hidden="false" customHeight="true" outlineLevel="0" collapsed="false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</row>
    <row r="231" customFormat="false" ht="15.75" hidden="false" customHeight="true" outlineLevel="0" collapsed="false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</row>
    <row r="232" customFormat="false" ht="15.75" hidden="false" customHeight="true" outlineLevel="0" collapsed="false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</row>
    <row r="233" customFormat="false" ht="15.75" hidden="false" customHeight="true" outlineLevel="0" collapsed="false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</row>
    <row r="234" customFormat="false" ht="15.75" hidden="false" customHeight="true" outlineLevel="0" collapsed="false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</row>
    <row r="235" customFormat="false" ht="15.75" hidden="false" customHeight="true" outlineLevel="0" collapsed="false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</row>
    <row r="236" customFormat="false" ht="15.75" hidden="false" customHeight="true" outlineLevel="0" collapsed="false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</row>
    <row r="237" customFormat="false" ht="15.75" hidden="false" customHeight="true" outlineLevel="0" collapsed="false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</row>
    <row r="238" customFormat="false" ht="15.75" hidden="false" customHeight="true" outlineLevel="0" collapsed="false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</row>
    <row r="239" customFormat="false" ht="15.75" hidden="false" customHeight="true" outlineLevel="0" collapsed="false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</row>
    <row r="240" customFormat="false" ht="15.75" hidden="false" customHeight="true" outlineLevel="0" collapsed="false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</row>
    <row r="241" customFormat="false" ht="15.75" hidden="false" customHeight="true" outlineLevel="0" collapsed="false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</row>
    <row r="242" customFormat="false" ht="15.75" hidden="false" customHeight="true" outlineLevel="0" collapsed="false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</row>
    <row r="243" customFormat="false" ht="15.75" hidden="false" customHeight="true" outlineLevel="0" collapsed="false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</row>
    <row r="244" customFormat="false" ht="15.75" hidden="false" customHeight="true" outlineLevel="0" collapsed="false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</row>
    <row r="245" customFormat="false" ht="15.75" hidden="false" customHeight="true" outlineLevel="0" collapsed="false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</row>
    <row r="246" customFormat="false" ht="15.75" hidden="false" customHeight="true" outlineLevel="0" collapsed="false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</row>
    <row r="247" customFormat="false" ht="15.75" hidden="false" customHeight="true" outlineLevel="0" collapsed="false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</row>
    <row r="248" customFormat="false" ht="15.75" hidden="false" customHeight="true" outlineLevel="0" collapsed="false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</row>
    <row r="249" customFormat="false" ht="15.75" hidden="false" customHeight="true" outlineLevel="0" collapsed="false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</row>
    <row r="250" customFormat="false" ht="15.75" hidden="false" customHeight="true" outlineLevel="0" collapsed="false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</row>
    <row r="251" customFormat="false" ht="15.75" hidden="false" customHeight="true" outlineLevel="0" collapsed="false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</row>
    <row r="252" customFormat="false" ht="15.75" hidden="false" customHeight="true" outlineLevel="0" collapsed="false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</row>
    <row r="253" customFormat="false" ht="15.75" hidden="false" customHeight="true" outlineLevel="0" collapsed="false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</row>
    <row r="254" customFormat="false" ht="15.75" hidden="false" customHeight="true" outlineLevel="0" collapsed="false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</row>
    <row r="255" customFormat="false" ht="15.75" hidden="false" customHeight="true" outlineLevel="0" collapsed="false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</row>
    <row r="256" customFormat="false" ht="15.75" hidden="false" customHeight="true" outlineLevel="0" collapsed="false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</row>
    <row r="257" customFormat="false" ht="15.75" hidden="false" customHeight="true" outlineLevel="0" collapsed="false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</row>
    <row r="258" customFormat="false" ht="15.75" hidden="false" customHeight="true" outlineLevel="0" collapsed="false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</row>
    <row r="259" customFormat="false" ht="15.75" hidden="false" customHeight="true" outlineLevel="0" collapsed="false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</row>
    <row r="260" customFormat="false" ht="15.75" hidden="false" customHeight="true" outlineLevel="0" collapsed="false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</row>
    <row r="261" customFormat="false" ht="15.75" hidden="false" customHeight="true" outlineLevel="0" collapsed="false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</row>
    <row r="262" customFormat="false" ht="15.75" hidden="false" customHeight="true" outlineLevel="0" collapsed="false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</row>
    <row r="263" customFormat="false" ht="15.75" hidden="false" customHeight="true" outlineLevel="0" collapsed="false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</row>
    <row r="264" customFormat="false" ht="15.75" hidden="false" customHeight="true" outlineLevel="0" collapsed="false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</row>
    <row r="265" customFormat="false" ht="15.75" hidden="false" customHeight="true" outlineLevel="0" collapsed="false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</row>
    <row r="266" customFormat="false" ht="15.75" hidden="false" customHeight="true" outlineLevel="0" collapsed="false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</row>
    <row r="267" customFormat="false" ht="15.75" hidden="false" customHeight="true" outlineLevel="0" collapsed="false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</row>
    <row r="268" customFormat="false" ht="15.75" hidden="false" customHeight="true" outlineLevel="0" collapsed="false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</row>
    <row r="269" customFormat="false" ht="15.75" hidden="false" customHeight="true" outlineLevel="0" collapsed="false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</row>
    <row r="270" customFormat="false" ht="15.75" hidden="false" customHeight="true" outlineLevel="0" collapsed="false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</row>
    <row r="271" customFormat="false" ht="15.75" hidden="false" customHeight="true" outlineLevel="0" collapsed="false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</row>
    <row r="272" customFormat="false" ht="15.75" hidden="false" customHeight="true" outlineLevel="0" collapsed="false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</row>
    <row r="273" customFormat="false" ht="15.75" hidden="false" customHeight="true" outlineLevel="0" collapsed="false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</row>
    <row r="274" customFormat="false" ht="15.75" hidden="false" customHeight="true" outlineLevel="0" collapsed="false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</row>
    <row r="275" customFormat="false" ht="15.75" hidden="false" customHeight="true" outlineLevel="0" collapsed="false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</row>
    <row r="276" customFormat="false" ht="15.75" hidden="false" customHeight="true" outlineLevel="0" collapsed="false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</row>
    <row r="277" customFormat="false" ht="15.75" hidden="false" customHeight="true" outlineLevel="0" collapsed="false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</row>
    <row r="278" customFormat="false" ht="15.75" hidden="false" customHeight="true" outlineLevel="0" collapsed="false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</row>
    <row r="279" customFormat="false" ht="15.75" hidden="false" customHeight="true" outlineLevel="0" collapsed="false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</row>
    <row r="280" customFormat="false" ht="15.75" hidden="false" customHeight="true" outlineLevel="0" collapsed="false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</row>
    <row r="281" customFormat="false" ht="15.75" hidden="false" customHeight="true" outlineLevel="0" collapsed="false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</row>
    <row r="282" customFormat="false" ht="15.75" hidden="false" customHeight="true" outlineLevel="0" collapsed="false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</row>
    <row r="283" customFormat="false" ht="15.75" hidden="false" customHeight="true" outlineLevel="0" collapsed="false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</row>
    <row r="284" customFormat="false" ht="15.75" hidden="false" customHeight="true" outlineLevel="0" collapsed="false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</row>
    <row r="285" customFormat="false" ht="15.75" hidden="false" customHeight="true" outlineLevel="0" collapsed="false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</row>
    <row r="286" customFormat="false" ht="15.75" hidden="false" customHeight="true" outlineLevel="0" collapsed="false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</row>
    <row r="287" customFormat="false" ht="15.75" hidden="false" customHeight="true" outlineLevel="0" collapsed="false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</row>
    <row r="288" customFormat="false" ht="15.75" hidden="false" customHeight="true" outlineLevel="0" collapsed="false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</row>
    <row r="289" customFormat="false" ht="15.75" hidden="false" customHeight="true" outlineLevel="0" collapsed="false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</row>
    <row r="290" customFormat="false" ht="15.75" hidden="false" customHeight="true" outlineLevel="0" collapsed="false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</row>
    <row r="291" customFormat="false" ht="15.75" hidden="false" customHeight="true" outlineLevel="0" collapsed="false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</row>
    <row r="292" customFormat="false" ht="15.75" hidden="false" customHeight="true" outlineLevel="0" collapsed="false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</row>
    <row r="293" customFormat="false" ht="15.75" hidden="false" customHeight="true" outlineLevel="0" collapsed="false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</row>
    <row r="294" customFormat="false" ht="15.75" hidden="false" customHeight="true" outlineLevel="0" collapsed="false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</row>
    <row r="295" customFormat="false" ht="15.75" hidden="false" customHeight="true" outlineLevel="0" collapsed="false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</row>
    <row r="296" customFormat="false" ht="15.75" hidden="false" customHeight="true" outlineLevel="0" collapsed="false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</row>
    <row r="297" customFormat="false" ht="15.75" hidden="false" customHeight="true" outlineLevel="0" collapsed="false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</row>
    <row r="298" customFormat="false" ht="15.75" hidden="false" customHeight="true" outlineLevel="0" collapsed="false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</row>
    <row r="299" customFormat="false" ht="15.75" hidden="false" customHeight="true" outlineLevel="0" collapsed="false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</row>
    <row r="300" customFormat="false" ht="15.75" hidden="false" customHeight="true" outlineLevel="0" collapsed="false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</row>
    <row r="301" customFormat="false" ht="15.75" hidden="false" customHeight="true" outlineLevel="0" collapsed="false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</row>
    <row r="302" customFormat="false" ht="15.75" hidden="false" customHeight="true" outlineLevel="0" collapsed="false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</row>
    <row r="303" customFormat="false" ht="15.75" hidden="false" customHeight="true" outlineLevel="0" collapsed="false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</row>
    <row r="304" customFormat="false" ht="15.75" hidden="false" customHeight="true" outlineLevel="0" collapsed="false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</row>
    <row r="305" customFormat="false" ht="15.75" hidden="false" customHeight="true" outlineLevel="0" collapsed="false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</row>
    <row r="306" customFormat="false" ht="15.75" hidden="false" customHeight="true" outlineLevel="0" collapsed="false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</row>
    <row r="307" customFormat="false" ht="15.75" hidden="false" customHeight="true" outlineLevel="0" collapsed="false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</row>
    <row r="308" customFormat="false" ht="15.75" hidden="false" customHeight="true" outlineLevel="0" collapsed="false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</row>
    <row r="309" customFormat="false" ht="15.75" hidden="false" customHeight="true" outlineLevel="0" collapsed="false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</row>
    <row r="310" customFormat="false" ht="15.75" hidden="false" customHeight="true" outlineLevel="0" collapsed="false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</row>
    <row r="311" customFormat="false" ht="15.75" hidden="false" customHeight="true" outlineLevel="0" collapsed="false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</row>
    <row r="312" customFormat="false" ht="15.75" hidden="false" customHeight="true" outlineLevel="0" collapsed="false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</row>
    <row r="313" customFormat="false" ht="15.75" hidden="false" customHeight="true" outlineLevel="0" collapsed="false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</row>
    <row r="314" customFormat="false" ht="15.75" hidden="false" customHeight="true" outlineLevel="0" collapsed="false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</row>
    <row r="315" customFormat="false" ht="15.75" hidden="false" customHeight="true" outlineLevel="0" collapsed="false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</row>
    <row r="316" customFormat="false" ht="15.75" hidden="false" customHeight="true" outlineLevel="0" collapsed="false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</row>
    <row r="317" customFormat="false" ht="15.75" hidden="false" customHeight="true" outlineLevel="0" collapsed="false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</row>
    <row r="318" customFormat="false" ht="15.75" hidden="false" customHeight="true" outlineLevel="0" collapsed="false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</row>
    <row r="319" customFormat="false" ht="15.75" hidden="false" customHeight="true" outlineLevel="0" collapsed="false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</row>
    <row r="320" customFormat="false" ht="15.75" hidden="false" customHeight="true" outlineLevel="0" collapsed="false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</row>
    <row r="321" customFormat="false" ht="15.75" hidden="false" customHeight="true" outlineLevel="0" collapsed="false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</row>
    <row r="322" customFormat="false" ht="15.75" hidden="false" customHeight="true" outlineLevel="0" collapsed="false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</row>
    <row r="323" customFormat="false" ht="15.75" hidden="false" customHeight="true" outlineLevel="0" collapsed="false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</row>
    <row r="324" customFormat="false" ht="15.75" hidden="false" customHeight="true" outlineLevel="0" collapsed="false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</row>
    <row r="325" customFormat="false" ht="15.75" hidden="false" customHeight="true" outlineLevel="0" collapsed="false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</row>
    <row r="326" customFormat="false" ht="15.75" hidden="false" customHeight="true" outlineLevel="0" collapsed="false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</row>
    <row r="327" customFormat="false" ht="15.75" hidden="false" customHeight="true" outlineLevel="0" collapsed="false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</row>
    <row r="328" customFormat="false" ht="15.75" hidden="false" customHeight="true" outlineLevel="0" collapsed="false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</row>
    <row r="329" customFormat="false" ht="15.75" hidden="false" customHeight="true" outlineLevel="0" collapsed="false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</row>
    <row r="330" customFormat="false" ht="15.75" hidden="false" customHeight="true" outlineLevel="0" collapsed="false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</row>
    <row r="331" customFormat="false" ht="15.75" hidden="false" customHeight="true" outlineLevel="0" collapsed="false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</row>
    <row r="332" customFormat="false" ht="15.75" hidden="false" customHeight="true" outlineLevel="0" collapsed="false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</row>
    <row r="333" customFormat="false" ht="15.75" hidden="false" customHeight="true" outlineLevel="0" collapsed="false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</row>
    <row r="334" customFormat="false" ht="15.75" hidden="false" customHeight="true" outlineLevel="0" collapsed="false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</row>
    <row r="335" customFormat="false" ht="15.75" hidden="false" customHeight="true" outlineLevel="0" collapsed="false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</row>
    <row r="336" customFormat="false" ht="15.75" hidden="false" customHeight="true" outlineLevel="0" collapsed="false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</row>
    <row r="337" customFormat="false" ht="15.75" hidden="false" customHeight="true" outlineLevel="0" collapsed="false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</row>
    <row r="338" customFormat="false" ht="15.75" hidden="false" customHeight="true" outlineLevel="0" collapsed="false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</row>
    <row r="339" customFormat="false" ht="15.75" hidden="false" customHeight="true" outlineLevel="0" collapsed="false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</row>
    <row r="340" customFormat="false" ht="15.75" hidden="false" customHeight="true" outlineLevel="0" collapsed="false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</row>
    <row r="341" customFormat="false" ht="15.75" hidden="false" customHeight="true" outlineLevel="0" collapsed="false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</row>
    <row r="342" customFormat="false" ht="15.75" hidden="false" customHeight="true" outlineLevel="0" collapsed="false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</row>
    <row r="343" customFormat="false" ht="15.75" hidden="false" customHeight="true" outlineLevel="0" collapsed="false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</row>
    <row r="344" customFormat="false" ht="15.75" hidden="false" customHeight="true" outlineLevel="0" collapsed="false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</row>
    <row r="345" customFormat="false" ht="15.75" hidden="false" customHeight="true" outlineLevel="0" collapsed="false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</row>
    <row r="346" customFormat="false" ht="15.75" hidden="false" customHeight="true" outlineLevel="0" collapsed="false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</row>
    <row r="347" customFormat="false" ht="15.75" hidden="false" customHeight="true" outlineLevel="0" collapsed="false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</row>
    <row r="348" customFormat="false" ht="15.75" hidden="false" customHeight="true" outlineLevel="0" collapsed="false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</row>
    <row r="349" customFormat="false" ht="15.75" hidden="false" customHeight="true" outlineLevel="0" collapsed="false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</row>
    <row r="350" customFormat="false" ht="15.75" hidden="false" customHeight="true" outlineLevel="0" collapsed="false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</row>
    <row r="351" customFormat="false" ht="15.75" hidden="false" customHeight="true" outlineLevel="0" collapsed="false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</row>
    <row r="352" customFormat="false" ht="15.75" hidden="false" customHeight="true" outlineLevel="0" collapsed="false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</row>
    <row r="353" customFormat="false" ht="15.75" hidden="false" customHeight="true" outlineLevel="0" collapsed="false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</row>
    <row r="354" customFormat="false" ht="15.75" hidden="false" customHeight="true" outlineLevel="0" collapsed="false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</row>
    <row r="355" customFormat="false" ht="15.75" hidden="false" customHeight="true" outlineLevel="0" collapsed="false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</row>
    <row r="356" customFormat="false" ht="15.75" hidden="false" customHeight="true" outlineLevel="0" collapsed="false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</row>
    <row r="357" customFormat="false" ht="15.75" hidden="false" customHeight="true" outlineLevel="0" collapsed="false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</row>
    <row r="358" customFormat="false" ht="15.75" hidden="false" customHeight="true" outlineLevel="0" collapsed="false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</row>
    <row r="359" customFormat="false" ht="15.75" hidden="false" customHeight="true" outlineLevel="0" collapsed="false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</row>
    <row r="360" customFormat="false" ht="15.75" hidden="false" customHeight="true" outlineLevel="0" collapsed="false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</row>
    <row r="361" customFormat="false" ht="15.75" hidden="false" customHeight="true" outlineLevel="0" collapsed="false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</row>
    <row r="362" customFormat="false" ht="15.75" hidden="false" customHeight="true" outlineLevel="0" collapsed="false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</row>
    <row r="363" customFormat="false" ht="15.75" hidden="false" customHeight="true" outlineLevel="0" collapsed="false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</row>
    <row r="364" customFormat="false" ht="15.75" hidden="false" customHeight="true" outlineLevel="0" collapsed="false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</row>
    <row r="365" customFormat="false" ht="15.75" hidden="false" customHeight="true" outlineLevel="0" collapsed="false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</row>
    <row r="366" customFormat="false" ht="15.75" hidden="false" customHeight="true" outlineLevel="0" collapsed="false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</row>
    <row r="367" customFormat="false" ht="15.75" hidden="false" customHeight="true" outlineLevel="0" collapsed="false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</row>
    <row r="368" customFormat="false" ht="15.75" hidden="false" customHeight="true" outlineLevel="0" collapsed="false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</row>
    <row r="369" customFormat="false" ht="15.75" hidden="false" customHeight="true" outlineLevel="0" collapsed="false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</row>
    <row r="370" customFormat="false" ht="15.75" hidden="false" customHeight="true" outlineLevel="0" collapsed="false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</row>
    <row r="371" customFormat="false" ht="15.75" hidden="false" customHeight="true" outlineLevel="0" collapsed="false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</row>
    <row r="372" customFormat="false" ht="15.75" hidden="false" customHeight="true" outlineLevel="0" collapsed="false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</row>
    <row r="373" customFormat="false" ht="15.75" hidden="false" customHeight="true" outlineLevel="0" collapsed="false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</row>
    <row r="374" customFormat="false" ht="15.75" hidden="false" customHeight="true" outlineLevel="0" collapsed="false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</row>
    <row r="375" customFormat="false" ht="15.75" hidden="false" customHeight="true" outlineLevel="0" collapsed="false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</row>
    <row r="376" customFormat="false" ht="15.75" hidden="false" customHeight="true" outlineLevel="0" collapsed="false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</row>
    <row r="377" customFormat="false" ht="15.75" hidden="false" customHeight="true" outlineLevel="0" collapsed="false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</row>
    <row r="378" customFormat="false" ht="15.75" hidden="false" customHeight="true" outlineLevel="0" collapsed="false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</row>
    <row r="379" customFormat="false" ht="15.75" hidden="false" customHeight="true" outlineLevel="0" collapsed="false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</row>
    <row r="380" customFormat="false" ht="15.75" hidden="false" customHeight="true" outlineLevel="0" collapsed="false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</row>
    <row r="381" customFormat="false" ht="15.75" hidden="false" customHeight="true" outlineLevel="0" collapsed="false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</row>
    <row r="382" customFormat="false" ht="15.75" hidden="false" customHeight="true" outlineLevel="0" collapsed="false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</row>
    <row r="383" customFormat="false" ht="15.75" hidden="false" customHeight="true" outlineLevel="0" collapsed="false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</row>
    <row r="384" customFormat="false" ht="15.75" hidden="false" customHeight="true" outlineLevel="0" collapsed="false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</row>
    <row r="385" customFormat="false" ht="15.75" hidden="false" customHeight="true" outlineLevel="0" collapsed="false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</row>
    <row r="386" customFormat="false" ht="15.75" hidden="false" customHeight="true" outlineLevel="0" collapsed="false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</row>
    <row r="387" customFormat="false" ht="15.75" hidden="false" customHeight="true" outlineLevel="0" collapsed="false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</row>
    <row r="388" customFormat="false" ht="15.75" hidden="false" customHeight="true" outlineLevel="0" collapsed="false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</row>
    <row r="389" customFormat="false" ht="15.75" hidden="false" customHeight="true" outlineLevel="0" collapsed="false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</row>
    <row r="390" customFormat="false" ht="15.75" hidden="false" customHeight="true" outlineLevel="0" collapsed="false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</row>
    <row r="391" customFormat="false" ht="15.75" hidden="false" customHeight="true" outlineLevel="0" collapsed="false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</row>
    <row r="392" customFormat="false" ht="15.75" hidden="false" customHeight="true" outlineLevel="0" collapsed="false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</row>
    <row r="393" customFormat="false" ht="15.75" hidden="false" customHeight="true" outlineLevel="0" collapsed="false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</row>
    <row r="394" customFormat="false" ht="15.75" hidden="false" customHeight="true" outlineLevel="0" collapsed="false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</row>
    <row r="395" customFormat="false" ht="15.75" hidden="false" customHeight="true" outlineLevel="0" collapsed="false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</row>
    <row r="396" customFormat="false" ht="15.75" hidden="false" customHeight="true" outlineLevel="0" collapsed="false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</row>
    <row r="397" customFormat="false" ht="15.75" hidden="false" customHeight="true" outlineLevel="0" collapsed="false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</row>
    <row r="398" customFormat="false" ht="15.75" hidden="false" customHeight="true" outlineLevel="0" collapsed="false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</row>
    <row r="399" customFormat="false" ht="15.75" hidden="false" customHeight="true" outlineLevel="0" collapsed="false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</row>
    <row r="400" customFormat="false" ht="15.75" hidden="false" customHeight="true" outlineLevel="0" collapsed="false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</row>
    <row r="401" customFormat="false" ht="15.75" hidden="false" customHeight="true" outlineLevel="0" collapsed="false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</row>
    <row r="402" customFormat="false" ht="15.75" hidden="false" customHeight="true" outlineLevel="0" collapsed="false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</row>
    <row r="403" customFormat="false" ht="15.75" hidden="false" customHeight="true" outlineLevel="0" collapsed="false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</row>
    <row r="404" customFormat="false" ht="15.75" hidden="false" customHeight="true" outlineLevel="0" collapsed="false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</row>
    <row r="405" customFormat="false" ht="15.75" hidden="false" customHeight="true" outlineLevel="0" collapsed="false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</row>
    <row r="406" customFormat="false" ht="15.75" hidden="false" customHeight="true" outlineLevel="0" collapsed="false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</row>
    <row r="407" customFormat="false" ht="15.75" hidden="false" customHeight="true" outlineLevel="0" collapsed="false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</row>
    <row r="408" customFormat="false" ht="15.75" hidden="false" customHeight="true" outlineLevel="0" collapsed="false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</row>
    <row r="409" customFormat="false" ht="15.75" hidden="false" customHeight="true" outlineLevel="0" collapsed="false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</row>
    <row r="410" customFormat="false" ht="15.75" hidden="false" customHeight="true" outlineLevel="0" collapsed="false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</row>
    <row r="411" customFormat="false" ht="15.75" hidden="false" customHeight="true" outlineLevel="0" collapsed="false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</row>
    <row r="412" customFormat="false" ht="15.75" hidden="false" customHeight="true" outlineLevel="0" collapsed="false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</row>
    <row r="413" customFormat="false" ht="15.75" hidden="false" customHeight="true" outlineLevel="0" collapsed="false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</row>
    <row r="414" customFormat="false" ht="15.75" hidden="false" customHeight="true" outlineLevel="0" collapsed="false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</row>
    <row r="415" customFormat="false" ht="15.75" hidden="false" customHeight="true" outlineLevel="0" collapsed="false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</row>
    <row r="416" customFormat="false" ht="15.75" hidden="false" customHeight="true" outlineLevel="0" collapsed="false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</row>
    <row r="417" customFormat="false" ht="15.75" hidden="false" customHeight="true" outlineLevel="0" collapsed="false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</row>
    <row r="418" customFormat="false" ht="15.75" hidden="false" customHeight="true" outlineLevel="0" collapsed="false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</row>
    <row r="419" customFormat="false" ht="15.75" hidden="false" customHeight="true" outlineLevel="0" collapsed="false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</row>
    <row r="420" customFormat="false" ht="15.75" hidden="false" customHeight="true" outlineLevel="0" collapsed="false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</row>
    <row r="421" customFormat="false" ht="15.75" hidden="false" customHeight="true" outlineLevel="0" collapsed="false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</row>
    <row r="422" customFormat="false" ht="15.75" hidden="false" customHeight="true" outlineLevel="0" collapsed="false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</row>
    <row r="423" customFormat="false" ht="15.75" hidden="false" customHeight="true" outlineLevel="0" collapsed="false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</row>
    <row r="424" customFormat="false" ht="15.75" hidden="false" customHeight="true" outlineLevel="0" collapsed="false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</row>
    <row r="425" customFormat="false" ht="15.75" hidden="false" customHeight="true" outlineLevel="0" collapsed="false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</row>
    <row r="426" customFormat="false" ht="15.75" hidden="false" customHeight="true" outlineLevel="0" collapsed="false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</row>
    <row r="427" customFormat="false" ht="15.75" hidden="false" customHeight="true" outlineLevel="0" collapsed="false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</row>
    <row r="428" customFormat="false" ht="15.75" hidden="false" customHeight="true" outlineLevel="0" collapsed="false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</row>
    <row r="429" customFormat="false" ht="15.75" hidden="false" customHeight="true" outlineLevel="0" collapsed="false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</row>
    <row r="430" customFormat="false" ht="15.75" hidden="false" customHeight="true" outlineLevel="0" collapsed="false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</row>
    <row r="431" customFormat="false" ht="15.75" hidden="false" customHeight="true" outlineLevel="0" collapsed="false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</row>
    <row r="432" customFormat="false" ht="15.75" hidden="false" customHeight="true" outlineLevel="0" collapsed="false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</row>
    <row r="433" customFormat="false" ht="15.75" hidden="false" customHeight="true" outlineLevel="0" collapsed="false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</row>
    <row r="434" customFormat="false" ht="15.75" hidden="false" customHeight="true" outlineLevel="0" collapsed="false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</row>
    <row r="435" customFormat="false" ht="15.75" hidden="false" customHeight="true" outlineLevel="0" collapsed="false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</row>
    <row r="436" customFormat="false" ht="15.75" hidden="false" customHeight="true" outlineLevel="0" collapsed="false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</row>
    <row r="437" customFormat="false" ht="15.75" hidden="false" customHeight="true" outlineLevel="0" collapsed="false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</row>
    <row r="438" customFormat="false" ht="15.75" hidden="false" customHeight="true" outlineLevel="0" collapsed="false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</row>
    <row r="439" customFormat="false" ht="15.75" hidden="false" customHeight="true" outlineLevel="0" collapsed="false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</row>
    <row r="440" customFormat="false" ht="15.75" hidden="false" customHeight="true" outlineLevel="0" collapsed="false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</row>
    <row r="441" customFormat="false" ht="15.75" hidden="false" customHeight="true" outlineLevel="0" collapsed="false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</row>
    <row r="442" customFormat="false" ht="15.75" hidden="false" customHeight="true" outlineLevel="0" collapsed="false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</row>
    <row r="443" customFormat="false" ht="15.75" hidden="false" customHeight="true" outlineLevel="0" collapsed="false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</row>
    <row r="444" customFormat="false" ht="15.75" hidden="false" customHeight="true" outlineLevel="0" collapsed="false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</row>
    <row r="445" customFormat="false" ht="15.75" hidden="false" customHeight="true" outlineLevel="0" collapsed="false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</row>
    <row r="446" customFormat="false" ht="15.75" hidden="false" customHeight="true" outlineLevel="0" collapsed="false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</row>
    <row r="447" customFormat="false" ht="15.75" hidden="false" customHeight="true" outlineLevel="0" collapsed="false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</row>
    <row r="448" customFormat="false" ht="15.75" hidden="false" customHeight="true" outlineLevel="0" collapsed="false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</row>
    <row r="449" customFormat="false" ht="15.75" hidden="false" customHeight="true" outlineLevel="0" collapsed="false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</row>
    <row r="450" customFormat="false" ht="15.75" hidden="false" customHeight="true" outlineLevel="0" collapsed="false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</row>
    <row r="451" customFormat="false" ht="15.75" hidden="false" customHeight="true" outlineLevel="0" collapsed="false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</row>
    <row r="452" customFormat="false" ht="15.75" hidden="false" customHeight="true" outlineLevel="0" collapsed="false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</row>
    <row r="453" customFormat="false" ht="15.75" hidden="false" customHeight="true" outlineLevel="0" collapsed="false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</row>
    <row r="454" customFormat="false" ht="15.75" hidden="false" customHeight="true" outlineLevel="0" collapsed="false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</row>
    <row r="455" customFormat="false" ht="15.75" hidden="false" customHeight="true" outlineLevel="0" collapsed="false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</row>
    <row r="456" customFormat="false" ht="15.75" hidden="false" customHeight="true" outlineLevel="0" collapsed="false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</row>
    <row r="457" customFormat="false" ht="15.75" hidden="false" customHeight="true" outlineLevel="0" collapsed="false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</row>
    <row r="458" customFormat="false" ht="15.75" hidden="false" customHeight="true" outlineLevel="0" collapsed="false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</row>
    <row r="459" customFormat="false" ht="15.75" hidden="false" customHeight="true" outlineLevel="0" collapsed="false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</row>
    <row r="460" customFormat="false" ht="15.75" hidden="false" customHeight="true" outlineLevel="0" collapsed="false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</row>
    <row r="461" customFormat="false" ht="15.75" hidden="false" customHeight="true" outlineLevel="0" collapsed="false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</row>
    <row r="462" customFormat="false" ht="15.75" hidden="false" customHeight="true" outlineLevel="0" collapsed="false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</row>
    <row r="463" customFormat="false" ht="15.75" hidden="false" customHeight="true" outlineLevel="0" collapsed="false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</row>
    <row r="464" customFormat="false" ht="15.75" hidden="false" customHeight="true" outlineLevel="0" collapsed="false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</row>
    <row r="465" customFormat="false" ht="15.75" hidden="false" customHeight="true" outlineLevel="0" collapsed="false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</row>
    <row r="466" customFormat="false" ht="15.75" hidden="false" customHeight="true" outlineLevel="0" collapsed="false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</row>
    <row r="467" customFormat="false" ht="15.75" hidden="false" customHeight="true" outlineLevel="0" collapsed="false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</row>
    <row r="468" customFormat="false" ht="15.75" hidden="false" customHeight="true" outlineLevel="0" collapsed="false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</row>
    <row r="469" customFormat="false" ht="15.75" hidden="false" customHeight="true" outlineLevel="0" collapsed="false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</row>
    <row r="470" customFormat="false" ht="15.75" hidden="false" customHeight="true" outlineLevel="0" collapsed="false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</row>
    <row r="471" customFormat="false" ht="15.75" hidden="false" customHeight="true" outlineLevel="0" collapsed="false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</row>
    <row r="472" customFormat="false" ht="15.75" hidden="false" customHeight="true" outlineLevel="0" collapsed="false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</row>
    <row r="473" customFormat="false" ht="15.75" hidden="false" customHeight="true" outlineLevel="0" collapsed="false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</row>
    <row r="474" customFormat="false" ht="15.75" hidden="false" customHeight="true" outlineLevel="0" collapsed="false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</row>
    <row r="475" customFormat="false" ht="15.75" hidden="false" customHeight="true" outlineLevel="0" collapsed="false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</row>
    <row r="476" customFormat="false" ht="15.75" hidden="false" customHeight="true" outlineLevel="0" collapsed="false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</row>
    <row r="477" customFormat="false" ht="15.75" hidden="false" customHeight="true" outlineLevel="0" collapsed="false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</row>
    <row r="478" customFormat="false" ht="15.75" hidden="false" customHeight="true" outlineLevel="0" collapsed="false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</row>
    <row r="479" customFormat="false" ht="15.75" hidden="false" customHeight="true" outlineLevel="0" collapsed="false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</row>
    <row r="480" customFormat="false" ht="15.75" hidden="false" customHeight="true" outlineLevel="0" collapsed="false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</row>
    <row r="481" customFormat="false" ht="15.75" hidden="false" customHeight="true" outlineLevel="0" collapsed="false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</row>
    <row r="482" customFormat="false" ht="15.75" hidden="false" customHeight="true" outlineLevel="0" collapsed="false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</row>
    <row r="483" customFormat="false" ht="15.75" hidden="false" customHeight="true" outlineLevel="0" collapsed="false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</row>
    <row r="484" customFormat="false" ht="15.75" hidden="false" customHeight="true" outlineLevel="0" collapsed="false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</row>
    <row r="485" customFormat="false" ht="15.75" hidden="false" customHeight="true" outlineLevel="0" collapsed="false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</row>
    <row r="486" customFormat="false" ht="15.75" hidden="false" customHeight="true" outlineLevel="0" collapsed="false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</row>
    <row r="487" customFormat="false" ht="15.75" hidden="false" customHeight="true" outlineLevel="0" collapsed="false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</row>
    <row r="488" customFormat="false" ht="15.75" hidden="false" customHeight="true" outlineLevel="0" collapsed="false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</row>
    <row r="489" customFormat="false" ht="15.75" hidden="false" customHeight="true" outlineLevel="0" collapsed="false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</row>
    <row r="490" customFormat="false" ht="15.75" hidden="false" customHeight="true" outlineLevel="0" collapsed="false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</row>
    <row r="491" customFormat="false" ht="15.75" hidden="false" customHeight="true" outlineLevel="0" collapsed="false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</row>
    <row r="492" customFormat="false" ht="15.75" hidden="false" customHeight="true" outlineLevel="0" collapsed="false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</row>
    <row r="493" customFormat="false" ht="15.75" hidden="false" customHeight="true" outlineLevel="0" collapsed="false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</row>
    <row r="494" customFormat="false" ht="15.75" hidden="false" customHeight="true" outlineLevel="0" collapsed="false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</row>
    <row r="495" customFormat="false" ht="15.75" hidden="false" customHeight="true" outlineLevel="0" collapsed="false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</row>
    <row r="496" customFormat="false" ht="15.75" hidden="false" customHeight="true" outlineLevel="0" collapsed="false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</row>
    <row r="497" customFormat="false" ht="15.75" hidden="false" customHeight="true" outlineLevel="0" collapsed="false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</row>
    <row r="498" customFormat="false" ht="15.75" hidden="false" customHeight="true" outlineLevel="0" collapsed="false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</row>
    <row r="499" customFormat="false" ht="15.75" hidden="false" customHeight="true" outlineLevel="0" collapsed="false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</row>
    <row r="500" customFormat="false" ht="15.75" hidden="false" customHeight="true" outlineLevel="0" collapsed="false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</row>
    <row r="501" customFormat="false" ht="15.75" hidden="false" customHeight="true" outlineLevel="0" collapsed="false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</row>
    <row r="502" customFormat="false" ht="15.75" hidden="false" customHeight="true" outlineLevel="0" collapsed="false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</row>
    <row r="503" customFormat="false" ht="15.75" hidden="false" customHeight="true" outlineLevel="0" collapsed="false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</row>
    <row r="504" customFormat="false" ht="15.75" hidden="false" customHeight="true" outlineLevel="0" collapsed="false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</row>
    <row r="505" customFormat="false" ht="15.75" hidden="false" customHeight="true" outlineLevel="0" collapsed="false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</row>
    <row r="506" customFormat="false" ht="15.75" hidden="false" customHeight="true" outlineLevel="0" collapsed="false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</row>
    <row r="507" customFormat="false" ht="15.75" hidden="false" customHeight="true" outlineLevel="0" collapsed="false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</row>
    <row r="508" customFormat="false" ht="15.75" hidden="false" customHeight="true" outlineLevel="0" collapsed="false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</row>
    <row r="509" customFormat="false" ht="15.75" hidden="false" customHeight="true" outlineLevel="0" collapsed="false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</row>
    <row r="510" customFormat="false" ht="15.75" hidden="false" customHeight="true" outlineLevel="0" collapsed="false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</row>
    <row r="511" customFormat="false" ht="15.75" hidden="false" customHeight="true" outlineLevel="0" collapsed="false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</row>
    <row r="512" customFormat="false" ht="15.75" hidden="false" customHeight="true" outlineLevel="0" collapsed="false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</row>
    <row r="513" customFormat="false" ht="15.75" hidden="false" customHeight="true" outlineLevel="0" collapsed="false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</row>
    <row r="514" customFormat="false" ht="15.75" hidden="false" customHeight="true" outlineLevel="0" collapsed="false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</row>
    <row r="515" customFormat="false" ht="15.75" hidden="false" customHeight="true" outlineLevel="0" collapsed="false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</row>
    <row r="516" customFormat="false" ht="15.75" hidden="false" customHeight="true" outlineLevel="0" collapsed="false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</row>
    <row r="517" customFormat="false" ht="15.75" hidden="false" customHeight="true" outlineLevel="0" collapsed="false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</row>
    <row r="518" customFormat="false" ht="15.75" hidden="false" customHeight="true" outlineLevel="0" collapsed="false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</row>
    <row r="519" customFormat="false" ht="15.75" hidden="false" customHeight="true" outlineLevel="0" collapsed="false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</row>
    <row r="520" customFormat="false" ht="15.75" hidden="false" customHeight="true" outlineLevel="0" collapsed="false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</row>
    <row r="521" customFormat="false" ht="15.75" hidden="false" customHeight="true" outlineLevel="0" collapsed="false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</row>
    <row r="522" customFormat="false" ht="15.75" hidden="false" customHeight="true" outlineLevel="0" collapsed="false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</row>
    <row r="523" customFormat="false" ht="15.75" hidden="false" customHeight="true" outlineLevel="0" collapsed="false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</row>
    <row r="524" customFormat="false" ht="15.75" hidden="false" customHeight="true" outlineLevel="0" collapsed="false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</row>
    <row r="525" customFormat="false" ht="15.75" hidden="false" customHeight="true" outlineLevel="0" collapsed="false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</row>
    <row r="526" customFormat="false" ht="15.75" hidden="false" customHeight="true" outlineLevel="0" collapsed="false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</row>
    <row r="527" customFormat="false" ht="15.75" hidden="false" customHeight="true" outlineLevel="0" collapsed="false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</row>
    <row r="528" customFormat="false" ht="15.75" hidden="false" customHeight="true" outlineLevel="0" collapsed="false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</row>
    <row r="529" customFormat="false" ht="15.75" hidden="false" customHeight="true" outlineLevel="0" collapsed="false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</row>
    <row r="530" customFormat="false" ht="15.75" hidden="false" customHeight="true" outlineLevel="0" collapsed="false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</row>
    <row r="531" customFormat="false" ht="15.75" hidden="false" customHeight="true" outlineLevel="0" collapsed="false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</row>
    <row r="532" customFormat="false" ht="15.75" hidden="false" customHeight="true" outlineLevel="0" collapsed="false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</row>
    <row r="533" customFormat="false" ht="15.75" hidden="false" customHeight="true" outlineLevel="0" collapsed="false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</row>
    <row r="534" customFormat="false" ht="15.75" hidden="false" customHeight="true" outlineLevel="0" collapsed="false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</row>
    <row r="535" customFormat="false" ht="15.75" hidden="false" customHeight="true" outlineLevel="0" collapsed="false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</row>
    <row r="536" customFormat="false" ht="15.75" hidden="false" customHeight="true" outlineLevel="0" collapsed="false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</row>
    <row r="537" customFormat="false" ht="15.75" hidden="false" customHeight="true" outlineLevel="0" collapsed="false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</row>
    <row r="538" customFormat="false" ht="15.75" hidden="false" customHeight="true" outlineLevel="0" collapsed="false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</row>
    <row r="539" customFormat="false" ht="15.75" hidden="false" customHeight="true" outlineLevel="0" collapsed="false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</row>
    <row r="540" customFormat="false" ht="15.75" hidden="false" customHeight="true" outlineLevel="0" collapsed="false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</row>
    <row r="541" customFormat="false" ht="15.75" hidden="false" customHeight="true" outlineLevel="0" collapsed="false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</row>
    <row r="542" customFormat="false" ht="15.75" hidden="false" customHeight="true" outlineLevel="0" collapsed="false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</row>
    <row r="543" customFormat="false" ht="15.75" hidden="false" customHeight="true" outlineLevel="0" collapsed="false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</row>
    <row r="544" customFormat="false" ht="15.75" hidden="false" customHeight="true" outlineLevel="0" collapsed="false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</row>
    <row r="545" customFormat="false" ht="15.75" hidden="false" customHeight="true" outlineLevel="0" collapsed="false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</row>
    <row r="546" customFormat="false" ht="15.75" hidden="false" customHeight="true" outlineLevel="0" collapsed="false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</row>
    <row r="547" customFormat="false" ht="15.75" hidden="false" customHeight="true" outlineLevel="0" collapsed="false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</row>
    <row r="548" customFormat="false" ht="15.75" hidden="false" customHeight="true" outlineLevel="0" collapsed="false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</row>
    <row r="549" customFormat="false" ht="15.75" hidden="false" customHeight="true" outlineLevel="0" collapsed="false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</row>
    <row r="550" customFormat="false" ht="15.75" hidden="false" customHeight="true" outlineLevel="0" collapsed="false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</row>
    <row r="551" customFormat="false" ht="15.75" hidden="false" customHeight="true" outlineLevel="0" collapsed="false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</row>
    <row r="552" customFormat="false" ht="15.75" hidden="false" customHeight="true" outlineLevel="0" collapsed="false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</row>
    <row r="553" customFormat="false" ht="15.75" hidden="false" customHeight="true" outlineLevel="0" collapsed="false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</row>
    <row r="554" customFormat="false" ht="15.75" hidden="false" customHeight="true" outlineLevel="0" collapsed="false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</row>
    <row r="555" customFormat="false" ht="15.75" hidden="false" customHeight="true" outlineLevel="0" collapsed="false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</row>
    <row r="556" customFormat="false" ht="15.75" hidden="false" customHeight="true" outlineLevel="0" collapsed="false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</row>
    <row r="557" customFormat="false" ht="15.75" hidden="false" customHeight="true" outlineLevel="0" collapsed="false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</row>
    <row r="558" customFormat="false" ht="15.75" hidden="false" customHeight="true" outlineLevel="0" collapsed="false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</row>
    <row r="559" customFormat="false" ht="15.75" hidden="false" customHeight="true" outlineLevel="0" collapsed="false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</row>
    <row r="560" customFormat="false" ht="15.75" hidden="false" customHeight="true" outlineLevel="0" collapsed="false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</row>
    <row r="561" customFormat="false" ht="15.75" hidden="false" customHeight="true" outlineLevel="0" collapsed="false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</row>
    <row r="562" customFormat="false" ht="15.75" hidden="false" customHeight="true" outlineLevel="0" collapsed="false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</row>
    <row r="563" customFormat="false" ht="15.75" hidden="false" customHeight="true" outlineLevel="0" collapsed="false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</row>
    <row r="564" customFormat="false" ht="15.75" hidden="false" customHeight="true" outlineLevel="0" collapsed="false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</row>
    <row r="565" customFormat="false" ht="15.75" hidden="false" customHeight="true" outlineLevel="0" collapsed="false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</row>
    <row r="566" customFormat="false" ht="15.75" hidden="false" customHeight="true" outlineLevel="0" collapsed="false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</row>
    <row r="567" customFormat="false" ht="15.75" hidden="false" customHeight="true" outlineLevel="0" collapsed="false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</row>
    <row r="568" customFormat="false" ht="15.75" hidden="false" customHeight="true" outlineLevel="0" collapsed="false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</row>
    <row r="569" customFormat="false" ht="15.75" hidden="false" customHeight="true" outlineLevel="0" collapsed="false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</row>
    <row r="570" customFormat="false" ht="15.75" hidden="false" customHeight="true" outlineLevel="0" collapsed="false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</row>
    <row r="571" customFormat="false" ht="15.75" hidden="false" customHeight="true" outlineLevel="0" collapsed="false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</row>
    <row r="572" customFormat="false" ht="15.75" hidden="false" customHeight="true" outlineLevel="0" collapsed="false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</row>
    <row r="573" customFormat="false" ht="15.75" hidden="false" customHeight="true" outlineLevel="0" collapsed="false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</row>
    <row r="574" customFormat="false" ht="15.75" hidden="false" customHeight="true" outlineLevel="0" collapsed="false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</row>
    <row r="575" customFormat="false" ht="15.75" hidden="false" customHeight="true" outlineLevel="0" collapsed="false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</row>
    <row r="576" customFormat="false" ht="15.75" hidden="false" customHeight="true" outlineLevel="0" collapsed="false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</row>
    <row r="577" customFormat="false" ht="15.75" hidden="false" customHeight="true" outlineLevel="0" collapsed="false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</row>
    <row r="578" customFormat="false" ht="15.75" hidden="false" customHeight="true" outlineLevel="0" collapsed="false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</row>
    <row r="579" customFormat="false" ht="15.75" hidden="false" customHeight="true" outlineLevel="0" collapsed="false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</row>
    <row r="580" customFormat="false" ht="15.75" hidden="false" customHeight="true" outlineLevel="0" collapsed="false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</row>
    <row r="581" customFormat="false" ht="15.75" hidden="false" customHeight="true" outlineLevel="0" collapsed="false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</row>
    <row r="582" customFormat="false" ht="15.75" hidden="false" customHeight="true" outlineLevel="0" collapsed="false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</row>
    <row r="583" customFormat="false" ht="15.75" hidden="false" customHeight="true" outlineLevel="0" collapsed="false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</row>
    <row r="584" customFormat="false" ht="15.75" hidden="false" customHeight="true" outlineLevel="0" collapsed="false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</row>
    <row r="585" customFormat="false" ht="15.75" hidden="false" customHeight="true" outlineLevel="0" collapsed="false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</row>
    <row r="586" customFormat="false" ht="15.75" hidden="false" customHeight="true" outlineLevel="0" collapsed="false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</row>
    <row r="587" customFormat="false" ht="15.75" hidden="false" customHeight="true" outlineLevel="0" collapsed="false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</row>
    <row r="588" customFormat="false" ht="15.75" hidden="false" customHeight="true" outlineLevel="0" collapsed="false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</row>
    <row r="589" customFormat="false" ht="15.75" hidden="false" customHeight="true" outlineLevel="0" collapsed="false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</row>
    <row r="590" customFormat="false" ht="15.75" hidden="false" customHeight="true" outlineLevel="0" collapsed="false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</row>
    <row r="591" customFormat="false" ht="15.75" hidden="false" customHeight="true" outlineLevel="0" collapsed="false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</row>
    <row r="592" customFormat="false" ht="15.75" hidden="false" customHeight="true" outlineLevel="0" collapsed="false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</row>
    <row r="593" customFormat="false" ht="15.75" hidden="false" customHeight="true" outlineLevel="0" collapsed="false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</row>
    <row r="594" customFormat="false" ht="15.75" hidden="false" customHeight="true" outlineLevel="0" collapsed="false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</row>
    <row r="595" customFormat="false" ht="15.75" hidden="false" customHeight="true" outlineLevel="0" collapsed="false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</row>
    <row r="596" customFormat="false" ht="15.75" hidden="false" customHeight="true" outlineLevel="0" collapsed="false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</row>
    <row r="597" customFormat="false" ht="15.75" hidden="false" customHeight="true" outlineLevel="0" collapsed="false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</row>
    <row r="598" customFormat="false" ht="15.75" hidden="false" customHeight="true" outlineLevel="0" collapsed="false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</row>
    <row r="599" customFormat="false" ht="15.75" hidden="false" customHeight="true" outlineLevel="0" collapsed="false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</row>
    <row r="600" customFormat="false" ht="15.75" hidden="false" customHeight="true" outlineLevel="0" collapsed="false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</row>
    <row r="601" customFormat="false" ht="15.75" hidden="false" customHeight="true" outlineLevel="0" collapsed="false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</row>
    <row r="602" customFormat="false" ht="15.75" hidden="false" customHeight="true" outlineLevel="0" collapsed="false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</row>
    <row r="603" customFormat="false" ht="15.75" hidden="false" customHeight="true" outlineLevel="0" collapsed="false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</row>
    <row r="604" customFormat="false" ht="15.75" hidden="false" customHeight="true" outlineLevel="0" collapsed="false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</row>
    <row r="605" customFormat="false" ht="15.75" hidden="false" customHeight="true" outlineLevel="0" collapsed="false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</row>
    <row r="606" customFormat="false" ht="15.75" hidden="false" customHeight="true" outlineLevel="0" collapsed="false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</row>
    <row r="607" customFormat="false" ht="15.75" hidden="false" customHeight="true" outlineLevel="0" collapsed="false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</row>
    <row r="608" customFormat="false" ht="15.75" hidden="false" customHeight="true" outlineLevel="0" collapsed="false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</row>
    <row r="609" customFormat="false" ht="15.75" hidden="false" customHeight="true" outlineLevel="0" collapsed="false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</row>
    <row r="610" customFormat="false" ht="15.75" hidden="false" customHeight="true" outlineLevel="0" collapsed="false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</row>
    <row r="611" customFormat="false" ht="15.75" hidden="false" customHeight="true" outlineLevel="0" collapsed="false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</row>
    <row r="612" customFormat="false" ht="15.75" hidden="false" customHeight="true" outlineLevel="0" collapsed="false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</row>
    <row r="613" customFormat="false" ht="15.75" hidden="false" customHeight="true" outlineLevel="0" collapsed="false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</row>
    <row r="614" customFormat="false" ht="15.75" hidden="false" customHeight="true" outlineLevel="0" collapsed="false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</row>
    <row r="615" customFormat="false" ht="15.75" hidden="false" customHeight="true" outlineLevel="0" collapsed="false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</row>
    <row r="616" customFormat="false" ht="15.75" hidden="false" customHeight="true" outlineLevel="0" collapsed="false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</row>
    <row r="617" customFormat="false" ht="15.75" hidden="false" customHeight="true" outlineLevel="0" collapsed="false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</row>
    <row r="618" customFormat="false" ht="15.75" hidden="false" customHeight="true" outlineLevel="0" collapsed="false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</row>
    <row r="619" customFormat="false" ht="15.75" hidden="false" customHeight="true" outlineLevel="0" collapsed="false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</row>
    <row r="620" customFormat="false" ht="15.75" hidden="false" customHeight="true" outlineLevel="0" collapsed="false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</row>
    <row r="621" customFormat="false" ht="15.75" hidden="false" customHeight="true" outlineLevel="0" collapsed="false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</row>
    <row r="622" customFormat="false" ht="15.75" hidden="false" customHeight="true" outlineLevel="0" collapsed="false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</row>
    <row r="623" customFormat="false" ht="15.75" hidden="false" customHeight="true" outlineLevel="0" collapsed="false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</row>
    <row r="624" customFormat="false" ht="15.75" hidden="false" customHeight="true" outlineLevel="0" collapsed="false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</row>
    <row r="625" customFormat="false" ht="15.75" hidden="false" customHeight="true" outlineLevel="0" collapsed="false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</row>
    <row r="626" customFormat="false" ht="15.75" hidden="false" customHeight="true" outlineLevel="0" collapsed="false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</row>
    <row r="627" customFormat="false" ht="15.75" hidden="false" customHeight="true" outlineLevel="0" collapsed="false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</row>
    <row r="628" customFormat="false" ht="15.75" hidden="false" customHeight="true" outlineLevel="0" collapsed="false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</row>
    <row r="629" customFormat="false" ht="15.75" hidden="false" customHeight="true" outlineLevel="0" collapsed="false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</row>
    <row r="630" customFormat="false" ht="15.75" hidden="false" customHeight="true" outlineLevel="0" collapsed="false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</row>
    <row r="631" customFormat="false" ht="15.75" hidden="false" customHeight="true" outlineLevel="0" collapsed="false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</row>
    <row r="632" customFormat="false" ht="15.75" hidden="false" customHeight="true" outlineLevel="0" collapsed="false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</row>
    <row r="633" customFormat="false" ht="15.75" hidden="false" customHeight="true" outlineLevel="0" collapsed="false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</row>
    <row r="634" customFormat="false" ht="15.75" hidden="false" customHeight="true" outlineLevel="0" collapsed="false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</row>
    <row r="635" customFormat="false" ht="15.75" hidden="false" customHeight="true" outlineLevel="0" collapsed="false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</row>
    <row r="636" customFormat="false" ht="15.75" hidden="false" customHeight="true" outlineLevel="0" collapsed="false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</row>
    <row r="637" customFormat="false" ht="15.75" hidden="false" customHeight="true" outlineLevel="0" collapsed="false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</row>
    <row r="638" customFormat="false" ht="15.75" hidden="false" customHeight="true" outlineLevel="0" collapsed="false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</row>
    <row r="639" customFormat="false" ht="15.75" hidden="false" customHeight="true" outlineLevel="0" collapsed="false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</row>
    <row r="640" customFormat="false" ht="15.75" hidden="false" customHeight="true" outlineLevel="0" collapsed="false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</row>
    <row r="641" customFormat="false" ht="15.75" hidden="false" customHeight="true" outlineLevel="0" collapsed="false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</row>
    <row r="642" customFormat="false" ht="15.75" hidden="false" customHeight="true" outlineLevel="0" collapsed="false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</row>
    <row r="643" customFormat="false" ht="15.75" hidden="false" customHeight="true" outlineLevel="0" collapsed="false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</row>
    <row r="644" customFormat="false" ht="15.75" hidden="false" customHeight="true" outlineLevel="0" collapsed="false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</row>
    <row r="645" customFormat="false" ht="15.75" hidden="false" customHeight="true" outlineLevel="0" collapsed="false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</row>
    <row r="646" customFormat="false" ht="15.75" hidden="false" customHeight="true" outlineLevel="0" collapsed="false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</row>
    <row r="647" customFormat="false" ht="15.75" hidden="false" customHeight="true" outlineLevel="0" collapsed="false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</row>
    <row r="648" customFormat="false" ht="15.75" hidden="false" customHeight="true" outlineLevel="0" collapsed="false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</row>
    <row r="649" customFormat="false" ht="15.75" hidden="false" customHeight="true" outlineLevel="0" collapsed="false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</row>
    <row r="650" customFormat="false" ht="15.75" hidden="false" customHeight="true" outlineLevel="0" collapsed="false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</row>
    <row r="651" customFormat="false" ht="15.75" hidden="false" customHeight="true" outlineLevel="0" collapsed="false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</row>
    <row r="652" customFormat="false" ht="15.75" hidden="false" customHeight="true" outlineLevel="0" collapsed="false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</row>
    <row r="653" customFormat="false" ht="15.75" hidden="false" customHeight="true" outlineLevel="0" collapsed="false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</row>
    <row r="654" customFormat="false" ht="15.75" hidden="false" customHeight="true" outlineLevel="0" collapsed="false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</row>
    <row r="655" customFormat="false" ht="15.75" hidden="false" customHeight="true" outlineLevel="0" collapsed="false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</row>
    <row r="656" customFormat="false" ht="15.75" hidden="false" customHeight="true" outlineLevel="0" collapsed="false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</row>
    <row r="657" customFormat="false" ht="15.75" hidden="false" customHeight="true" outlineLevel="0" collapsed="false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</row>
    <row r="658" customFormat="false" ht="15.75" hidden="false" customHeight="true" outlineLevel="0" collapsed="false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</row>
    <row r="659" customFormat="false" ht="15.75" hidden="false" customHeight="true" outlineLevel="0" collapsed="false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</row>
    <row r="660" customFormat="false" ht="15.75" hidden="false" customHeight="true" outlineLevel="0" collapsed="false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</row>
    <row r="661" customFormat="false" ht="15.75" hidden="false" customHeight="true" outlineLevel="0" collapsed="false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</row>
    <row r="662" customFormat="false" ht="15.75" hidden="false" customHeight="true" outlineLevel="0" collapsed="false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</row>
    <row r="663" customFormat="false" ht="15.75" hidden="false" customHeight="true" outlineLevel="0" collapsed="false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</row>
    <row r="664" customFormat="false" ht="15.75" hidden="false" customHeight="true" outlineLevel="0" collapsed="false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</row>
    <row r="665" customFormat="false" ht="15.75" hidden="false" customHeight="true" outlineLevel="0" collapsed="false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</row>
    <row r="666" customFormat="false" ht="15.75" hidden="false" customHeight="true" outlineLevel="0" collapsed="false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</row>
    <row r="667" customFormat="false" ht="15.75" hidden="false" customHeight="true" outlineLevel="0" collapsed="false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</row>
    <row r="668" customFormat="false" ht="15.75" hidden="false" customHeight="true" outlineLevel="0" collapsed="false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</row>
    <row r="669" customFormat="false" ht="15.75" hidden="false" customHeight="true" outlineLevel="0" collapsed="false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</row>
    <row r="670" customFormat="false" ht="15.75" hidden="false" customHeight="true" outlineLevel="0" collapsed="false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</row>
    <row r="671" customFormat="false" ht="15.75" hidden="false" customHeight="true" outlineLevel="0" collapsed="false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</row>
    <row r="672" customFormat="false" ht="15.75" hidden="false" customHeight="true" outlineLevel="0" collapsed="false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</row>
    <row r="673" customFormat="false" ht="15.75" hidden="false" customHeight="true" outlineLevel="0" collapsed="false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</row>
    <row r="674" customFormat="false" ht="15.75" hidden="false" customHeight="true" outlineLevel="0" collapsed="false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</row>
    <row r="675" customFormat="false" ht="15.75" hidden="false" customHeight="true" outlineLevel="0" collapsed="false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</row>
    <row r="676" customFormat="false" ht="15.75" hidden="false" customHeight="true" outlineLevel="0" collapsed="false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</row>
    <row r="677" customFormat="false" ht="15.75" hidden="false" customHeight="true" outlineLevel="0" collapsed="false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</row>
    <row r="678" customFormat="false" ht="15.75" hidden="false" customHeight="true" outlineLevel="0" collapsed="false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</row>
    <row r="679" customFormat="false" ht="15.75" hidden="false" customHeight="true" outlineLevel="0" collapsed="false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</row>
    <row r="680" customFormat="false" ht="15.75" hidden="false" customHeight="true" outlineLevel="0" collapsed="false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</row>
    <row r="681" customFormat="false" ht="15.75" hidden="false" customHeight="true" outlineLevel="0" collapsed="false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</row>
    <row r="682" customFormat="false" ht="15.75" hidden="false" customHeight="true" outlineLevel="0" collapsed="false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</row>
    <row r="683" customFormat="false" ht="15.75" hidden="false" customHeight="true" outlineLevel="0" collapsed="false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</row>
    <row r="684" customFormat="false" ht="15.75" hidden="false" customHeight="true" outlineLevel="0" collapsed="false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</row>
    <row r="685" customFormat="false" ht="15.75" hidden="false" customHeight="true" outlineLevel="0" collapsed="false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</row>
    <row r="686" customFormat="false" ht="15.75" hidden="false" customHeight="true" outlineLevel="0" collapsed="false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</row>
    <row r="687" customFormat="false" ht="15.75" hidden="false" customHeight="true" outlineLevel="0" collapsed="false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</row>
    <row r="688" customFormat="false" ht="15.75" hidden="false" customHeight="true" outlineLevel="0" collapsed="false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</row>
    <row r="689" customFormat="false" ht="15.75" hidden="false" customHeight="true" outlineLevel="0" collapsed="false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</row>
    <row r="690" customFormat="false" ht="15.75" hidden="false" customHeight="true" outlineLevel="0" collapsed="false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</row>
    <row r="691" customFormat="false" ht="15.75" hidden="false" customHeight="true" outlineLevel="0" collapsed="false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</row>
    <row r="692" customFormat="false" ht="15.75" hidden="false" customHeight="true" outlineLevel="0" collapsed="false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</row>
    <row r="693" customFormat="false" ht="15.75" hidden="false" customHeight="true" outlineLevel="0" collapsed="false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</row>
    <row r="694" customFormat="false" ht="15.75" hidden="false" customHeight="true" outlineLevel="0" collapsed="false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</row>
    <row r="695" customFormat="false" ht="15.75" hidden="false" customHeight="true" outlineLevel="0" collapsed="false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</row>
    <row r="696" customFormat="false" ht="15.75" hidden="false" customHeight="true" outlineLevel="0" collapsed="false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</row>
    <row r="697" customFormat="false" ht="15.75" hidden="false" customHeight="true" outlineLevel="0" collapsed="false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</row>
    <row r="698" customFormat="false" ht="15.75" hidden="false" customHeight="true" outlineLevel="0" collapsed="false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</row>
    <row r="699" customFormat="false" ht="15.75" hidden="false" customHeight="true" outlineLevel="0" collapsed="false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</row>
    <row r="700" customFormat="false" ht="15.75" hidden="false" customHeight="true" outlineLevel="0" collapsed="false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</row>
    <row r="701" customFormat="false" ht="15.75" hidden="false" customHeight="true" outlineLevel="0" collapsed="false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</row>
    <row r="702" customFormat="false" ht="15.75" hidden="false" customHeight="true" outlineLevel="0" collapsed="false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</row>
    <row r="703" customFormat="false" ht="15.75" hidden="false" customHeight="true" outlineLevel="0" collapsed="false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</row>
    <row r="704" customFormat="false" ht="15.75" hidden="false" customHeight="true" outlineLevel="0" collapsed="false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</row>
    <row r="705" customFormat="false" ht="15.75" hidden="false" customHeight="true" outlineLevel="0" collapsed="false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</row>
    <row r="706" customFormat="false" ht="15.75" hidden="false" customHeight="true" outlineLevel="0" collapsed="false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</row>
    <row r="707" customFormat="false" ht="15.75" hidden="false" customHeight="true" outlineLevel="0" collapsed="false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</row>
    <row r="708" customFormat="false" ht="15.75" hidden="false" customHeight="true" outlineLevel="0" collapsed="false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</row>
    <row r="709" customFormat="false" ht="15.75" hidden="false" customHeight="true" outlineLevel="0" collapsed="false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</row>
    <row r="710" customFormat="false" ht="15.75" hidden="false" customHeight="true" outlineLevel="0" collapsed="false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</row>
    <row r="711" customFormat="false" ht="15.75" hidden="false" customHeight="true" outlineLevel="0" collapsed="false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</row>
    <row r="712" customFormat="false" ht="15.75" hidden="false" customHeight="true" outlineLevel="0" collapsed="false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</row>
    <row r="713" customFormat="false" ht="15.75" hidden="false" customHeight="true" outlineLevel="0" collapsed="false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</row>
    <row r="714" customFormat="false" ht="15.75" hidden="false" customHeight="true" outlineLevel="0" collapsed="false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</row>
    <row r="715" customFormat="false" ht="15.75" hidden="false" customHeight="true" outlineLevel="0" collapsed="false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</row>
    <row r="716" customFormat="false" ht="15.75" hidden="false" customHeight="true" outlineLevel="0" collapsed="false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</row>
    <row r="717" customFormat="false" ht="15.75" hidden="false" customHeight="true" outlineLevel="0" collapsed="false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</row>
    <row r="718" customFormat="false" ht="15.75" hidden="false" customHeight="true" outlineLevel="0" collapsed="false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</row>
    <row r="719" customFormat="false" ht="15.75" hidden="false" customHeight="true" outlineLevel="0" collapsed="false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</row>
    <row r="720" customFormat="false" ht="15.75" hidden="false" customHeight="true" outlineLevel="0" collapsed="false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</row>
    <row r="721" customFormat="false" ht="15.75" hidden="false" customHeight="true" outlineLevel="0" collapsed="false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</row>
    <row r="722" customFormat="false" ht="15.75" hidden="false" customHeight="true" outlineLevel="0" collapsed="false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</row>
    <row r="723" customFormat="false" ht="15.75" hidden="false" customHeight="true" outlineLevel="0" collapsed="false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</row>
    <row r="724" customFormat="false" ht="15.75" hidden="false" customHeight="true" outlineLevel="0" collapsed="false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</row>
    <row r="725" customFormat="false" ht="15.75" hidden="false" customHeight="true" outlineLevel="0" collapsed="false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</row>
    <row r="726" customFormat="false" ht="15.75" hidden="false" customHeight="true" outlineLevel="0" collapsed="false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</row>
    <row r="727" customFormat="false" ht="15.75" hidden="false" customHeight="true" outlineLevel="0" collapsed="false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</row>
    <row r="728" customFormat="false" ht="15.75" hidden="false" customHeight="true" outlineLevel="0" collapsed="false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</row>
    <row r="729" customFormat="false" ht="15.75" hidden="false" customHeight="true" outlineLevel="0" collapsed="false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</row>
    <row r="730" customFormat="false" ht="15.75" hidden="false" customHeight="true" outlineLevel="0" collapsed="false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</row>
    <row r="731" customFormat="false" ht="15.75" hidden="false" customHeight="true" outlineLevel="0" collapsed="false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</row>
    <row r="732" customFormat="false" ht="15.75" hidden="false" customHeight="true" outlineLevel="0" collapsed="false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</row>
    <row r="733" customFormat="false" ht="15.75" hidden="false" customHeight="true" outlineLevel="0" collapsed="false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</row>
    <row r="734" customFormat="false" ht="15.75" hidden="false" customHeight="true" outlineLevel="0" collapsed="false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</row>
    <row r="735" customFormat="false" ht="15.75" hidden="false" customHeight="true" outlineLevel="0" collapsed="false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</row>
    <row r="736" customFormat="false" ht="15.75" hidden="false" customHeight="true" outlineLevel="0" collapsed="false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</row>
    <row r="737" customFormat="false" ht="15.75" hidden="false" customHeight="true" outlineLevel="0" collapsed="false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</row>
    <row r="738" customFormat="false" ht="15.75" hidden="false" customHeight="true" outlineLevel="0" collapsed="false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</row>
    <row r="739" customFormat="false" ht="15.75" hidden="false" customHeight="true" outlineLevel="0" collapsed="false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</row>
    <row r="740" customFormat="false" ht="15.75" hidden="false" customHeight="true" outlineLevel="0" collapsed="false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</row>
    <row r="741" customFormat="false" ht="15.75" hidden="false" customHeight="true" outlineLevel="0" collapsed="false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</row>
    <row r="742" customFormat="false" ht="15.75" hidden="false" customHeight="true" outlineLevel="0" collapsed="false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</row>
    <row r="743" customFormat="false" ht="15.75" hidden="false" customHeight="true" outlineLevel="0" collapsed="false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</row>
    <row r="744" customFormat="false" ht="15.75" hidden="false" customHeight="true" outlineLevel="0" collapsed="false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</row>
    <row r="745" customFormat="false" ht="15.75" hidden="false" customHeight="true" outlineLevel="0" collapsed="false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</row>
    <row r="746" customFormat="false" ht="15.75" hidden="false" customHeight="true" outlineLevel="0" collapsed="false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</row>
    <row r="747" customFormat="false" ht="15.75" hidden="false" customHeight="true" outlineLevel="0" collapsed="false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</row>
    <row r="748" customFormat="false" ht="15.75" hidden="false" customHeight="true" outlineLevel="0" collapsed="false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</row>
    <row r="749" customFormat="false" ht="15.75" hidden="false" customHeight="true" outlineLevel="0" collapsed="false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</row>
    <row r="750" customFormat="false" ht="15.75" hidden="false" customHeight="true" outlineLevel="0" collapsed="false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</row>
    <row r="751" customFormat="false" ht="15.75" hidden="false" customHeight="true" outlineLevel="0" collapsed="false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</row>
    <row r="752" customFormat="false" ht="15.75" hidden="false" customHeight="true" outlineLevel="0" collapsed="false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</row>
    <row r="753" customFormat="false" ht="15.75" hidden="false" customHeight="true" outlineLevel="0" collapsed="false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</row>
    <row r="754" customFormat="false" ht="15.75" hidden="false" customHeight="true" outlineLevel="0" collapsed="false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</row>
    <row r="755" customFormat="false" ht="15.75" hidden="false" customHeight="true" outlineLevel="0" collapsed="false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</row>
    <row r="756" customFormat="false" ht="15.75" hidden="false" customHeight="true" outlineLevel="0" collapsed="false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</row>
    <row r="757" customFormat="false" ht="15.75" hidden="false" customHeight="true" outlineLevel="0" collapsed="false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</row>
    <row r="758" customFormat="false" ht="15.75" hidden="false" customHeight="true" outlineLevel="0" collapsed="false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</row>
    <row r="759" customFormat="false" ht="15.75" hidden="false" customHeight="true" outlineLevel="0" collapsed="false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</row>
    <row r="760" customFormat="false" ht="15.75" hidden="false" customHeight="true" outlineLevel="0" collapsed="false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</row>
    <row r="761" customFormat="false" ht="15.75" hidden="false" customHeight="true" outlineLevel="0" collapsed="false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</row>
    <row r="762" customFormat="false" ht="15.75" hidden="false" customHeight="true" outlineLevel="0" collapsed="false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</row>
    <row r="763" customFormat="false" ht="15.75" hidden="false" customHeight="true" outlineLevel="0" collapsed="false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</row>
    <row r="764" customFormat="false" ht="15.75" hidden="false" customHeight="true" outlineLevel="0" collapsed="false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</row>
    <row r="765" customFormat="false" ht="15.75" hidden="false" customHeight="true" outlineLevel="0" collapsed="false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</row>
    <row r="766" customFormat="false" ht="15.75" hidden="false" customHeight="true" outlineLevel="0" collapsed="false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</row>
    <row r="767" customFormat="false" ht="15.75" hidden="false" customHeight="true" outlineLevel="0" collapsed="false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</row>
    <row r="768" customFormat="false" ht="15.75" hidden="false" customHeight="true" outlineLevel="0" collapsed="false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</row>
    <row r="769" customFormat="false" ht="15.75" hidden="false" customHeight="true" outlineLevel="0" collapsed="false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</row>
    <row r="770" customFormat="false" ht="15.75" hidden="false" customHeight="true" outlineLevel="0" collapsed="false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</row>
    <row r="771" customFormat="false" ht="15.75" hidden="false" customHeight="true" outlineLevel="0" collapsed="false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</row>
    <row r="772" customFormat="false" ht="15.75" hidden="false" customHeight="true" outlineLevel="0" collapsed="false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</row>
    <row r="773" customFormat="false" ht="15.75" hidden="false" customHeight="true" outlineLevel="0" collapsed="false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</row>
    <row r="774" customFormat="false" ht="15.75" hidden="false" customHeight="true" outlineLevel="0" collapsed="false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</row>
    <row r="775" customFormat="false" ht="15.75" hidden="false" customHeight="true" outlineLevel="0" collapsed="false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</row>
    <row r="776" customFormat="false" ht="15.75" hidden="false" customHeight="true" outlineLevel="0" collapsed="false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</row>
    <row r="777" customFormat="false" ht="15.75" hidden="false" customHeight="true" outlineLevel="0" collapsed="false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</row>
    <row r="778" customFormat="false" ht="15.75" hidden="false" customHeight="true" outlineLevel="0" collapsed="false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</row>
    <row r="779" customFormat="false" ht="15.75" hidden="false" customHeight="true" outlineLevel="0" collapsed="false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</row>
    <row r="780" customFormat="false" ht="15.75" hidden="false" customHeight="true" outlineLevel="0" collapsed="false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</row>
    <row r="781" customFormat="false" ht="15.75" hidden="false" customHeight="true" outlineLevel="0" collapsed="false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</row>
    <row r="782" customFormat="false" ht="15.75" hidden="false" customHeight="true" outlineLevel="0" collapsed="false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</row>
    <row r="783" customFormat="false" ht="15.75" hidden="false" customHeight="true" outlineLevel="0" collapsed="false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</row>
    <row r="784" customFormat="false" ht="15.75" hidden="false" customHeight="true" outlineLevel="0" collapsed="false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</row>
    <row r="785" customFormat="false" ht="15.75" hidden="false" customHeight="true" outlineLevel="0" collapsed="false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</row>
    <row r="786" customFormat="false" ht="15.75" hidden="false" customHeight="true" outlineLevel="0" collapsed="false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</row>
    <row r="787" customFormat="false" ht="15.75" hidden="false" customHeight="true" outlineLevel="0" collapsed="false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</row>
    <row r="788" customFormat="false" ht="15.75" hidden="false" customHeight="true" outlineLevel="0" collapsed="false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</row>
    <row r="789" customFormat="false" ht="15.75" hidden="false" customHeight="true" outlineLevel="0" collapsed="false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</row>
    <row r="790" customFormat="false" ht="15.75" hidden="false" customHeight="true" outlineLevel="0" collapsed="false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</row>
    <row r="791" customFormat="false" ht="15.75" hidden="false" customHeight="true" outlineLevel="0" collapsed="false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</row>
    <row r="792" customFormat="false" ht="15.75" hidden="false" customHeight="true" outlineLevel="0" collapsed="false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</row>
    <row r="793" customFormat="false" ht="15.75" hidden="false" customHeight="true" outlineLevel="0" collapsed="false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</row>
    <row r="794" customFormat="false" ht="15.75" hidden="false" customHeight="true" outlineLevel="0" collapsed="false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</row>
    <row r="795" customFormat="false" ht="15.75" hidden="false" customHeight="true" outlineLevel="0" collapsed="false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</row>
    <row r="796" customFormat="false" ht="15.75" hidden="false" customHeight="true" outlineLevel="0" collapsed="false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</row>
    <row r="797" customFormat="false" ht="15.75" hidden="false" customHeight="true" outlineLevel="0" collapsed="false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</row>
    <row r="798" customFormat="false" ht="15.75" hidden="false" customHeight="true" outlineLevel="0" collapsed="false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</row>
    <row r="799" customFormat="false" ht="15.75" hidden="false" customHeight="true" outlineLevel="0" collapsed="false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</row>
    <row r="800" customFormat="false" ht="15.75" hidden="false" customHeight="true" outlineLevel="0" collapsed="false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</row>
    <row r="801" customFormat="false" ht="15.75" hidden="false" customHeight="true" outlineLevel="0" collapsed="false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</row>
    <row r="802" customFormat="false" ht="15.75" hidden="false" customHeight="true" outlineLevel="0" collapsed="false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</row>
    <row r="803" customFormat="false" ht="15.75" hidden="false" customHeight="true" outlineLevel="0" collapsed="false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</row>
    <row r="804" customFormat="false" ht="15.75" hidden="false" customHeight="true" outlineLevel="0" collapsed="false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</row>
    <row r="805" customFormat="false" ht="15.75" hidden="false" customHeight="true" outlineLevel="0" collapsed="false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</row>
    <row r="806" customFormat="false" ht="15.75" hidden="false" customHeight="true" outlineLevel="0" collapsed="false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</row>
    <row r="807" customFormat="false" ht="15.75" hidden="false" customHeight="true" outlineLevel="0" collapsed="false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</row>
    <row r="808" customFormat="false" ht="15.75" hidden="false" customHeight="true" outlineLevel="0" collapsed="false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</row>
    <row r="809" customFormat="false" ht="15.75" hidden="false" customHeight="true" outlineLevel="0" collapsed="false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</row>
    <row r="810" customFormat="false" ht="15.75" hidden="false" customHeight="true" outlineLevel="0" collapsed="false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</row>
    <row r="811" customFormat="false" ht="15.75" hidden="false" customHeight="true" outlineLevel="0" collapsed="false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</row>
    <row r="812" customFormat="false" ht="15.75" hidden="false" customHeight="true" outlineLevel="0" collapsed="false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</row>
    <row r="813" customFormat="false" ht="15.75" hidden="false" customHeight="true" outlineLevel="0" collapsed="false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</row>
    <row r="814" customFormat="false" ht="15.75" hidden="false" customHeight="true" outlineLevel="0" collapsed="false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</row>
    <row r="815" customFormat="false" ht="15.75" hidden="false" customHeight="true" outlineLevel="0" collapsed="false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</row>
    <row r="816" customFormat="false" ht="15.75" hidden="false" customHeight="true" outlineLevel="0" collapsed="false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</row>
    <row r="817" customFormat="false" ht="15.75" hidden="false" customHeight="true" outlineLevel="0" collapsed="false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</row>
    <row r="818" customFormat="false" ht="15.75" hidden="false" customHeight="true" outlineLevel="0" collapsed="false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</row>
    <row r="819" customFormat="false" ht="15.75" hidden="false" customHeight="true" outlineLevel="0" collapsed="false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</row>
    <row r="820" customFormat="false" ht="15.75" hidden="false" customHeight="true" outlineLevel="0" collapsed="false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</row>
    <row r="821" customFormat="false" ht="15.75" hidden="false" customHeight="true" outlineLevel="0" collapsed="false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</row>
    <row r="822" customFormat="false" ht="15.75" hidden="false" customHeight="true" outlineLevel="0" collapsed="false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</row>
    <row r="823" customFormat="false" ht="15.75" hidden="false" customHeight="true" outlineLevel="0" collapsed="false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</row>
    <row r="824" customFormat="false" ht="15.75" hidden="false" customHeight="true" outlineLevel="0" collapsed="false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</row>
    <row r="825" customFormat="false" ht="15.75" hidden="false" customHeight="true" outlineLevel="0" collapsed="false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</row>
    <row r="826" customFormat="false" ht="15.75" hidden="false" customHeight="true" outlineLevel="0" collapsed="false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</row>
    <row r="827" customFormat="false" ht="15.75" hidden="false" customHeight="true" outlineLevel="0" collapsed="false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</row>
    <row r="828" customFormat="false" ht="15.75" hidden="false" customHeight="true" outlineLevel="0" collapsed="false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</row>
    <row r="829" customFormat="false" ht="15.75" hidden="false" customHeight="true" outlineLevel="0" collapsed="false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</row>
    <row r="830" customFormat="false" ht="15.75" hidden="false" customHeight="true" outlineLevel="0" collapsed="false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</row>
    <row r="831" customFormat="false" ht="15.75" hidden="false" customHeight="true" outlineLevel="0" collapsed="false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</row>
    <row r="832" customFormat="false" ht="15.75" hidden="false" customHeight="true" outlineLevel="0" collapsed="false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</row>
    <row r="833" customFormat="false" ht="15.75" hidden="false" customHeight="true" outlineLevel="0" collapsed="false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</row>
    <row r="834" customFormat="false" ht="15.75" hidden="false" customHeight="true" outlineLevel="0" collapsed="false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</row>
    <row r="835" customFormat="false" ht="15.75" hidden="false" customHeight="true" outlineLevel="0" collapsed="false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</row>
    <row r="836" customFormat="false" ht="15.75" hidden="false" customHeight="true" outlineLevel="0" collapsed="false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</row>
    <row r="837" customFormat="false" ht="15.75" hidden="false" customHeight="true" outlineLevel="0" collapsed="false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</row>
    <row r="838" customFormat="false" ht="15.75" hidden="false" customHeight="true" outlineLevel="0" collapsed="false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</row>
    <row r="839" customFormat="false" ht="15.75" hidden="false" customHeight="true" outlineLevel="0" collapsed="false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</row>
    <row r="840" customFormat="false" ht="15.75" hidden="false" customHeight="true" outlineLevel="0" collapsed="false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</row>
    <row r="841" customFormat="false" ht="15.75" hidden="false" customHeight="true" outlineLevel="0" collapsed="false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</row>
    <row r="842" customFormat="false" ht="15.75" hidden="false" customHeight="true" outlineLevel="0" collapsed="false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</row>
    <row r="843" customFormat="false" ht="15.75" hidden="false" customHeight="true" outlineLevel="0" collapsed="false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</row>
    <row r="844" customFormat="false" ht="15.75" hidden="false" customHeight="true" outlineLevel="0" collapsed="false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</row>
    <row r="845" customFormat="false" ht="15.75" hidden="false" customHeight="true" outlineLevel="0" collapsed="false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</row>
    <row r="846" customFormat="false" ht="15.75" hidden="false" customHeight="true" outlineLevel="0" collapsed="false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</row>
    <row r="847" customFormat="false" ht="15.75" hidden="false" customHeight="true" outlineLevel="0" collapsed="false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</row>
    <row r="848" customFormat="false" ht="15.75" hidden="false" customHeight="true" outlineLevel="0" collapsed="false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</row>
    <row r="849" customFormat="false" ht="15.75" hidden="false" customHeight="true" outlineLevel="0" collapsed="false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</row>
    <row r="850" customFormat="false" ht="15.75" hidden="false" customHeight="true" outlineLevel="0" collapsed="false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</row>
    <row r="851" customFormat="false" ht="15.75" hidden="false" customHeight="true" outlineLevel="0" collapsed="false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</row>
    <row r="852" customFormat="false" ht="15.75" hidden="false" customHeight="true" outlineLevel="0" collapsed="false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</row>
    <row r="853" customFormat="false" ht="15.75" hidden="false" customHeight="true" outlineLevel="0" collapsed="false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</row>
    <row r="854" customFormat="false" ht="15.75" hidden="false" customHeight="true" outlineLevel="0" collapsed="false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</row>
    <row r="855" customFormat="false" ht="15.75" hidden="false" customHeight="true" outlineLevel="0" collapsed="false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</row>
    <row r="856" customFormat="false" ht="15.75" hidden="false" customHeight="true" outlineLevel="0" collapsed="false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</row>
    <row r="857" customFormat="false" ht="15.75" hidden="false" customHeight="true" outlineLevel="0" collapsed="false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</row>
    <row r="858" customFormat="false" ht="15.75" hidden="false" customHeight="true" outlineLevel="0" collapsed="false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</row>
    <row r="859" customFormat="false" ht="15.75" hidden="false" customHeight="true" outlineLevel="0" collapsed="false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</row>
    <row r="860" customFormat="false" ht="15.75" hidden="false" customHeight="true" outlineLevel="0" collapsed="false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</row>
    <row r="861" customFormat="false" ht="15.75" hidden="false" customHeight="true" outlineLevel="0" collapsed="false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</row>
    <row r="862" customFormat="false" ht="15.75" hidden="false" customHeight="true" outlineLevel="0" collapsed="false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</row>
    <row r="863" customFormat="false" ht="15.75" hidden="false" customHeight="true" outlineLevel="0" collapsed="false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</row>
    <row r="864" customFormat="false" ht="15.75" hidden="false" customHeight="true" outlineLevel="0" collapsed="false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</row>
    <row r="865" customFormat="false" ht="15.75" hidden="false" customHeight="true" outlineLevel="0" collapsed="false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</row>
    <row r="866" customFormat="false" ht="15.75" hidden="false" customHeight="true" outlineLevel="0" collapsed="false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</row>
    <row r="867" customFormat="false" ht="15.75" hidden="false" customHeight="true" outlineLevel="0" collapsed="false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</row>
    <row r="868" customFormat="false" ht="15.75" hidden="false" customHeight="true" outlineLevel="0" collapsed="false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</row>
    <row r="869" customFormat="false" ht="15.75" hidden="false" customHeight="true" outlineLevel="0" collapsed="false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</row>
    <row r="870" customFormat="false" ht="15.75" hidden="false" customHeight="true" outlineLevel="0" collapsed="false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</row>
    <row r="871" customFormat="false" ht="15.75" hidden="false" customHeight="true" outlineLevel="0" collapsed="false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</row>
    <row r="872" customFormat="false" ht="15.75" hidden="false" customHeight="true" outlineLevel="0" collapsed="false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</row>
    <row r="873" customFormat="false" ht="15.75" hidden="false" customHeight="true" outlineLevel="0" collapsed="false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</row>
    <row r="874" customFormat="false" ht="15.75" hidden="false" customHeight="true" outlineLevel="0" collapsed="false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</row>
    <row r="875" customFormat="false" ht="15.75" hidden="false" customHeight="true" outlineLevel="0" collapsed="false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</row>
    <row r="876" customFormat="false" ht="15.75" hidden="false" customHeight="true" outlineLevel="0" collapsed="false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</row>
    <row r="877" customFormat="false" ht="15.75" hidden="false" customHeight="true" outlineLevel="0" collapsed="false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</row>
    <row r="878" customFormat="false" ht="15.75" hidden="false" customHeight="true" outlineLevel="0" collapsed="false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</row>
    <row r="879" customFormat="false" ht="15.75" hidden="false" customHeight="true" outlineLevel="0" collapsed="false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</row>
    <row r="880" customFormat="false" ht="15.75" hidden="false" customHeight="true" outlineLevel="0" collapsed="false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</row>
    <row r="881" customFormat="false" ht="15.75" hidden="false" customHeight="true" outlineLevel="0" collapsed="false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</row>
    <row r="882" customFormat="false" ht="15.75" hidden="false" customHeight="true" outlineLevel="0" collapsed="false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</row>
    <row r="883" customFormat="false" ht="15.75" hidden="false" customHeight="true" outlineLevel="0" collapsed="false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</row>
    <row r="884" customFormat="false" ht="15.75" hidden="false" customHeight="true" outlineLevel="0" collapsed="false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</row>
    <row r="885" customFormat="false" ht="15.75" hidden="false" customHeight="true" outlineLevel="0" collapsed="false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</row>
    <row r="886" customFormat="false" ht="15.75" hidden="false" customHeight="true" outlineLevel="0" collapsed="false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</row>
    <row r="887" customFormat="false" ht="15.75" hidden="false" customHeight="true" outlineLevel="0" collapsed="false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</row>
    <row r="888" customFormat="false" ht="15.75" hidden="false" customHeight="true" outlineLevel="0" collapsed="false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</row>
    <row r="889" customFormat="false" ht="15.75" hidden="false" customHeight="true" outlineLevel="0" collapsed="false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</row>
    <row r="890" customFormat="false" ht="15.75" hidden="false" customHeight="true" outlineLevel="0" collapsed="false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</row>
    <row r="891" customFormat="false" ht="15.75" hidden="false" customHeight="true" outlineLevel="0" collapsed="false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</row>
    <row r="892" customFormat="false" ht="15.75" hidden="false" customHeight="true" outlineLevel="0" collapsed="false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</row>
    <row r="893" customFormat="false" ht="15.75" hidden="false" customHeight="true" outlineLevel="0" collapsed="false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</row>
    <row r="894" customFormat="false" ht="15.75" hidden="false" customHeight="true" outlineLevel="0" collapsed="false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</row>
    <row r="895" customFormat="false" ht="15.75" hidden="false" customHeight="true" outlineLevel="0" collapsed="false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</row>
    <row r="896" customFormat="false" ht="15.75" hidden="false" customHeight="true" outlineLevel="0" collapsed="false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</row>
    <row r="897" customFormat="false" ht="15.75" hidden="false" customHeight="true" outlineLevel="0" collapsed="false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</row>
    <row r="898" customFormat="false" ht="15.75" hidden="false" customHeight="true" outlineLevel="0" collapsed="false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</row>
    <row r="899" customFormat="false" ht="15.75" hidden="false" customHeight="true" outlineLevel="0" collapsed="false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</row>
    <row r="900" customFormat="false" ht="15.75" hidden="false" customHeight="true" outlineLevel="0" collapsed="false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</row>
    <row r="901" customFormat="false" ht="15.75" hidden="false" customHeight="true" outlineLevel="0" collapsed="false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</row>
    <row r="902" customFormat="false" ht="15.75" hidden="false" customHeight="true" outlineLevel="0" collapsed="false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</row>
    <row r="903" customFormat="false" ht="15.75" hidden="false" customHeight="true" outlineLevel="0" collapsed="false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</row>
    <row r="904" customFormat="false" ht="15.75" hidden="false" customHeight="true" outlineLevel="0" collapsed="false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</row>
    <row r="905" customFormat="false" ht="15.75" hidden="false" customHeight="true" outlineLevel="0" collapsed="false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</row>
    <row r="906" customFormat="false" ht="15.75" hidden="false" customHeight="true" outlineLevel="0" collapsed="false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</row>
    <row r="907" customFormat="false" ht="15.75" hidden="false" customHeight="true" outlineLevel="0" collapsed="false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</row>
    <row r="908" customFormat="false" ht="15.75" hidden="false" customHeight="true" outlineLevel="0" collapsed="false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</row>
    <row r="909" customFormat="false" ht="15.75" hidden="false" customHeight="true" outlineLevel="0" collapsed="false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</row>
    <row r="910" customFormat="false" ht="15.75" hidden="false" customHeight="true" outlineLevel="0" collapsed="false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</row>
    <row r="911" customFormat="false" ht="15.75" hidden="false" customHeight="true" outlineLevel="0" collapsed="false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</row>
    <row r="912" customFormat="false" ht="15.75" hidden="false" customHeight="true" outlineLevel="0" collapsed="false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</row>
    <row r="913" customFormat="false" ht="15.75" hidden="false" customHeight="true" outlineLevel="0" collapsed="false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</row>
    <row r="914" customFormat="false" ht="15.75" hidden="false" customHeight="true" outlineLevel="0" collapsed="false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</row>
    <row r="915" customFormat="false" ht="15.75" hidden="false" customHeight="true" outlineLevel="0" collapsed="false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</row>
    <row r="916" customFormat="false" ht="15.75" hidden="false" customHeight="true" outlineLevel="0" collapsed="false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</row>
    <row r="917" customFormat="false" ht="15.75" hidden="false" customHeight="true" outlineLevel="0" collapsed="false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</row>
    <row r="918" customFormat="false" ht="15.75" hidden="false" customHeight="true" outlineLevel="0" collapsed="false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</row>
    <row r="919" customFormat="false" ht="15.75" hidden="false" customHeight="true" outlineLevel="0" collapsed="false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</row>
    <row r="920" customFormat="false" ht="15.75" hidden="false" customHeight="true" outlineLevel="0" collapsed="false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</row>
    <row r="921" customFormat="false" ht="15.75" hidden="false" customHeight="true" outlineLevel="0" collapsed="false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</row>
    <row r="922" customFormat="false" ht="15.75" hidden="false" customHeight="true" outlineLevel="0" collapsed="false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</row>
    <row r="923" customFormat="false" ht="15.75" hidden="false" customHeight="true" outlineLevel="0" collapsed="false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</row>
    <row r="924" customFormat="false" ht="15.75" hidden="false" customHeight="true" outlineLevel="0" collapsed="false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</row>
    <row r="925" customFormat="false" ht="15.75" hidden="false" customHeight="true" outlineLevel="0" collapsed="false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</row>
    <row r="926" customFormat="false" ht="15.75" hidden="false" customHeight="true" outlineLevel="0" collapsed="false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</row>
    <row r="927" customFormat="false" ht="15.75" hidden="false" customHeight="true" outlineLevel="0" collapsed="false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</row>
    <row r="928" customFormat="false" ht="15.75" hidden="false" customHeight="true" outlineLevel="0" collapsed="false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</row>
    <row r="929" customFormat="false" ht="15.75" hidden="false" customHeight="true" outlineLevel="0" collapsed="false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</row>
    <row r="930" customFormat="false" ht="15.75" hidden="false" customHeight="true" outlineLevel="0" collapsed="false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</row>
    <row r="931" customFormat="false" ht="15.75" hidden="false" customHeight="true" outlineLevel="0" collapsed="false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</row>
    <row r="932" customFormat="false" ht="15.75" hidden="false" customHeight="true" outlineLevel="0" collapsed="false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</row>
    <row r="933" customFormat="false" ht="15.75" hidden="false" customHeight="true" outlineLevel="0" collapsed="false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</row>
    <row r="934" customFormat="false" ht="15.75" hidden="false" customHeight="true" outlineLevel="0" collapsed="false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</row>
    <row r="935" customFormat="false" ht="15.75" hidden="false" customHeight="true" outlineLevel="0" collapsed="false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</row>
    <row r="936" customFormat="false" ht="15.75" hidden="false" customHeight="true" outlineLevel="0" collapsed="false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</row>
    <row r="937" customFormat="false" ht="15.75" hidden="false" customHeight="true" outlineLevel="0" collapsed="false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</row>
    <row r="938" customFormat="false" ht="15.75" hidden="false" customHeight="true" outlineLevel="0" collapsed="false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</row>
    <row r="939" customFormat="false" ht="15.75" hidden="false" customHeight="true" outlineLevel="0" collapsed="false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</row>
    <row r="940" customFormat="false" ht="15.75" hidden="false" customHeight="true" outlineLevel="0" collapsed="false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</row>
    <row r="941" customFormat="false" ht="15.75" hidden="false" customHeight="true" outlineLevel="0" collapsed="false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</row>
    <row r="942" customFormat="false" ht="15.75" hidden="false" customHeight="true" outlineLevel="0" collapsed="false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</row>
    <row r="943" customFormat="false" ht="15.75" hidden="false" customHeight="true" outlineLevel="0" collapsed="false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</row>
    <row r="944" customFormat="false" ht="15.75" hidden="false" customHeight="true" outlineLevel="0" collapsed="false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</row>
    <row r="945" customFormat="false" ht="15.75" hidden="false" customHeight="true" outlineLevel="0" collapsed="false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</row>
    <row r="946" customFormat="false" ht="15.75" hidden="false" customHeight="true" outlineLevel="0" collapsed="false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</row>
    <row r="947" customFormat="false" ht="15.75" hidden="false" customHeight="true" outlineLevel="0" collapsed="false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</row>
    <row r="948" customFormat="false" ht="15.75" hidden="false" customHeight="true" outlineLevel="0" collapsed="false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</row>
    <row r="949" customFormat="false" ht="15.75" hidden="false" customHeight="true" outlineLevel="0" collapsed="false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</row>
    <row r="950" customFormat="false" ht="15.75" hidden="false" customHeight="true" outlineLevel="0" collapsed="false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</row>
    <row r="951" customFormat="false" ht="15.75" hidden="false" customHeight="true" outlineLevel="0" collapsed="false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</row>
    <row r="952" customFormat="false" ht="15.75" hidden="false" customHeight="true" outlineLevel="0" collapsed="false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</row>
    <row r="953" customFormat="false" ht="15.75" hidden="false" customHeight="true" outlineLevel="0" collapsed="false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</row>
    <row r="954" customFormat="false" ht="15.75" hidden="false" customHeight="true" outlineLevel="0" collapsed="false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</row>
    <row r="955" customFormat="false" ht="15.75" hidden="false" customHeight="true" outlineLevel="0" collapsed="false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</row>
    <row r="956" customFormat="false" ht="15.75" hidden="false" customHeight="true" outlineLevel="0" collapsed="false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</row>
    <row r="957" customFormat="false" ht="15.75" hidden="false" customHeight="true" outlineLevel="0" collapsed="false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</row>
    <row r="958" customFormat="false" ht="15.75" hidden="false" customHeight="true" outlineLevel="0" collapsed="false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</row>
    <row r="959" customFormat="false" ht="15.75" hidden="false" customHeight="true" outlineLevel="0" collapsed="false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</row>
    <row r="960" customFormat="false" ht="15.75" hidden="false" customHeight="true" outlineLevel="0" collapsed="false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</row>
    <row r="961" customFormat="false" ht="15.75" hidden="false" customHeight="true" outlineLevel="0" collapsed="false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</row>
    <row r="962" customFormat="false" ht="15.75" hidden="false" customHeight="true" outlineLevel="0" collapsed="false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</row>
    <row r="963" customFormat="false" ht="15.75" hidden="false" customHeight="true" outlineLevel="0" collapsed="false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</row>
    <row r="964" customFormat="false" ht="15.75" hidden="false" customHeight="true" outlineLevel="0" collapsed="false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</row>
    <row r="965" customFormat="false" ht="15.75" hidden="false" customHeight="true" outlineLevel="0" collapsed="false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</row>
    <row r="966" customFormat="false" ht="15.75" hidden="false" customHeight="true" outlineLevel="0" collapsed="false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</row>
    <row r="967" customFormat="false" ht="15.75" hidden="false" customHeight="true" outlineLevel="0" collapsed="false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</row>
    <row r="968" customFormat="false" ht="15.75" hidden="false" customHeight="true" outlineLevel="0" collapsed="false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</row>
    <row r="969" customFormat="false" ht="15.75" hidden="false" customHeight="true" outlineLevel="0" collapsed="false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</row>
    <row r="970" customFormat="false" ht="15.75" hidden="false" customHeight="true" outlineLevel="0" collapsed="false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</row>
    <row r="971" customFormat="false" ht="15.75" hidden="false" customHeight="true" outlineLevel="0" collapsed="false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</row>
    <row r="972" customFormat="false" ht="15.75" hidden="false" customHeight="true" outlineLevel="0" collapsed="false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</row>
    <row r="973" customFormat="false" ht="15.75" hidden="false" customHeight="true" outlineLevel="0" collapsed="false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</row>
    <row r="974" customFormat="false" ht="15.75" hidden="false" customHeight="true" outlineLevel="0" collapsed="false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</row>
    <row r="975" customFormat="false" ht="15.75" hidden="false" customHeight="true" outlineLevel="0" collapsed="false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</row>
    <row r="976" customFormat="false" ht="15.75" hidden="false" customHeight="true" outlineLevel="0" collapsed="false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</row>
    <row r="977" customFormat="false" ht="15.75" hidden="false" customHeight="true" outlineLevel="0" collapsed="false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</row>
    <row r="978" customFormat="false" ht="15.75" hidden="false" customHeight="true" outlineLevel="0" collapsed="false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</row>
    <row r="979" customFormat="false" ht="15.75" hidden="false" customHeight="true" outlineLevel="0" collapsed="false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</row>
    <row r="980" customFormat="false" ht="15.75" hidden="false" customHeight="true" outlineLevel="0" collapsed="false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</row>
    <row r="981" customFormat="false" ht="15.75" hidden="false" customHeight="true" outlineLevel="0" collapsed="false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</row>
    <row r="982" customFormat="false" ht="15.75" hidden="false" customHeight="true" outlineLevel="0" collapsed="false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</row>
    <row r="983" customFormat="false" ht="15.75" hidden="false" customHeight="true" outlineLevel="0" collapsed="false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</row>
    <row r="984" customFormat="false" ht="15.75" hidden="false" customHeight="true" outlineLevel="0" collapsed="false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</row>
    <row r="985" customFormat="false" ht="15.75" hidden="false" customHeight="true" outlineLevel="0" collapsed="false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</row>
    <row r="986" customFormat="false" ht="15.75" hidden="false" customHeight="true" outlineLevel="0" collapsed="false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</row>
    <row r="987" customFormat="false" ht="15.75" hidden="false" customHeight="true" outlineLevel="0" collapsed="false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</row>
    <row r="988" customFormat="false" ht="15.75" hidden="false" customHeight="true" outlineLevel="0" collapsed="false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</row>
    <row r="989" customFormat="false" ht="15.75" hidden="false" customHeight="true" outlineLevel="0" collapsed="false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</row>
    <row r="990" customFormat="false" ht="15.75" hidden="false" customHeight="true" outlineLevel="0" collapsed="false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</row>
    <row r="991" customFormat="false" ht="15.75" hidden="false" customHeight="true" outlineLevel="0" collapsed="false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</row>
    <row r="992" customFormat="false" ht="15.75" hidden="false" customHeight="true" outlineLevel="0" collapsed="false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</row>
    <row r="993" customFormat="false" ht="15.75" hidden="false" customHeight="true" outlineLevel="0" collapsed="false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</row>
    <row r="994" customFormat="false" ht="15.75" hidden="false" customHeight="true" outlineLevel="0" collapsed="false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</row>
    <row r="995" customFormat="false" ht="15.75" hidden="false" customHeight="true" outlineLevel="0" collapsed="false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</row>
    <row r="996" customFormat="false" ht="15.75" hidden="false" customHeight="true" outlineLevel="0" collapsed="false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</row>
    <row r="997" customFormat="false" ht="15.75" hidden="false" customHeight="true" outlineLevel="0" collapsed="false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</row>
    <row r="998" customFormat="false" ht="15.75" hidden="false" customHeight="true" outlineLevel="0" collapsed="false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</row>
    <row r="999" customFormat="false" ht="15.75" hidden="false" customHeight="true" outlineLevel="0" collapsed="false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</row>
    <row r="1000" customFormat="false" ht="15.75" hidden="false" customHeight="true" outlineLevel="0" collapsed="false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</row>
  </sheetData>
  <mergeCells count="5">
    <mergeCell ref="A1:I1"/>
    <mergeCell ref="K3:M3"/>
    <mergeCell ref="A5:I5"/>
    <mergeCell ref="K10:L10"/>
    <mergeCell ref="K18:L19"/>
  </mergeCells>
  <conditionalFormatting sqref="F7:G24">
    <cfRule type="cellIs" priority="2" operator="lessThan" aboveAverage="0" equalAverage="0" bottom="0" percent="0" rank="0" text="" dxfId="2">
      <formula>0</formula>
    </cfRule>
  </conditionalFormatting>
  <conditionalFormatting sqref="H7:I24">
    <cfRule type="cellIs" priority="3" operator="lessThan" aboveAverage="0" equalAverage="0" bottom="0" percent="0" rank="0" text="" dxfId="2">
      <formula>0</formula>
    </cfRule>
  </conditionalFormatting>
  <conditionalFormatting sqref="L4">
    <cfRule type="cellIs" priority="4" operator="greaterThan" aboveAverage="0" equalAverage="0" bottom="0" percent="0" rank="0" text="" dxfId="3">
      <formula>0</formula>
    </cfRule>
  </conditionalFormatting>
  <conditionalFormatting sqref="L5">
    <cfRule type="cellIs" priority="5" operator="greaterThan" aboveAverage="0" equalAverage="0" bottom="0" percent="0" rank="0" text="" dxfId="3">
      <formula>0</formula>
    </cfRule>
  </conditionalFormatting>
  <conditionalFormatting sqref="L6">
    <cfRule type="cellIs" priority="6" operator="greaterThan" aboveAverage="0" equalAverage="0" bottom="0" percent="0" rank="0" text="" dxfId="3">
      <formula>0</formula>
    </cfRule>
  </conditionalFormatting>
  <conditionalFormatting sqref="L7">
    <cfRule type="cellIs" priority="7" operator="greaterThan" aboveAverage="0" equalAverage="0" bottom="0" percent="0" rank="0" text="" dxfId="3">
      <formula>0</formula>
    </cfRule>
  </conditionalFormatting>
  <conditionalFormatting sqref="L8">
    <cfRule type="cellIs" priority="8" operator="greaterThan" aboveAverage="0" equalAverage="0" bottom="0" percent="0" rank="0" text="" dxfId="3">
      <formula>0</formula>
    </cfRule>
  </conditionalFormatting>
  <conditionalFormatting sqref="K10:L10">
    <cfRule type="expression" priority="9" aboveAverage="0" equalAverage="0" bottom="0" percent="0" rank="0" text="" dxfId="4">
      <formula>$K$10="ГОТОВО ДО ПУБЛІКАЦІЇ"</formula>
    </cfRule>
    <cfRule type="expression" priority="10" aboveAverage="0" equalAverage="0" bottom="0" percent="0" rank="0" text="" dxfId="5">
      <formula>$K$10="ПОТРІБНЕ ЗАПОВНЕННЯ"</formula>
    </cfRule>
  </conditionalFormatting>
  <conditionalFormatting sqref="A7:I24">
    <cfRule type="expression" priority="11" aboveAverage="0" equalAverage="0" bottom="0" percent="0" rank="0" text="" dxfId="3">
      <formula>IFERROR(INDEX(ДОВ_РОЛЬ,MATCH($A7,КАТЕГОРІЇ,0))="Базова",0)</formula>
    </cfRule>
  </conditionalFormatting>
  <dataValidations count="6">
    <dataValidation allowBlank="true" errorStyle="stop" operator="between" showDropDown="false" showErrorMessage="false" showInputMessage="false" sqref="B4" type="list">
      <formula1>СПИСОК_ПАКЕТІВ</formula1>
      <formula2>0</formula2>
    </dataValidation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false" errorStyle="stop" operator="between" showDropDown="false" showErrorMessage="false" showInputMessage="false" sqref="F3" type="list">
      <formula1>ПРАЙС_ЛИСТИ</formula1>
      <formula2>0</formula2>
    </dataValidation>
    <dataValidation allowBlank="false" errorStyle="stop" operator="between" showDropDown="false" showErrorMessage="false" showInputMessage="false" sqref="D3" type="list">
      <formula1>ТАРИФИ_НАЗВИ</formula1>
      <formula2>0</formula2>
    </dataValidation>
    <dataValidation allowBlank="false" errorStyle="stop" operator="between" showDropDown="false" showErrorMessage="false" showInputMessage="false" sqref="H3" type="list">
      <formula1>ТАРИФИ_НАЗВИ</formula1>
      <formula2>0</formula2>
    </dataValidation>
    <dataValidation allowBlank="false" error="Введіть ціле число від 0 до 20." errorStyle="stop" errorTitle="Кількість гостей" operator="between" showDropDown="false" showErrorMessage="true" showInputMessage="false" sqref="D4 F4" type="whole">
      <formula1>0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3"/>
    <col collapsed="false" customWidth="true" hidden="false" outlineLevel="0" max="4" min="4" style="1" width="36"/>
    <col collapsed="false" customWidth="true" hidden="false" outlineLevel="0" max="5" min="5" style="1" width="3"/>
    <col collapsed="false" customWidth="true" hidden="false" outlineLevel="0" max="6" min="6" style="1" width="18"/>
    <col collapsed="false" customWidth="true" hidden="false" outlineLevel="0" max="20" min="7" style="1" width="8.57"/>
    <col collapsed="false" customWidth="true" hidden="true" outlineLevel="0" max="22" min="21" style="1" width="13"/>
    <col collapsed="false" customWidth="true" hidden="false" outlineLevel="0" max="26" min="23" style="1" width="8.57"/>
  </cols>
  <sheetData>
    <row r="1" customFormat="false" ht="27.75" hidden="false" customHeight="true" outlineLevel="0" collapsed="false">
      <c r="A1" s="133" t="s">
        <v>170</v>
      </c>
      <c r="B1" s="133"/>
      <c r="C1" s="133"/>
      <c r="D1" s="133"/>
      <c r="E1" s="133"/>
      <c r="F1" s="13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" t="s">
        <v>0</v>
      </c>
      <c r="V1" s="4"/>
      <c r="W1" s="4"/>
      <c r="X1" s="4"/>
      <c r="Y1" s="4"/>
      <c r="Z1" s="4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39.75" hidden="false" customHeight="true" outlineLevel="0" collapsed="false">
      <c r="A3" s="10" t="s">
        <v>171</v>
      </c>
      <c r="B3" s="10"/>
      <c r="C3" s="10"/>
      <c r="D3" s="10"/>
      <c r="E3" s="10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8" t="n">
        <f aca="false">IFERROR(MATCH($B$6,ПЛ_РЯДОК,0),0)</f>
        <v>51</v>
      </c>
      <c r="V3" s="9" t="s">
        <v>3</v>
      </c>
      <c r="W3" s="4"/>
      <c r="X3" s="4"/>
      <c r="Y3" s="4"/>
      <c r="Z3" s="4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true" outlineLevel="0" collapsed="false">
      <c r="A5" s="12" t="s">
        <v>172</v>
      </c>
      <c r="B5" s="12"/>
      <c r="C5" s="4"/>
      <c r="D5" s="12" t="s">
        <v>173</v>
      </c>
      <c r="E5" s="12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true" outlineLevel="0" collapsed="false">
      <c r="A6" s="5" t="s">
        <v>1</v>
      </c>
      <c r="B6" s="134" t="str">
        <f aca="false">Прайс!$B$3</f>
        <v>Зима ВС 2026</v>
      </c>
      <c r="C6" s="4"/>
      <c r="D6" s="60" t="s">
        <v>31</v>
      </c>
      <c r="E6" s="4"/>
      <c r="F6" s="97" t="str">
        <f aca="false">IF(OR($B$6="",$B$8="",$U$3=0,F7&lt;F8,F7&gt;F10,F11=0,F12=0,AND($B$9="Вихідні",F13=0),AND($U$8=1,OR(AND($B$10&gt;0,F18=0),AND($B$11&gt;0,F19=0))),AND($U$9=1,F20=0)),"ПЕРЕВІРТЕ ПАРАМЕТРИ","OK")</f>
        <v>OK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true" outlineLevel="0" collapsed="false">
      <c r="A7" s="5" t="s">
        <v>4</v>
      </c>
      <c r="B7" s="6" t="s">
        <v>64</v>
      </c>
      <c r="C7" s="4"/>
      <c r="D7" s="60" t="s">
        <v>174</v>
      </c>
      <c r="E7" s="4"/>
      <c r="F7" s="135" t="n">
        <f aca="false">$B$10+$B$11</f>
        <v>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true" outlineLevel="0" collapsed="false">
      <c r="A8" s="5" t="s">
        <v>14</v>
      </c>
      <c r="B8" s="6" t="s">
        <v>105</v>
      </c>
      <c r="C8" s="4"/>
      <c r="D8" s="60" t="s">
        <v>175</v>
      </c>
      <c r="E8" s="4"/>
      <c r="F8" s="135" t="n">
        <f aca="false" t="array" ref="F8:F8">IFERROR(INDEX(ДОВ_МІН,MATCH($B$8,КАТЕГОРІЇ,0)),0)</f>
        <v>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8" t="n">
        <f aca="false">IF(OR($B$12="BB",$B$12="BBSPA",$B$12="ROSPABB"),1,0)</f>
        <v>0</v>
      </c>
      <c r="V8" s="9" t="s">
        <v>17</v>
      </c>
      <c r="W8" s="4"/>
      <c r="X8" s="4"/>
      <c r="Y8" s="4"/>
      <c r="Z8" s="4"/>
    </row>
    <row r="9" customFormat="false" ht="15" hidden="false" customHeight="true" outlineLevel="0" collapsed="false">
      <c r="A9" s="5" t="s">
        <v>176</v>
      </c>
      <c r="B9" s="6" t="s">
        <v>98</v>
      </c>
      <c r="C9" s="4"/>
      <c r="D9" s="60" t="s">
        <v>177</v>
      </c>
      <c r="E9" s="4"/>
      <c r="F9" s="135" t="n">
        <f aca="false" t="array" ref="F9:F9">IFERROR(INDEX(ДОВ_ВКЛ,MATCH($B$8,КАТЕГОРІЇ,0)),0)</f>
        <v>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8" t="n">
        <f aca="false">IF(OR($B$12="ROSPA",$B$12="ROSPABB"),1,0)</f>
        <v>0</v>
      </c>
      <c r="V9" s="9" t="s">
        <v>18</v>
      </c>
      <c r="W9" s="4"/>
      <c r="X9" s="4"/>
      <c r="Y9" s="4"/>
      <c r="Z9" s="4"/>
    </row>
    <row r="10" customFormat="false" ht="15" hidden="false" customHeight="true" outlineLevel="0" collapsed="false">
      <c r="A10" s="5" t="s">
        <v>149</v>
      </c>
      <c r="B10" s="136" t="n">
        <v>2</v>
      </c>
      <c r="C10" s="4"/>
      <c r="D10" s="60" t="s">
        <v>178</v>
      </c>
      <c r="E10" s="4"/>
      <c r="F10" s="135" t="n">
        <f aca="false" t="array" ref="F10:F10">IFERROR(INDEX(ДОВ_МАКС,MATCH($B$8,КАТЕГОРІЇ,0)),0)</f>
        <v>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8" t="str">
        <f aca="false">IF($U$8=0,"",IF($B$12="ROSPABB","BB",$B$12))</f>
        <v/>
      </c>
      <c r="V10" s="9" t="s">
        <v>19</v>
      </c>
      <c r="W10" s="4"/>
      <c r="X10" s="4"/>
      <c r="Y10" s="4"/>
      <c r="Z10" s="4"/>
    </row>
    <row r="11" customFormat="false" ht="15" hidden="false" customHeight="true" outlineLevel="0" collapsed="false">
      <c r="A11" s="5" t="s">
        <v>150</v>
      </c>
      <c r="B11" s="136" t="n">
        <v>0</v>
      </c>
      <c r="C11" s="4"/>
      <c r="D11" s="60" t="s">
        <v>179</v>
      </c>
      <c r="E11" s="4"/>
      <c r="F11" s="137" t="n">
        <f aca="false" t="array" ref="F11:F11">IF($U$3=0,0,IFERROR(INDEX(БАЗА_RO,MATCH(INDEX(ДОВ_ОПОРА,MATCH($B$8,КАТЕГОРІЇ,0)),БАЗА_КАТ,0),$U$3)*INDEX(МНОЖНИКИ,MATCH($B$8,МНОЖ_КАТ,0),$U$3),0))</f>
        <v>10044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true" outlineLevel="0" collapsed="false">
      <c r="A12" s="5" t="s">
        <v>7</v>
      </c>
      <c r="B12" s="6" t="s">
        <v>8</v>
      </c>
      <c r="C12" s="4"/>
      <c r="D12" s="60" t="s">
        <v>99</v>
      </c>
      <c r="E12" s="4"/>
      <c r="F12" s="138" t="n">
        <f aca="false" t="array" ref="F12:F12">IF($U$3=0,0,IFERROR(INDEX(МНОЖНИКИ,MATCH($B$8,МНОЖ_КАТ,0),$U$3),0))</f>
        <v>1.08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true" outlineLevel="0" collapsed="false">
      <c r="A13" s="5" t="s">
        <v>180</v>
      </c>
      <c r="B13" s="136" t="n">
        <v>0</v>
      </c>
      <c r="C13" s="4"/>
      <c r="D13" s="60" t="s">
        <v>100</v>
      </c>
      <c r="E13" s="4"/>
      <c r="F13" s="138" t="n">
        <f aca="false" t="array" ref="F13:F13">IF($U$3=0,0,IFERROR(INDEX(МНОЖНИКИ,MATCH($B$8,МНОЖ_КАТ,0),$U$3+1),0))</f>
        <v>1.1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4.25" hidden="false" customHeight="true" outlineLevel="0" collapsed="false">
      <c r="A14" s="5" t="s">
        <v>181</v>
      </c>
      <c r="B14" s="136" t="n">
        <v>1</v>
      </c>
      <c r="C14" s="4"/>
      <c r="D14" s="60" t="s">
        <v>182</v>
      </c>
      <c r="E14" s="4"/>
      <c r="F14" s="135" t="n">
        <f aca="false">MAX(0,F7-F9)</f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true" outlineLevel="0" collapsed="false">
      <c r="A15" s="5" t="s">
        <v>183</v>
      </c>
      <c r="B15" s="87"/>
      <c r="C15" s="4"/>
      <c r="D15" s="60" t="s">
        <v>184</v>
      </c>
      <c r="E15" s="4"/>
      <c r="F15" s="139" t="n">
        <f aca="false">IF($B$12="BBSPA",ЗНИЖКА_BBSPA,IFERROR(SUMIFS(ТАРИФИ_ЗНИЖКИ,ТАРИФИ_НАЗВИ,$B$7),0))</f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true" outlineLevel="0" collapsed="false">
      <c r="A16" s="4"/>
      <c r="B16" s="4"/>
      <c r="C16" s="4"/>
      <c r="D16" s="60" t="s">
        <v>185</v>
      </c>
      <c r="E16" s="4"/>
      <c r="F16" s="135" t="n">
        <f aca="false">IF($U$3=0,0,IFERROR(INDEX(ПЕРЕМИКАЧІ,IF($B$12="BBSPA",2,1),$U$3),0))</f>
        <v>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true" outlineLevel="0" collapsed="false">
      <c r="A17" s="4"/>
      <c r="B17" s="4"/>
      <c r="C17" s="4"/>
      <c r="D17" s="60" t="s">
        <v>186</v>
      </c>
      <c r="E17" s="4"/>
      <c r="F17" s="135" t="n">
        <f aca="false">IF($U$3=0,0,IFERROR(INDEX(ПЕРЕМИКАЧІ,3,$U$3),0))</f>
        <v>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true" outlineLevel="0" collapsed="false">
      <c r="A18" s="4"/>
      <c r="B18" s="4"/>
      <c r="C18" s="4"/>
      <c r="D18" s="60" t="s">
        <v>187</v>
      </c>
      <c r="E18" s="4"/>
      <c r="F18" s="21" t="n">
        <f aca="false" t="array" ref="F18:F18">IF(OR($U$3=0,$U$8=0),0,IFERROR(INDEX(ПАКЕТИ_ЦІНИ,MATCH($U$10&amp;"|"&amp;$B$9,ПАКЕТИ_КЛЮЧ,0),$U$3),0))</f>
        <v>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true" outlineLevel="0" collapsed="false">
      <c r="A19" s="4"/>
      <c r="B19" s="4"/>
      <c r="C19" s="4"/>
      <c r="D19" s="60" t="s">
        <v>188</v>
      </c>
      <c r="E19" s="4"/>
      <c r="F19" s="21" t="n">
        <f aca="false" t="array" ref="F19:F19">IF(OR($U$3=0,$U$8=0),0,IFERROR(INDEX(ПАКЕТИ_ЦІНИ,MATCH($U$10&amp;"|"&amp;$B$9,ПАКЕТИ_КЛЮЧ,0),$U$3+1),0))</f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true" outlineLevel="0" collapsed="false">
      <c r="A20" s="4"/>
      <c r="B20" s="4"/>
      <c r="C20" s="4"/>
      <c r="D20" s="60" t="s">
        <v>189</v>
      </c>
      <c r="E20" s="4"/>
      <c r="F20" s="21" t="n">
        <f aca="false" t="array" ref="F20:F20">IF(OR($U$3=0,$U$9=0),0,IFERROR(INDEX(SPA_ЦІНИ,MATCH(INDEX(ДОВ_SPA,MATCH($B$8,КАТЕГОРІЇ,0)),SPA_РОЛЬ,0),$U$3),0))</f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true" outlineLevel="0" collapsed="false">
      <c r="A21" s="4"/>
      <c r="B21" s="4"/>
      <c r="C21" s="4"/>
      <c r="D21" s="60" t="s">
        <v>190</v>
      </c>
      <c r="E21" s="4"/>
      <c r="F21" s="21" t="n">
        <f aca="false">$B$13*ТВАРИНИ</f>
        <v>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true" outlineLevel="0" collapsed="false">
      <c r="A22" s="4"/>
      <c r="B22" s="4"/>
      <c r="C22" s="4"/>
      <c r="D22" s="60" t="s">
        <v>191</v>
      </c>
      <c r="E22" s="4"/>
      <c r="F22" s="137" t="n">
        <f aca="false">F11*IF($B$9="Вихідні",F13,1)</f>
        <v>10044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21.75" hidden="false" customHeight="true" outlineLevel="0" collapsed="false">
      <c r="A23" s="4"/>
      <c r="B23" s="4"/>
      <c r="C23" s="4"/>
      <c r="D23" s="140" t="s">
        <v>192</v>
      </c>
      <c r="E23" s="4"/>
      <c r="F23" s="141" t="n">
        <f aca="false">IF($F$6&lt;&gt;"OK","",ROUND(F22*(1-F15)/ОКРУГЛЕННЯ,0)*ОКРУГЛЕННЯ+F14*КРОК_ГОСТЯ*(1-F15)+($B$10*F18+$B$11*F19)*(1-F15*F16)+F20*(1-F15*F17)+F21)</f>
        <v>10044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21.75" hidden="false" customHeight="true" outlineLevel="0" collapsed="false">
      <c r="A24" s="4"/>
      <c r="B24" s="4"/>
      <c r="C24" s="4"/>
      <c r="D24" s="140" t="s">
        <v>193</v>
      </c>
      <c r="E24" s="4"/>
      <c r="F24" s="141" t="n">
        <f aca="false">IF(F23="","",F23*$B$14)</f>
        <v>10044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true" outlineLevel="0" collapsed="false">
      <c r="A26" s="4"/>
      <c r="B26" s="4"/>
      <c r="C26" s="4"/>
      <c r="D26" s="12" t="s">
        <v>194</v>
      </c>
      <c r="E26" s="12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true" outlineLevel="0" collapsed="false">
      <c r="A27" s="4"/>
      <c r="B27" s="4"/>
      <c r="C27" s="4"/>
      <c r="D27" s="60" t="s">
        <v>195</v>
      </c>
      <c r="E27" s="4"/>
      <c r="F27" s="33" t="str">
        <f aca="false" t="array" ref="F27:F27">IF($B$15="","",IFERROR(INDEX(ПРАЙС_ЛИСТИ,SUMPRODUCT(MAX((ПЛ_ДАТА_З&lt;=$B$15)*(ПЛ_ДАТА_ПО&gt;=$B$15)*(ПЛ_СТАТУС="Активний")*(ПРАЙС_ЛИСТИ&lt;&gt;"")*ROW(ПРАЙС_ЛИСТИ)))-5),"— не знайдено —"))</f>
        <v/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true" outlineLevel="0" collapsed="false">
      <c r="A28" s="4"/>
      <c r="B28" s="4"/>
      <c r="C28" s="4"/>
      <c r="D28" s="60" t="s">
        <v>196</v>
      </c>
      <c r="E28" s="4"/>
      <c r="F28" s="33" t="str">
        <f aca="false">IF($B$15="","",IF(WEEKDAY($B$15,2)&gt;=ПЕРШИЙ_ВИХІДНИЙ,"Вихідні","Будні"))</f>
        <v/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true" outlineLevel="0" collapsed="false">
      <c r="A29" s="4"/>
      <c r="B29" s="4"/>
      <c r="C29" s="4"/>
      <c r="D29" s="142" t="s">
        <v>197</v>
      </c>
      <c r="E29" s="142"/>
      <c r="F29" s="14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F1"/>
    <mergeCell ref="A3:F3"/>
    <mergeCell ref="A5:B5"/>
    <mergeCell ref="D5:F5"/>
    <mergeCell ref="D26:F26"/>
    <mergeCell ref="D29:F29"/>
  </mergeCells>
  <conditionalFormatting sqref="F6">
    <cfRule type="expression" priority="2" aboveAverage="0" equalAverage="0" bottom="0" percent="0" rank="0" text="" dxfId="6">
      <formula>$F$6="OK"</formula>
    </cfRule>
    <cfRule type="expression" priority="3" aboveAverage="0" equalAverage="0" bottom="0" percent="0" rank="0" text="" dxfId="3">
      <formula>$F$6&lt;&gt;"OK"</formula>
    </cfRule>
  </conditionalFormatting>
  <dataValidations count="7">
    <dataValidation allowBlank="true" errorStyle="stop" operator="between" prompt="Некоректна дата - Введіть справжню дату у діапазоні 2020–2040." showDropDown="false" showErrorMessage="true" showInputMessage="true" sqref="B15" type="date">
      <formula1>DATE(2020,1,1)</formula1>
      <formula2>DATE(2040,12,31)</formula2>
    </dataValidation>
    <dataValidation allowBlank="true" errorStyle="stop" operator="between" prompt="Оберіть зі списку - Значення має бути з випадаючого списку." showDropDown="false" showErrorMessage="true" showInputMessage="true" sqref="B9" type="list">
      <formula1>СПИСОК_ДНІВ</formula1>
      <formula2>0</formula2>
    </dataValidation>
    <dataValidation allowBlank="true" errorStyle="stop" operator="between" prompt="Оберіть зі списку - Значення має бути з випадаючого списку." showDropDown="false" showErrorMessage="true" showInputMessage="true" sqref="B7" type="list">
      <formula1>ТАРИФИ_НАЗВИ</formula1>
      <formula2>0</formula2>
    </dataValidation>
    <dataValidation allowBlank="true" errorStyle="stop" operator="between" prompt="Оберіть зі списку - Значення має бути з випадаючого списку." showDropDown="false" showErrorMessage="true" showInputMessage="true" sqref="B8" type="list">
      <formula1>КАТЕГОРІЇ</formula1>
      <formula2>0</formula2>
    </dataValidation>
    <dataValidation allowBlank="true" errorStyle="stop" operator="between" prompt="Кількість гостей - Введіть ціле число від 0 до 20." showDropDown="false" showErrorMessage="true" showInputMessage="true" sqref="B10:B11 B13" type="decimal">
      <formula1>0</formula1>
      <formula2>20</formula2>
    </dataValidation>
    <dataValidation allowBlank="true" errorStyle="stop" operator="between" prompt="Кількість ночей - Введіть ціле число від 1 до 365." showDropDown="false" showErrorMessage="true" showInputMessage="true" sqref="B14" type="decimal">
      <formula1>1</formula1>
      <formula2>365</formula2>
    </dataValidation>
    <dataValidation allowBlank="true" errorStyle="stop" operator="between" prompt="Оберіть зі списку - Значення має бути з випадаючого списку." showDropDown="false" showErrorMessage="true" showInputMessage="true" sqref="B12" type="list">
      <formula1>СПИСОК_ПАКЕТІВ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&amp;LPhoenix Relax Park Bukovel — розрахунок бронювання&amp;R&amp;D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D8" activeCellId="0" sqref="D8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0"/>
    <col collapsed="false" customWidth="true" hidden="false" outlineLevel="0" max="3" min="3" style="1" width="13"/>
    <col collapsed="false" customWidth="true" hidden="false" outlineLevel="0" max="21" min="4" style="1" width="12"/>
    <col collapsed="false" customWidth="true" hidden="false" outlineLevel="0" max="22" min="22" style="1" width="8.57"/>
    <col collapsed="false" customWidth="true" hidden="true" outlineLevel="0" max="24" min="23" style="1" width="13"/>
    <col collapsed="false" customWidth="true" hidden="false" outlineLevel="0" max="26" min="25" style="1" width="8.57"/>
  </cols>
  <sheetData>
    <row r="1" customFormat="false" ht="27.75" hidden="false" customHeight="true" outlineLevel="0" collapsed="false">
      <c r="A1" s="2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10"/>
      <c r="W1" s="111" t="s">
        <v>199</v>
      </c>
      <c r="X1" s="110"/>
      <c r="Y1" s="110"/>
      <c r="Z1" s="110"/>
    </row>
    <row r="2" customFormat="false" ht="15" hidden="false" customHeight="true" outlineLevel="0" collapsed="false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3" t="n">
        <f aca="false">IFERROR(MATCH($B$3,ПЛ_РЯДОК,0),0)</f>
        <v>5</v>
      </c>
      <c r="X2" s="116" t="s">
        <v>3</v>
      </c>
      <c r="Y2" s="110"/>
      <c r="Z2" s="110"/>
    </row>
    <row r="3" customFormat="false" ht="15" hidden="false" customHeight="true" outlineLevel="0" collapsed="false">
      <c r="A3" s="114" t="s">
        <v>200</v>
      </c>
      <c r="B3" s="57" t="s">
        <v>41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customFormat="false" ht="33.75" hidden="false" customHeight="true" outlineLevel="0" collapsed="false">
      <c r="A4" s="120" t="s">
        <v>201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10"/>
      <c r="W4" s="110"/>
      <c r="X4" s="110"/>
      <c r="Y4" s="110"/>
      <c r="Z4" s="110"/>
    </row>
    <row r="5" customFormat="false" ht="15" hidden="false" customHeight="true" outlineLevel="0" collapsed="false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customFormat="false" ht="15" hidden="false" customHeight="true" outlineLevel="0" collapsed="false">
      <c r="A6" s="110"/>
      <c r="B6" s="110"/>
      <c r="C6" s="110"/>
      <c r="D6" s="115" t="s">
        <v>202</v>
      </c>
      <c r="E6" s="115"/>
      <c r="F6" s="115"/>
      <c r="G6" s="115"/>
      <c r="H6" s="115" t="s">
        <v>203</v>
      </c>
      <c r="I6" s="115"/>
      <c r="J6" s="115"/>
      <c r="K6" s="115"/>
      <c r="L6" s="115"/>
      <c r="M6" s="115"/>
      <c r="N6" s="115" t="s">
        <v>204</v>
      </c>
      <c r="O6" s="115"/>
      <c r="P6" s="115"/>
      <c r="Q6" s="115"/>
      <c r="R6" s="115"/>
      <c r="S6" s="115"/>
      <c r="T6" s="115" t="s">
        <v>205</v>
      </c>
      <c r="U6" s="115"/>
      <c r="V6" s="110"/>
      <c r="W6" s="110"/>
      <c r="X6" s="110"/>
      <c r="Y6" s="110"/>
      <c r="Z6" s="110"/>
    </row>
    <row r="7" customFormat="false" ht="31.5" hidden="false" customHeight="true" outlineLevel="0" collapsed="false">
      <c r="A7" s="51" t="s">
        <v>14</v>
      </c>
      <c r="B7" s="51" t="s">
        <v>206</v>
      </c>
      <c r="C7" s="51" t="s">
        <v>207</v>
      </c>
      <c r="D7" s="51" t="s">
        <v>208</v>
      </c>
      <c r="E7" s="51" t="s">
        <v>209</v>
      </c>
      <c r="F7" s="51" t="s">
        <v>210</v>
      </c>
      <c r="G7" s="51" t="s">
        <v>211</v>
      </c>
      <c r="H7" s="51" t="s">
        <v>208</v>
      </c>
      <c r="I7" s="51" t="s">
        <v>209</v>
      </c>
      <c r="J7" s="51" t="s">
        <v>210</v>
      </c>
      <c r="K7" s="51" t="s">
        <v>211</v>
      </c>
      <c r="L7" s="51" t="s">
        <v>212</v>
      </c>
      <c r="M7" s="51" t="s">
        <v>213</v>
      </c>
      <c r="N7" s="51" t="s">
        <v>208</v>
      </c>
      <c r="O7" s="51" t="s">
        <v>209</v>
      </c>
      <c r="P7" s="51" t="s">
        <v>210</v>
      </c>
      <c r="Q7" s="51" t="s">
        <v>211</v>
      </c>
      <c r="R7" s="51" t="s">
        <v>212</v>
      </c>
      <c r="S7" s="51" t="s">
        <v>213</v>
      </c>
      <c r="T7" s="51" t="s">
        <v>212</v>
      </c>
      <c r="U7" s="51" t="s">
        <v>213</v>
      </c>
      <c r="V7" s="110"/>
      <c r="W7" s="110"/>
      <c r="X7" s="110"/>
      <c r="Y7" s="110"/>
      <c r="Z7" s="110"/>
    </row>
    <row r="8" customFormat="false" ht="15" hidden="false" customHeight="true" outlineLevel="0" collapsed="false">
      <c r="A8" s="143" t="str">
        <f aca="false">IF('Довідник категорій'!A5="","",'Довідник категорій'!A5)</f>
        <v>Міні-котедж</v>
      </c>
      <c r="B8" s="144" t="str">
        <f aca="false" t="array" ref="B8:B8">IF($A8="","",IFERROR(INDEX(ДОВ_ОПОРА,MATCH($A8,КАТЕГОРІЇ,0)),""))</f>
        <v>Міні-котедж</v>
      </c>
      <c r="C8" s="122" t="n">
        <f aca="false" t="array" ref="C8:C8">IF(OR($W$2=0,$A8=""),"",IFERROR(INDEX(БАЗА_RO,MATCH($B8,БАЗА_КАТ,0),$W$2),""))</f>
        <v>4998</v>
      </c>
      <c r="D8" s="145" t="n">
        <f aca="false" t="array" ref="D8:D8">IF(OR($W$2=0,$A8=""),"",IFERROR(INDEX(МНОЖНИКИ,MATCH($A8,МНОЖ_КАТ,0),$W$2),""))</f>
        <v>1</v>
      </c>
      <c r="E8" s="145" t="n">
        <f aca="false" t="array" ref="E8:E8">IF(OR($W$2=0,$A8=""),"",IFERROR(INDEX(МНОЖНИКИ,MATCH($A8,МНОЖ_КАТ,0),$W$2+1),""))</f>
        <v>1.1</v>
      </c>
      <c r="F8" s="122" t="n">
        <f aca="false">IF(OR($C8="",$D8=""),"",ROUND($C8*$D8/ОКРУГЛЕННЯ,0)*ОКРУГЛЕННЯ)</f>
        <v>4998</v>
      </c>
      <c r="G8" s="122" t="n">
        <f aca="false">IF(OR($C8="",$D8="",$E8=""),"",ROUND($C8*$D8*$E8/ОКРУГЛЕННЯ,0)*ОКРУГЛЕННЯ)</f>
        <v>5498</v>
      </c>
      <c r="H8" s="146" t="n">
        <v>1</v>
      </c>
      <c r="I8" s="146" t="n">
        <v>1.1</v>
      </c>
      <c r="J8" s="122" t="n">
        <f aca="false">IF(OR($C8="",H8=""),"",ROUND($C8*H8/ОКРУГЛЕННЯ,0)*ОКРУГЛЕННЯ)</f>
        <v>4998</v>
      </c>
      <c r="K8" s="122" t="n">
        <f aca="false">IF(OR($C8="",H8="",I8=""),"",ROUND($C8*H8*I8/ОКРУГЛЕННЯ,0)*ОКРУГЛЕННЯ)</f>
        <v>5498</v>
      </c>
      <c r="L8" s="122" t="n">
        <f aca="false">IF(OR(J8="",$F8=""),"",J8-$F8)</f>
        <v>0</v>
      </c>
      <c r="M8" s="123" t="n">
        <f aca="false">IF(OR(J8="",$F8="",$F8=0),"",J8/$F8-1)</f>
        <v>0</v>
      </c>
      <c r="N8" s="147" t="n">
        <v>1</v>
      </c>
      <c r="O8" s="147" t="n">
        <v>1.1</v>
      </c>
      <c r="P8" s="122" t="n">
        <f aca="false">IF(OR($C8="",N8=""),"",ROUND($C8*N8/ОКРУГЛЕННЯ,0)*ОКРУГЛЕННЯ)</f>
        <v>4998</v>
      </c>
      <c r="Q8" s="122" t="n">
        <f aca="false">IF(OR($C8="",N8="",O8=""),"",ROUND($C8*N8*O8/ОКРУГЛЕННЯ,0)*ОКРУГЛЕННЯ)</f>
        <v>5498</v>
      </c>
      <c r="R8" s="122" t="n">
        <f aca="false">IF(OR(P8="",$F8=""),"",P8-$F8)</f>
        <v>0</v>
      </c>
      <c r="S8" s="123" t="n">
        <f aca="false">IF(OR(P8="",$F8="",$F8=0),"",P8/$F8-1)</f>
        <v>0</v>
      </c>
      <c r="T8" s="122" t="n">
        <f aca="false">IF(OR(P8="",J8=""),"",P8-J8)</f>
        <v>0</v>
      </c>
      <c r="U8" s="123" t="n">
        <f aca="false">IF(OR(P8="",J8="",J8=0),"",P8/J8-1)</f>
        <v>0</v>
      </c>
      <c r="V8" s="110"/>
      <c r="W8" s="110"/>
      <c r="X8" s="110"/>
      <c r="Y8" s="110"/>
      <c r="Z8" s="110"/>
    </row>
    <row r="9" customFormat="false" ht="15" hidden="false" customHeight="true" outlineLevel="0" collapsed="false">
      <c r="A9" s="148" t="str">
        <f aca="false">IF('Довідник категорій'!A6="","",'Довідник категорій'!A6)</f>
        <v>Міні-котедж East Hill</v>
      </c>
      <c r="B9" s="149" t="str">
        <f aca="false" t="array" ref="B9:B9">IF($A9="","",IFERROR(INDEX(ДОВ_ОПОРА,MATCH($A9,КАТЕГОРІЇ,0)),""))</f>
        <v>Міні-котедж</v>
      </c>
      <c r="C9" s="127" t="n">
        <f aca="false" t="array" ref="C9:C9">IF(OR($W$2=0,$A9=""),"",IFERROR(INDEX(БАЗА_RO,MATCH($B9,БАЗА_КАТ,0),$W$2),""))</f>
        <v>4998</v>
      </c>
      <c r="D9" s="150" t="n">
        <f aca="false" t="array" ref="D9:D9">IF(OR($W$2=0,$A9=""),"",IFERROR(INDEX(МНОЖНИКИ,MATCH($A9,МНОЖ_КАТ,0),$W$2),""))</f>
        <v>1.05</v>
      </c>
      <c r="E9" s="150" t="n">
        <f aca="false" t="array" ref="E9:E9">IF(OR($W$2=0,$A9=""),"",IFERROR(INDEX(МНОЖНИКИ,MATCH($A9,МНОЖ_КАТ,0),$W$2+1),""))</f>
        <v>1.09</v>
      </c>
      <c r="F9" s="127" t="n">
        <f aca="false">IF(OR($C9="",$D9=""),"",ROUND($C9*$D9/ОКРУГЛЕННЯ,0)*ОКРУГЛЕННЯ)</f>
        <v>5248</v>
      </c>
      <c r="G9" s="127" t="n">
        <f aca="false">IF(OR($C9="",$D9="",$E9=""),"",ROUND($C9*$D9*$E9/ОКРУГЛЕННЯ,0)*ОКРУГЛЕННЯ)</f>
        <v>5720</v>
      </c>
      <c r="H9" s="146" t="n">
        <v>1.05</v>
      </c>
      <c r="I9" s="146" t="n">
        <v>1.09</v>
      </c>
      <c r="J9" s="127" t="n">
        <f aca="false">IF(OR($C9="",H9=""),"",ROUND($C9*H9/ОКРУГЛЕННЯ,0)*ОКРУГЛЕННЯ)</f>
        <v>5248</v>
      </c>
      <c r="K9" s="127" t="n">
        <f aca="false">IF(OR($C9="",H9="",I9=""),"",ROUND($C9*H9*I9/ОКРУГЛЕННЯ,0)*ОКРУГЛЕННЯ)</f>
        <v>5720</v>
      </c>
      <c r="L9" s="127" t="n">
        <f aca="false">IF(OR(J9="",$F9=""),"",J9-$F9)</f>
        <v>0</v>
      </c>
      <c r="M9" s="128" t="n">
        <f aca="false">IF(OR(J9="",$F9="",$F9=0),"",J9/$F9-1)</f>
        <v>0</v>
      </c>
      <c r="N9" s="147" t="n">
        <v>1.05</v>
      </c>
      <c r="O9" s="147" t="n">
        <v>1.09</v>
      </c>
      <c r="P9" s="127" t="n">
        <f aca="false">IF(OR($C9="",N9=""),"",ROUND($C9*N9/ОКРУГЛЕННЯ,0)*ОКРУГЛЕННЯ)</f>
        <v>5248</v>
      </c>
      <c r="Q9" s="127" t="n">
        <f aca="false">IF(OR($C9="",N9="",O9=""),"",ROUND($C9*N9*O9/ОКРУГЛЕННЯ,0)*ОКРУГЛЕННЯ)</f>
        <v>5720</v>
      </c>
      <c r="R9" s="127" t="n">
        <f aca="false">IF(OR(P9="",$F9=""),"",P9-$F9)</f>
        <v>0</v>
      </c>
      <c r="S9" s="128" t="n">
        <f aca="false">IF(OR(P9="",$F9="",$F9=0),"",P9/$F9-1)</f>
        <v>0</v>
      </c>
      <c r="T9" s="127" t="n">
        <f aca="false">IF(OR(P9="",J9=""),"",P9-J9)</f>
        <v>0</v>
      </c>
      <c r="U9" s="128" t="n">
        <f aca="false">IF(OR(P9="",J9="",J9=0),"",P9/J9-1)</f>
        <v>0</v>
      </c>
      <c r="V9" s="110"/>
      <c r="W9" s="110"/>
      <c r="X9" s="110"/>
      <c r="Y9" s="110"/>
      <c r="Z9" s="110"/>
    </row>
    <row r="10" customFormat="false" ht="15" hidden="false" customHeight="true" outlineLevel="0" collapsed="false">
      <c r="A10" s="143" t="str">
        <f aca="false">IF('Довідник категорій'!A7="","",'Довідник категорій'!A7)</f>
        <v>Котедж комфорт класу</v>
      </c>
      <c r="B10" s="144" t="str">
        <f aca="false" t="array" ref="B10:B10">IF($A10="","",IFERROR(INDEX(ДОВ_ОПОРА,MATCH($A10,КАТЕГОРІЇ,0)),""))</f>
        <v>Котедж комфорт класу</v>
      </c>
      <c r="C10" s="122" t="n">
        <f aca="false" t="array" ref="C10:C10">IF(OR($W$2=0,$A10=""),"",IFERROR(INDEX(БАЗА_RO,MATCH($B10,БАЗА_КАТ,0),$W$2),""))</f>
        <v>6580</v>
      </c>
      <c r="D10" s="145" t="n">
        <f aca="false" t="array" ref="D10:D10">IF(OR($W$2=0,$A10=""),"",IFERROR(INDEX(МНОЖНИКИ,MATCH($A10,МНОЖ_КАТ,0),$W$2),""))</f>
        <v>1</v>
      </c>
      <c r="E10" s="145" t="n">
        <f aca="false" t="array" ref="E10:E10">IF(OR($W$2=0,$A10=""),"",IFERROR(INDEX(МНОЖНИКИ,MATCH($A10,МНОЖ_КАТ,0),$W$2+1),""))</f>
        <v>1.1</v>
      </c>
      <c r="F10" s="122" t="n">
        <f aca="false">IF(OR($C10="",$D10=""),"",ROUND($C10*$D10/ОКРУГЛЕННЯ,0)*ОКРУГЛЕННЯ)</f>
        <v>6580</v>
      </c>
      <c r="G10" s="122" t="n">
        <f aca="false">IF(OR($C10="",$D10="",$E10=""),"",ROUND($C10*$D10*$E10/ОКРУГЛЕННЯ,0)*ОКРУГЛЕННЯ)</f>
        <v>7238</v>
      </c>
      <c r="H10" s="146" t="n">
        <v>1</v>
      </c>
      <c r="I10" s="146" t="n">
        <v>1.1</v>
      </c>
      <c r="J10" s="122" t="n">
        <f aca="false">IF(OR($C10="",H10=""),"",ROUND($C10*H10/ОКРУГЛЕННЯ,0)*ОКРУГЛЕННЯ)</f>
        <v>6580</v>
      </c>
      <c r="K10" s="122" t="n">
        <f aca="false">IF(OR($C10="",H10="",I10=""),"",ROUND($C10*H10*I10/ОКРУГЛЕННЯ,0)*ОКРУГЛЕННЯ)</f>
        <v>7238</v>
      </c>
      <c r="L10" s="122" t="n">
        <f aca="false">IF(OR(J10="",$F10=""),"",J10-$F10)</f>
        <v>0</v>
      </c>
      <c r="M10" s="123" t="n">
        <f aca="false">IF(OR(J10="",$F10="",$F10=0),"",J10/$F10-1)</f>
        <v>0</v>
      </c>
      <c r="N10" s="147" t="n">
        <v>1</v>
      </c>
      <c r="O10" s="147" t="n">
        <v>1.1</v>
      </c>
      <c r="P10" s="122" t="n">
        <f aca="false">IF(OR($C10="",N10=""),"",ROUND($C10*N10/ОКРУГЛЕННЯ,0)*ОКРУГЛЕННЯ)</f>
        <v>6580</v>
      </c>
      <c r="Q10" s="122" t="n">
        <f aca="false">IF(OR($C10="",N10="",O10=""),"",ROUND($C10*N10*O10/ОКРУГЛЕННЯ,0)*ОКРУГЛЕННЯ)</f>
        <v>7238</v>
      </c>
      <c r="R10" s="122" t="n">
        <f aca="false">IF(OR(P10="",$F10=""),"",P10-$F10)</f>
        <v>0</v>
      </c>
      <c r="S10" s="123" t="n">
        <f aca="false">IF(OR(P10="",$F10="",$F10=0),"",P10/$F10-1)</f>
        <v>0</v>
      </c>
      <c r="T10" s="122" t="n">
        <f aca="false">IF(OR(P10="",J10=""),"",P10-J10)</f>
        <v>0</v>
      </c>
      <c r="U10" s="123" t="n">
        <f aca="false">IF(OR(P10="",J10="",J10=0),"",P10/J10-1)</f>
        <v>0</v>
      </c>
      <c r="V10" s="110"/>
      <c r="W10" s="110"/>
      <c r="X10" s="110"/>
      <c r="Y10" s="110"/>
      <c r="Z10" s="110"/>
    </row>
    <row r="11" customFormat="false" ht="15" hidden="false" customHeight="true" outlineLevel="0" collapsed="false">
      <c r="A11" s="148" t="str">
        <f aca="false">IF('Довідник категорій'!A8="","",'Довідник категорій'!A8)</f>
        <v>Шале преміум</v>
      </c>
      <c r="B11" s="149" t="str">
        <f aca="false" t="array" ref="B11:B11">IF($A11="","",IFERROR(INDEX(ДОВ_ОПОРА,MATCH($A11,КАТЕГОРІЇ,0)),""))</f>
        <v>Котедж комфорт класу</v>
      </c>
      <c r="C11" s="127" t="n">
        <f aca="false" t="array" ref="C11:C11">IF(OR($W$2=0,$A11=""),"",IFERROR(INDEX(БАЗА_RO,MATCH($B11,БАЗА_КАТ,0),$W$2),""))</f>
        <v>6580</v>
      </c>
      <c r="D11" s="150" t="n">
        <f aca="false" t="array" ref="D11:D11">IF(OR($W$2=0,$A11=""),"",IFERROR(INDEX(МНОЖНИКИ,MATCH($A11,МНОЖ_КАТ,0),$W$2),""))</f>
        <v>1.05</v>
      </c>
      <c r="E11" s="150" t="n">
        <f aca="false" t="array" ref="E11:E11">IF(OR($W$2=0,$A11=""),"",IFERROR(INDEX(МНОЖНИКИ,MATCH($A11,МНОЖ_КАТ,0),$W$2+1),""))</f>
        <v>1.08</v>
      </c>
      <c r="F11" s="127" t="n">
        <f aca="false">IF(OR($C11="",$D11=""),"",ROUND($C11*$D11/ОКРУГЛЕННЯ,0)*ОКРУГЛЕННЯ)</f>
        <v>6909</v>
      </c>
      <c r="G11" s="127" t="n">
        <f aca="false">IF(OR($C11="",$D11="",$E11=""),"",ROUND($C11*$D11*$E11/ОКРУГЛЕННЯ,0)*ОКРУГЛЕННЯ)</f>
        <v>7462</v>
      </c>
      <c r="H11" s="146" t="n">
        <v>1.05</v>
      </c>
      <c r="I11" s="146" t="n">
        <v>1.08</v>
      </c>
      <c r="J11" s="127" t="n">
        <f aca="false">IF(OR($C11="",H11=""),"",ROUND($C11*H11/ОКРУГЛЕННЯ,0)*ОКРУГЛЕННЯ)</f>
        <v>6909</v>
      </c>
      <c r="K11" s="127" t="n">
        <f aca="false">IF(OR($C11="",H11="",I11=""),"",ROUND($C11*H11*I11/ОКРУГЛЕННЯ,0)*ОКРУГЛЕННЯ)</f>
        <v>7462</v>
      </c>
      <c r="L11" s="127" t="n">
        <f aca="false">IF(OR(J11="",$F11=""),"",J11-$F11)</f>
        <v>0</v>
      </c>
      <c r="M11" s="128" t="n">
        <f aca="false">IF(OR(J11="",$F11="",$F11=0),"",J11/$F11-1)</f>
        <v>0</v>
      </c>
      <c r="N11" s="147" t="n">
        <v>1.05</v>
      </c>
      <c r="O11" s="147" t="n">
        <v>1.08</v>
      </c>
      <c r="P11" s="127" t="n">
        <f aca="false">IF(OR($C11="",N11=""),"",ROUND($C11*N11/ОКРУГЛЕННЯ,0)*ОКРУГЛЕННЯ)</f>
        <v>6909</v>
      </c>
      <c r="Q11" s="127" t="n">
        <f aca="false">IF(OR($C11="",N11="",O11=""),"",ROUND($C11*N11*O11/ОКРУГЛЕННЯ,0)*ОКРУГЛЕННЯ)</f>
        <v>7462</v>
      </c>
      <c r="R11" s="127" t="n">
        <f aca="false">IF(OR(P11="",$F11=""),"",P11-$F11)</f>
        <v>0</v>
      </c>
      <c r="S11" s="128" t="n">
        <f aca="false">IF(OR(P11="",$F11="",$F11=0),"",P11/$F11-1)</f>
        <v>0</v>
      </c>
      <c r="T11" s="127" t="n">
        <f aca="false">IF(OR(P11="",J11=""),"",P11-J11)</f>
        <v>0</v>
      </c>
      <c r="U11" s="128" t="n">
        <f aca="false">IF(OR(P11="",J11="",J11=0),"",P11/J11-1)</f>
        <v>0</v>
      </c>
      <c r="V11" s="110"/>
      <c r="W11" s="110"/>
      <c r="X11" s="110"/>
      <c r="Y11" s="110"/>
      <c r="Z11" s="110"/>
    </row>
    <row r="12" customFormat="false" ht="15" hidden="false" customHeight="true" outlineLevel="0" collapsed="false">
      <c r="A12" s="143" t="str">
        <f aca="false">IF('Довідник категорій'!A9="","",'Довідник категорій'!A9)</f>
        <v>Шале преміум збільшене</v>
      </c>
      <c r="B12" s="144" t="str">
        <f aca="false" t="array" ref="B12:B12">IF($A12="","",IFERROR(INDEX(ДОВ_ОПОРА,MATCH($A12,КАТЕГОРІЇ,0)),""))</f>
        <v>Котедж комфорт класу</v>
      </c>
      <c r="C12" s="122" t="n">
        <f aca="false" t="array" ref="C12:C12">IF(OR($W$2=0,$A12=""),"",IFERROR(INDEX(БАЗА_RO,MATCH($B12,БАЗА_КАТ,0),$W$2),""))</f>
        <v>6580</v>
      </c>
      <c r="D12" s="145" t="n">
        <f aca="false" t="array" ref="D12:D12">IF(OR($W$2=0,$A12=""),"",IFERROR(INDEX(МНОЖНИКИ,MATCH($A12,МНОЖ_КАТ,0),$W$2),""))</f>
        <v>1.1</v>
      </c>
      <c r="E12" s="145" t="n">
        <f aca="false" t="array" ref="E12:E12">IF(OR($W$2=0,$A12=""),"",IFERROR(INDEX(МНОЖНИКИ,MATCH($A12,МНОЖ_КАТ,0),$W$2+1),""))</f>
        <v>1.07</v>
      </c>
      <c r="F12" s="122" t="n">
        <f aca="false">IF(OR($C12="",$D12=""),"",ROUND($C12*$D12/ОКРУГЛЕННЯ,0)*ОКРУГЛЕННЯ)</f>
        <v>7238</v>
      </c>
      <c r="G12" s="122" t="n">
        <f aca="false">IF(OR($C12="",$D12="",$E12=""),"",ROUND($C12*$D12*$E12/ОКРУГЛЕННЯ,0)*ОКРУГЛЕННЯ)</f>
        <v>7745</v>
      </c>
      <c r="H12" s="146" t="n">
        <v>1.1</v>
      </c>
      <c r="I12" s="146" t="n">
        <v>1.07</v>
      </c>
      <c r="J12" s="122" t="n">
        <f aca="false">IF(OR($C12="",H12=""),"",ROUND($C12*H12/ОКРУГЛЕННЯ,0)*ОКРУГЛЕННЯ)</f>
        <v>7238</v>
      </c>
      <c r="K12" s="122" t="n">
        <f aca="false">IF(OR($C12="",H12="",I12=""),"",ROUND($C12*H12*I12/ОКРУГЛЕННЯ,0)*ОКРУГЛЕННЯ)</f>
        <v>7745</v>
      </c>
      <c r="L12" s="122" t="n">
        <f aca="false">IF(OR(J12="",$F12=""),"",J12-$F12)</f>
        <v>0</v>
      </c>
      <c r="M12" s="123" t="n">
        <f aca="false">IF(OR(J12="",$F12="",$F12=0),"",J12/$F12-1)</f>
        <v>0</v>
      </c>
      <c r="N12" s="147" t="n">
        <v>1.1</v>
      </c>
      <c r="O12" s="147" t="n">
        <v>1.07</v>
      </c>
      <c r="P12" s="122" t="n">
        <f aca="false">IF(OR($C12="",N12=""),"",ROUND($C12*N12/ОКРУГЛЕННЯ,0)*ОКРУГЛЕННЯ)</f>
        <v>7238</v>
      </c>
      <c r="Q12" s="122" t="n">
        <f aca="false">IF(OR($C12="",N12="",O12=""),"",ROUND($C12*N12*O12/ОКРУГЛЕННЯ,0)*ОКРУГЛЕННЯ)</f>
        <v>7745</v>
      </c>
      <c r="R12" s="122" t="n">
        <f aca="false">IF(OR(P12="",$F12=""),"",P12-$F12)</f>
        <v>0</v>
      </c>
      <c r="S12" s="123" t="n">
        <f aca="false">IF(OR(P12="",$F12="",$F12=0),"",P12/$F12-1)</f>
        <v>0</v>
      </c>
      <c r="T12" s="122" t="n">
        <f aca="false">IF(OR(P12="",J12=""),"",P12-J12)</f>
        <v>0</v>
      </c>
      <c r="U12" s="123" t="n">
        <f aca="false">IF(OR(P12="",J12="",J12=0),"",P12/J12-1)</f>
        <v>0</v>
      </c>
      <c r="V12" s="110"/>
      <c r="W12" s="110"/>
      <c r="X12" s="110"/>
      <c r="Y12" s="110"/>
      <c r="Z12" s="110"/>
    </row>
    <row r="13" customFormat="false" ht="15" hidden="false" customHeight="true" outlineLevel="0" collapsed="false">
      <c r="A13" s="148" t="str">
        <f aca="false">IF('Довідник категорій'!A10="","",'Довідник категорій'!A10)</f>
        <v>Шале преміум збільшене East Hill</v>
      </c>
      <c r="B13" s="149" t="str">
        <f aca="false" t="array" ref="B13:B13">IF($A13="","",IFERROR(INDEX(ДОВ_ОПОРА,MATCH($A13,КАТЕГОРІЇ,0)),""))</f>
        <v>Котедж комфорт класу</v>
      </c>
      <c r="C13" s="127" t="n">
        <f aca="false" t="array" ref="C13:C13">IF(OR($W$2=0,$A13=""),"",IFERROR(INDEX(БАЗА_RO,MATCH($B13,БАЗА_КАТ,0),$W$2),""))</f>
        <v>6580</v>
      </c>
      <c r="D13" s="150" t="n">
        <f aca="false" t="array" ref="D13:D13">IF(OR($W$2=0,$A13=""),"",IFERROR(INDEX(МНОЖНИКИ,MATCH($A13,МНОЖ_КАТ,0),$W$2),""))</f>
        <v>1.15</v>
      </c>
      <c r="E13" s="150" t="n">
        <f aca="false" t="array" ref="E13:E13">IF(OR($W$2=0,$A13=""),"",IFERROR(INDEX(МНОЖНИКИ,MATCH($A13,МНОЖ_КАТ,0),$W$2+1),""))</f>
        <v>1.06</v>
      </c>
      <c r="F13" s="127" t="n">
        <f aca="false">IF(OR($C13="",$D13=""),"",ROUND($C13*$D13/ОКРУГЛЕННЯ,0)*ОКРУГЛЕННЯ)</f>
        <v>7567</v>
      </c>
      <c r="G13" s="127" t="n">
        <f aca="false">IF(OR($C13="",$D13="",$E13=""),"",ROUND($C13*$D13*$E13/ОКРУГЛЕННЯ,0)*ОКРУГЛЕННЯ)</f>
        <v>8021</v>
      </c>
      <c r="H13" s="146" t="n">
        <v>1.15</v>
      </c>
      <c r="I13" s="146" t="n">
        <v>1.06</v>
      </c>
      <c r="J13" s="127" t="n">
        <f aca="false">IF(OR($C13="",H13=""),"",ROUND($C13*H13/ОКРУГЛЕННЯ,0)*ОКРУГЛЕННЯ)</f>
        <v>7567</v>
      </c>
      <c r="K13" s="127" t="n">
        <f aca="false">IF(OR($C13="",H13="",I13=""),"",ROUND($C13*H13*I13/ОКРУГЛЕННЯ,0)*ОКРУГЛЕННЯ)</f>
        <v>8021</v>
      </c>
      <c r="L13" s="127" t="n">
        <f aca="false">IF(OR(J13="",$F13=""),"",J13-$F13)</f>
        <v>0</v>
      </c>
      <c r="M13" s="128" t="n">
        <f aca="false">IF(OR(J13="",$F13="",$F13=0),"",J13/$F13-1)</f>
        <v>0</v>
      </c>
      <c r="N13" s="147" t="n">
        <v>1.15</v>
      </c>
      <c r="O13" s="147" t="n">
        <v>1.06</v>
      </c>
      <c r="P13" s="127" t="n">
        <f aca="false">IF(OR($C13="",N13=""),"",ROUND($C13*N13/ОКРУГЛЕННЯ,0)*ОКРУГЛЕННЯ)</f>
        <v>7567</v>
      </c>
      <c r="Q13" s="127" t="n">
        <f aca="false">IF(OR($C13="",N13="",O13=""),"",ROUND($C13*N13*O13/ОКРУГЛЕННЯ,0)*ОКРУГЛЕННЯ)</f>
        <v>8021</v>
      </c>
      <c r="R13" s="127" t="n">
        <f aca="false">IF(OR(P13="",$F13=""),"",P13-$F13)</f>
        <v>0</v>
      </c>
      <c r="S13" s="128" t="n">
        <f aca="false">IF(OR(P13="",$F13="",$F13=0),"",P13/$F13-1)</f>
        <v>0</v>
      </c>
      <c r="T13" s="127" t="n">
        <f aca="false">IF(OR(P13="",J13=""),"",P13-J13)</f>
        <v>0</v>
      </c>
      <c r="U13" s="128" t="n">
        <f aca="false">IF(OR(P13="",J13="",J13=0),"",P13/J13-1)</f>
        <v>0</v>
      </c>
      <c r="V13" s="110"/>
      <c r="W13" s="110"/>
      <c r="X13" s="110"/>
      <c r="Y13" s="110"/>
      <c r="Z13" s="110"/>
    </row>
    <row r="14" customFormat="false" ht="15" hidden="false" customHeight="true" outlineLevel="0" collapsed="false">
      <c r="A14" s="143" t="str">
        <f aca="false">IF('Довідник категорій'!A11="","",'Довідник категорій'!A11)</f>
        <v>Президентське шале</v>
      </c>
      <c r="B14" s="144" t="str">
        <f aca="false" t="array" ref="B14:B14">IF($A14="","",IFERROR(INDEX(ДОВ_ОПОРА,MATCH($A14,КАТЕГОРІЇ,0)),""))</f>
        <v>Котедж комфорт класу</v>
      </c>
      <c r="C14" s="122" t="n">
        <f aca="false" t="array" ref="C14:C14">IF(OR($W$2=0,$A14=""),"",IFERROR(INDEX(БАЗА_RO,MATCH($B14,БАЗА_КАТ,0),$W$2),""))</f>
        <v>6580</v>
      </c>
      <c r="D14" s="145" t="n">
        <f aca="false" t="array" ref="D14:D14">IF(OR($W$2=0,$A14=""),"",IFERROR(INDEX(МНОЖНИКИ,MATCH($A14,МНОЖ_КАТ,0),$W$2),""))</f>
        <v>1.5</v>
      </c>
      <c r="E14" s="145" t="n">
        <f aca="false" t="array" ref="E14:E14">IF(OR($W$2=0,$A14=""),"",IFERROR(INDEX(МНОЖНИКИ,MATCH($A14,МНОЖ_КАТ,0),$W$2+1),""))</f>
        <v>1.04</v>
      </c>
      <c r="F14" s="122" t="n">
        <f aca="false">IF(OR($C14="",$D14=""),"",ROUND($C14*$D14/ОКРУГЛЕННЯ,0)*ОКРУГЛЕННЯ)</f>
        <v>9870</v>
      </c>
      <c r="G14" s="122" t="n">
        <f aca="false">IF(OR($C14="",$D14="",$E14=""),"",ROUND($C14*$D14*$E14/ОКРУГЛЕННЯ,0)*ОКРУГЛЕННЯ)</f>
        <v>10265</v>
      </c>
      <c r="H14" s="146" t="n">
        <v>1.5</v>
      </c>
      <c r="I14" s="146" t="n">
        <v>1.04</v>
      </c>
      <c r="J14" s="122" t="n">
        <f aca="false">IF(OR($C14="",H14=""),"",ROUND($C14*H14/ОКРУГЛЕННЯ,0)*ОКРУГЛЕННЯ)</f>
        <v>9870</v>
      </c>
      <c r="K14" s="122" t="n">
        <f aca="false">IF(OR($C14="",H14="",I14=""),"",ROUND($C14*H14*I14/ОКРУГЛЕННЯ,0)*ОКРУГЛЕННЯ)</f>
        <v>10265</v>
      </c>
      <c r="L14" s="122" t="n">
        <f aca="false">IF(OR(J14="",$F14=""),"",J14-$F14)</f>
        <v>0</v>
      </c>
      <c r="M14" s="123" t="n">
        <f aca="false">IF(OR(J14="",$F14="",$F14=0),"",J14/$F14-1)</f>
        <v>0</v>
      </c>
      <c r="N14" s="147" t="n">
        <v>1.5</v>
      </c>
      <c r="O14" s="147" t="n">
        <v>1.04</v>
      </c>
      <c r="P14" s="122" t="n">
        <f aca="false">IF(OR($C14="",N14=""),"",ROUND($C14*N14/ОКРУГЛЕННЯ,0)*ОКРУГЛЕННЯ)</f>
        <v>9870</v>
      </c>
      <c r="Q14" s="122" t="n">
        <f aca="false">IF(OR($C14="",N14="",O14=""),"",ROUND($C14*N14*O14/ОКРУГЛЕННЯ,0)*ОКРУГЛЕННЯ)</f>
        <v>10265</v>
      </c>
      <c r="R14" s="122" t="n">
        <f aca="false">IF(OR(P14="",$F14=""),"",P14-$F14)</f>
        <v>0</v>
      </c>
      <c r="S14" s="123" t="n">
        <f aca="false">IF(OR(P14="",$F14="",$F14=0),"",P14/$F14-1)</f>
        <v>0</v>
      </c>
      <c r="T14" s="122" t="n">
        <f aca="false">IF(OR(P14="",J14=""),"",P14-J14)</f>
        <v>0</v>
      </c>
      <c r="U14" s="123" t="n">
        <f aca="false">IF(OR(P14="",J14="",J14=0),"",P14/J14-1)</f>
        <v>0</v>
      </c>
      <c r="V14" s="110"/>
      <c r="W14" s="110"/>
      <c r="X14" s="110"/>
      <c r="Y14" s="110"/>
      <c r="Z14" s="110"/>
    </row>
    <row r="15" customFormat="false" ht="15" hidden="false" customHeight="true" outlineLevel="0" collapsed="false">
      <c r="A15" s="148" t="str">
        <f aca="false">IF('Довідник категорій'!A12="","",'Довідник категорій'!A12)</f>
        <v>Апартаменти стандартні 20 м²</v>
      </c>
      <c r="B15" s="149" t="str">
        <f aca="false" t="array" ref="B15:B15">IF($A15="","",IFERROR(INDEX(ДОВ_ОПОРА,MATCH($A15,КАТЕГОРІЇ,0)),""))</f>
        <v>Апартаменти стандартні 20 м²</v>
      </c>
      <c r="C15" s="127" t="n">
        <f aca="false" t="array" ref="C15:C15">IF(OR($W$2=0,$A15=""),"",IFERROR(INDEX(БАЗА_RO,MATCH($B15,БАЗА_КАТ,0),$W$2),""))</f>
        <v>2370</v>
      </c>
      <c r="D15" s="150" t="n">
        <f aca="false" t="array" ref="D15:D15">IF(OR($W$2=0,$A15=""),"",IFERROR(INDEX(МНОЖНИКИ,MATCH($A15,МНОЖ_КАТ,0),$W$2),""))</f>
        <v>1</v>
      </c>
      <c r="E15" s="150" t="n">
        <f aca="false" t="array" ref="E15:E15">IF(OR($W$2=0,$A15=""),"",IFERROR(INDEX(МНОЖНИКИ,MATCH($A15,МНОЖ_КАТ,0),$W$2+1),""))</f>
        <v>1.1</v>
      </c>
      <c r="F15" s="127" t="n">
        <f aca="false">IF(OR($C15="",$D15=""),"",ROUND($C15*$D15/ОКРУГЛЕННЯ,0)*ОКРУГЛЕННЯ)</f>
        <v>2370</v>
      </c>
      <c r="G15" s="127" t="n">
        <f aca="false">IF(OR($C15="",$D15="",$E15=""),"",ROUND($C15*$D15*$E15/ОКРУГЛЕННЯ,0)*ОКРУГЛЕННЯ)</f>
        <v>2607</v>
      </c>
      <c r="H15" s="146" t="n">
        <v>1</v>
      </c>
      <c r="I15" s="146" t="n">
        <v>1.1</v>
      </c>
      <c r="J15" s="127" t="n">
        <f aca="false">IF(OR($C15="",H15=""),"",ROUND($C15*H15/ОКРУГЛЕННЯ,0)*ОКРУГЛЕННЯ)</f>
        <v>2370</v>
      </c>
      <c r="K15" s="127" t="n">
        <f aca="false">IF(OR($C15="",H15="",I15=""),"",ROUND($C15*H15*I15/ОКРУГЛЕННЯ,0)*ОКРУГЛЕННЯ)</f>
        <v>2607</v>
      </c>
      <c r="L15" s="127" t="n">
        <f aca="false">IF(OR(J15="",$F15=""),"",J15-$F15)</f>
        <v>0</v>
      </c>
      <c r="M15" s="128" t="n">
        <f aca="false">IF(OR(J15="",$F15="",$F15=0),"",J15/$F15-1)</f>
        <v>0</v>
      </c>
      <c r="N15" s="147" t="n">
        <v>1</v>
      </c>
      <c r="O15" s="147" t="n">
        <v>1.1</v>
      </c>
      <c r="P15" s="127" t="n">
        <f aca="false">IF(OR($C15="",N15=""),"",ROUND($C15*N15/ОКРУГЛЕННЯ,0)*ОКРУГЛЕННЯ)</f>
        <v>2370</v>
      </c>
      <c r="Q15" s="127" t="n">
        <f aca="false">IF(OR($C15="",N15="",O15=""),"",ROUND($C15*N15*O15/ОКРУГЛЕННЯ,0)*ОКРУГЛЕННЯ)</f>
        <v>2607</v>
      </c>
      <c r="R15" s="127" t="n">
        <f aca="false">IF(OR(P15="",$F15=""),"",P15-$F15)</f>
        <v>0</v>
      </c>
      <c r="S15" s="128" t="n">
        <f aca="false">IF(OR(P15="",$F15="",$F15=0),"",P15/$F15-1)</f>
        <v>0</v>
      </c>
      <c r="T15" s="127" t="n">
        <f aca="false">IF(OR(P15="",J15=""),"",P15-J15)</f>
        <v>0</v>
      </c>
      <c r="U15" s="128" t="n">
        <f aca="false">IF(OR(P15="",J15="",J15=0),"",P15/J15-1)</f>
        <v>0</v>
      </c>
      <c r="V15" s="110"/>
      <c r="W15" s="110"/>
      <c r="X15" s="110"/>
      <c r="Y15" s="110"/>
      <c r="Z15" s="110"/>
    </row>
    <row r="16" customFormat="false" ht="15" hidden="false" customHeight="true" outlineLevel="0" collapsed="false">
      <c r="A16" s="143" t="str">
        <f aca="false">IF('Довідник категорій'!A13="","",'Довідник категорій'!A13)</f>
        <v>Апартаменти покращені 28 м²</v>
      </c>
      <c r="B16" s="144" t="str">
        <f aca="false" t="array" ref="B16:B16">IF($A16="","",IFERROR(INDEX(ДОВ_ОПОРА,MATCH($A16,КАТЕГОРІЇ,0)),""))</f>
        <v>Апартаменти стандартні 20 м²</v>
      </c>
      <c r="C16" s="122" t="n">
        <f aca="false" t="array" ref="C16:C16">IF(OR($W$2=0,$A16=""),"",IFERROR(INDEX(БАЗА_RO,MATCH($B16,БАЗА_КАТ,0),$W$2),""))</f>
        <v>2370</v>
      </c>
      <c r="D16" s="145" t="n">
        <f aca="false" t="array" ref="D16:D16">IF(OR($W$2=0,$A16=""),"",IFERROR(INDEX(МНОЖНИКИ,MATCH($A16,МНОЖ_КАТ,0),$W$2),""))</f>
        <v>1.15</v>
      </c>
      <c r="E16" s="145" t="n">
        <f aca="false" t="array" ref="E16:E16">IF(OR($W$2=0,$A16=""),"",IFERROR(INDEX(МНОЖНИКИ,MATCH($A16,МНОЖ_КАТ,0),$W$2+1),""))</f>
        <v>1.1</v>
      </c>
      <c r="F16" s="122" t="n">
        <f aca="false">IF(OR($C16="",$D16=""),"",ROUND($C16*$D16/ОКРУГЛЕННЯ,0)*ОКРУГЛЕННЯ)</f>
        <v>2726</v>
      </c>
      <c r="G16" s="122" t="n">
        <f aca="false">IF(OR($C16="",$D16="",$E16=""),"",ROUND($C16*$D16*$E16/ОКРУГЛЕННЯ,0)*ОКРУГЛЕННЯ)</f>
        <v>2998</v>
      </c>
      <c r="H16" s="146" t="n">
        <v>1.15</v>
      </c>
      <c r="I16" s="146" t="n">
        <v>1.1</v>
      </c>
      <c r="J16" s="122" t="n">
        <f aca="false">IF(OR($C16="",H16=""),"",ROUND($C16*H16/ОКРУГЛЕННЯ,0)*ОКРУГЛЕННЯ)</f>
        <v>2726</v>
      </c>
      <c r="K16" s="122" t="n">
        <f aca="false">IF(OR($C16="",H16="",I16=""),"",ROUND($C16*H16*I16/ОКРУГЛЕННЯ,0)*ОКРУГЛЕННЯ)</f>
        <v>2998</v>
      </c>
      <c r="L16" s="122" t="n">
        <f aca="false">IF(OR(J16="",$F16=""),"",J16-$F16)</f>
        <v>0</v>
      </c>
      <c r="M16" s="123" t="n">
        <f aca="false">IF(OR(J16="",$F16="",$F16=0),"",J16/$F16-1)</f>
        <v>0</v>
      </c>
      <c r="N16" s="147" t="n">
        <v>1.15</v>
      </c>
      <c r="O16" s="147" t="n">
        <v>1.1</v>
      </c>
      <c r="P16" s="122" t="n">
        <f aca="false">IF(OR($C16="",N16=""),"",ROUND($C16*N16/ОКРУГЛЕННЯ,0)*ОКРУГЛЕННЯ)</f>
        <v>2726</v>
      </c>
      <c r="Q16" s="122" t="n">
        <f aca="false">IF(OR($C16="",N16="",O16=""),"",ROUND($C16*N16*O16/ОКРУГЛЕННЯ,0)*ОКРУГЛЕННЯ)</f>
        <v>2998</v>
      </c>
      <c r="R16" s="122" t="n">
        <f aca="false">IF(OR(P16="",$F16=""),"",P16-$F16)</f>
        <v>0</v>
      </c>
      <c r="S16" s="123" t="n">
        <f aca="false">IF(OR(P16="",$F16="",$F16=0),"",P16/$F16-1)</f>
        <v>0</v>
      </c>
      <c r="T16" s="122" t="n">
        <f aca="false">IF(OR(P16="",J16=""),"",P16-J16)</f>
        <v>0</v>
      </c>
      <c r="U16" s="123" t="n">
        <f aca="false">IF(OR(P16="",J16="",J16=0),"",P16/J16-1)</f>
        <v>0</v>
      </c>
      <c r="V16" s="110"/>
      <c r="W16" s="110"/>
      <c r="X16" s="110"/>
      <c r="Y16" s="110"/>
      <c r="Z16" s="110"/>
    </row>
    <row r="17" customFormat="false" ht="15" hidden="false" customHeight="true" outlineLevel="0" collapsed="false">
      <c r="A17" s="148" t="str">
        <f aca="false">IF('Довідник категорій'!A14="","",'Довідник категорій'!A14)</f>
        <v>Апартаменти Люкс 25 м²</v>
      </c>
      <c r="B17" s="149" t="str">
        <f aca="false" t="array" ref="B17:B17">IF($A17="","",IFERROR(INDEX(ДОВ_ОПОРА,MATCH($A17,КАТЕГОРІЇ,0)),""))</f>
        <v>Апартаменти стандартні 20 м²</v>
      </c>
      <c r="C17" s="127" t="n">
        <f aca="false" t="array" ref="C17:C17">IF(OR($W$2=0,$A17=""),"",IFERROR(INDEX(БАЗА_RO,MATCH($B17,БАЗА_КАТ,0),$W$2),""))</f>
        <v>2370</v>
      </c>
      <c r="D17" s="150" t="n">
        <f aca="false" t="array" ref="D17:D17">IF(OR($W$2=0,$A17=""),"",IFERROR(INDEX(МНОЖНИКИ,MATCH($A17,МНОЖ_КАТ,0),$W$2),""))</f>
        <v>1.35</v>
      </c>
      <c r="E17" s="150" t="n">
        <f aca="false" t="array" ref="E17:E17">IF(OR($W$2=0,$A17=""),"",IFERROR(INDEX(МНОЖНИКИ,MATCH($A17,МНОЖ_КАТ,0),$W$2+1),""))</f>
        <v>1.07</v>
      </c>
      <c r="F17" s="127" t="n">
        <f aca="false">IF(OR($C17="",$D17=""),"",ROUND($C17*$D17/ОКРУГЛЕННЯ,0)*ОКРУГЛЕННЯ)</f>
        <v>3200</v>
      </c>
      <c r="G17" s="127" t="n">
        <f aca="false">IF(OR($C17="",$D17="",$E17=""),"",ROUND($C17*$D17*$E17/ОКРУГЛЕННЯ,0)*ОКРУГЛЕННЯ)</f>
        <v>3423</v>
      </c>
      <c r="H17" s="146" t="n">
        <v>1.35</v>
      </c>
      <c r="I17" s="146" t="n">
        <v>1.07</v>
      </c>
      <c r="J17" s="127" t="n">
        <f aca="false">IF(OR($C17="",H17=""),"",ROUND($C17*H17/ОКРУГЛЕННЯ,0)*ОКРУГЛЕННЯ)</f>
        <v>3200</v>
      </c>
      <c r="K17" s="127" t="n">
        <f aca="false">IF(OR($C17="",H17="",I17=""),"",ROUND($C17*H17*I17/ОКРУГЛЕННЯ,0)*ОКРУГЛЕННЯ)</f>
        <v>3423</v>
      </c>
      <c r="L17" s="127" t="n">
        <f aca="false">IF(OR(J17="",$F17=""),"",J17-$F17)</f>
        <v>0</v>
      </c>
      <c r="M17" s="128" t="n">
        <f aca="false">IF(OR(J17="",$F17="",$F17=0),"",J17/$F17-1)</f>
        <v>0</v>
      </c>
      <c r="N17" s="147" t="n">
        <v>1.35</v>
      </c>
      <c r="O17" s="147" t="n">
        <v>1.07</v>
      </c>
      <c r="P17" s="127" t="n">
        <f aca="false">IF(OR($C17="",N17=""),"",ROUND($C17*N17/ОКРУГЛЕННЯ,0)*ОКРУГЛЕННЯ)</f>
        <v>3200</v>
      </c>
      <c r="Q17" s="127" t="n">
        <f aca="false">IF(OR($C17="",N17="",O17=""),"",ROUND($C17*N17*O17/ОКРУГЛЕННЯ,0)*ОКРУГЛЕННЯ)</f>
        <v>3423</v>
      </c>
      <c r="R17" s="127" t="n">
        <f aca="false">IF(OR(P17="",$F17=""),"",P17-$F17)</f>
        <v>0</v>
      </c>
      <c r="S17" s="128" t="n">
        <f aca="false">IF(OR(P17="",$F17="",$F17=0),"",P17/$F17-1)</f>
        <v>0</v>
      </c>
      <c r="T17" s="127" t="n">
        <f aca="false">IF(OR(P17="",J17=""),"",P17-J17)</f>
        <v>0</v>
      </c>
      <c r="U17" s="128" t="n">
        <f aca="false">IF(OR(P17="",J17="",J17=0),"",P17/J17-1)</f>
        <v>0</v>
      </c>
      <c r="V17" s="110"/>
      <c r="W17" s="110"/>
      <c r="X17" s="110"/>
      <c r="Y17" s="110"/>
      <c r="Z17" s="110"/>
    </row>
    <row r="18" customFormat="false" ht="15" hidden="false" customHeight="true" outlineLevel="0" collapsed="false">
      <c r="A18" s="143" t="str">
        <f aca="false">IF('Довідник категорій'!A15="","",'Довідник категорій'!A15)</f>
        <v>Люкс зі спальнею та вітальнею</v>
      </c>
      <c r="B18" s="144" t="str">
        <f aca="false" t="array" ref="B18:B18">IF($A18="","",IFERROR(INDEX(ДОВ_ОПОРА,MATCH($A18,КАТЕГОРІЇ,0)),""))</f>
        <v>Апартаменти стандартні 20 м²</v>
      </c>
      <c r="C18" s="122" t="n">
        <f aca="false" t="array" ref="C18:C18">IF(OR($W$2=0,$A18=""),"",IFERROR(INDEX(БАЗА_RO,MATCH($B18,БАЗА_КАТ,0),$W$2),""))</f>
        <v>2370</v>
      </c>
      <c r="D18" s="145" t="n">
        <f aca="false" t="array" ref="D18:D18">IF(OR($W$2=0,$A18=""),"",IFERROR(INDEX(МНОЖНИКИ,MATCH($A18,МНОЖ_КАТ,0),$W$2),""))</f>
        <v>1.6</v>
      </c>
      <c r="E18" s="145" t="n">
        <f aca="false" t="array" ref="E18:E18">IF(OR($W$2=0,$A18=""),"",IFERROR(INDEX(МНОЖНИКИ,MATCH($A18,МНОЖ_КАТ,0),$W$2+1),""))</f>
        <v>1.0652</v>
      </c>
      <c r="F18" s="122" t="n">
        <f aca="false">IF(OR($C18="",$D18=""),"",ROUND($C18*$D18/ОКРУГЛЕННЯ,0)*ОКРУГЛЕННЯ)</f>
        <v>3792</v>
      </c>
      <c r="G18" s="122" t="n">
        <f aca="false">IF(OR($C18="",$D18="",$E18=""),"",ROUND($C18*$D18*$E18/ОКРУГЛЕННЯ,0)*ОКРУГЛЕННЯ)</f>
        <v>4039</v>
      </c>
      <c r="H18" s="146" t="n">
        <v>1.6</v>
      </c>
      <c r="I18" s="146" t="n">
        <v>1.0652</v>
      </c>
      <c r="J18" s="122" t="n">
        <f aca="false">IF(OR($C18="",H18=""),"",ROUND($C18*H18/ОКРУГЛЕННЯ,0)*ОКРУГЛЕННЯ)</f>
        <v>3792</v>
      </c>
      <c r="K18" s="122" t="n">
        <f aca="false">IF(OR($C18="",H18="",I18=""),"",ROUND($C18*H18*I18/ОКРУГЛЕННЯ,0)*ОКРУГЛЕННЯ)</f>
        <v>4039</v>
      </c>
      <c r="L18" s="122" t="n">
        <f aca="false">IF(OR(J18="",$F18=""),"",J18-$F18)</f>
        <v>0</v>
      </c>
      <c r="M18" s="123" t="n">
        <f aca="false">IF(OR(J18="",$F18="",$F18=0),"",J18/$F18-1)</f>
        <v>0</v>
      </c>
      <c r="N18" s="147" t="n">
        <v>1.6</v>
      </c>
      <c r="O18" s="147" t="n">
        <v>1.0652</v>
      </c>
      <c r="P18" s="122" t="n">
        <f aca="false">IF(OR($C18="",N18=""),"",ROUND($C18*N18/ОКРУГЛЕННЯ,0)*ОКРУГЛЕННЯ)</f>
        <v>3792</v>
      </c>
      <c r="Q18" s="122" t="n">
        <f aca="false">IF(OR($C18="",N18="",O18=""),"",ROUND($C18*N18*O18/ОКРУГЛЕННЯ,0)*ОКРУГЛЕННЯ)</f>
        <v>4039</v>
      </c>
      <c r="R18" s="122" t="n">
        <f aca="false">IF(OR(P18="",$F18=""),"",P18-$F18)</f>
        <v>0</v>
      </c>
      <c r="S18" s="123" t="n">
        <f aca="false">IF(OR(P18="",$F18="",$F18=0),"",P18/$F18-1)</f>
        <v>0</v>
      </c>
      <c r="T18" s="122" t="n">
        <f aca="false">IF(OR(P18="",J18=""),"",P18-J18)</f>
        <v>0</v>
      </c>
      <c r="U18" s="123" t="n">
        <f aca="false">IF(OR(P18="",J18="",J18=0),"",P18/J18-1)</f>
        <v>0</v>
      </c>
      <c r="V18" s="110"/>
      <c r="W18" s="110"/>
      <c r="X18" s="110"/>
      <c r="Y18" s="110"/>
      <c r="Z18" s="110"/>
    </row>
    <row r="19" customFormat="false" ht="15" hidden="false" customHeight="true" outlineLevel="0" collapsed="false">
      <c r="A19" s="148" t="str">
        <f aca="false">IF('Довідник категорій'!A16="","",'Довідник категорій'!A16)</f>
        <v>Люкс з видом на гори (з 2-ма спальнями) 61 м²</v>
      </c>
      <c r="B19" s="149" t="str">
        <f aca="false" t="array" ref="B19:B19">IF($A19="","",IFERROR(INDEX(ДОВ_ОПОРА,MATCH($A19,КАТЕГОРІЇ,0)),""))</f>
        <v>Апартаменти стандартні 20 м²</v>
      </c>
      <c r="C19" s="127" t="n">
        <f aca="false" t="array" ref="C19:C19">IF(OR($W$2=0,$A19=""),"",IFERROR(INDEX(БАЗА_RO,MATCH($B19,БАЗА_КАТ,0),$W$2),""))</f>
        <v>2370</v>
      </c>
      <c r="D19" s="150" t="n">
        <f aca="false" t="array" ref="D19:D19">IF(OR($W$2=0,$A19=""),"",IFERROR(INDEX(МНОЖНИКИ,MATCH($A19,МНОЖ_КАТ,0),$W$2),""))</f>
        <v>1.9</v>
      </c>
      <c r="E19" s="150" t="n">
        <f aca="false" t="array" ref="E19:E19">IF(OR($W$2=0,$A19=""),"",IFERROR(INDEX(МНОЖНИКИ,MATCH($A19,МНОЖ_КАТ,0),$W$2+1),""))</f>
        <v>1.07</v>
      </c>
      <c r="F19" s="127" t="n">
        <f aca="false">IF(OR($C19="",$D19=""),"",ROUND($C19*$D19/ОКРУГЛЕННЯ,0)*ОКРУГЛЕННЯ)</f>
        <v>4503</v>
      </c>
      <c r="G19" s="127" t="n">
        <f aca="false">IF(OR($C19="",$D19="",$E19=""),"",ROUND($C19*$D19*$E19/ОКРУГЛЕННЯ,0)*ОКРУГЛЕННЯ)</f>
        <v>4818</v>
      </c>
      <c r="H19" s="146" t="n">
        <v>1.9</v>
      </c>
      <c r="I19" s="146" t="n">
        <v>1.07</v>
      </c>
      <c r="J19" s="127" t="n">
        <f aca="false">IF(OR($C19="",H19=""),"",ROUND($C19*H19/ОКРУГЛЕННЯ,0)*ОКРУГЛЕННЯ)</f>
        <v>4503</v>
      </c>
      <c r="K19" s="127" t="n">
        <f aca="false">IF(OR($C19="",H19="",I19=""),"",ROUND($C19*H19*I19/ОКРУГЛЕННЯ,0)*ОКРУГЛЕННЯ)</f>
        <v>4818</v>
      </c>
      <c r="L19" s="127" t="n">
        <f aca="false">IF(OR(J19="",$F19=""),"",J19-$F19)</f>
        <v>0</v>
      </c>
      <c r="M19" s="128" t="n">
        <f aca="false">IF(OR(J19="",$F19="",$F19=0),"",J19/$F19-1)</f>
        <v>0</v>
      </c>
      <c r="N19" s="147" t="n">
        <v>1.9</v>
      </c>
      <c r="O19" s="147" t="n">
        <v>1.07</v>
      </c>
      <c r="P19" s="127" t="n">
        <f aca="false">IF(OR($C19="",N19=""),"",ROUND($C19*N19/ОКРУГЛЕННЯ,0)*ОКРУГЛЕННЯ)</f>
        <v>4503</v>
      </c>
      <c r="Q19" s="127" t="n">
        <f aca="false">IF(OR($C19="",N19="",O19=""),"",ROUND($C19*N19*O19/ОКРУГЛЕННЯ,0)*ОКРУГЛЕННЯ)</f>
        <v>4818</v>
      </c>
      <c r="R19" s="127" t="n">
        <f aca="false">IF(OR(P19="",$F19=""),"",P19-$F19)</f>
        <v>0</v>
      </c>
      <c r="S19" s="128" t="n">
        <f aca="false">IF(OR(P19="",$F19="",$F19=0),"",P19/$F19-1)</f>
        <v>0</v>
      </c>
      <c r="T19" s="127" t="n">
        <f aca="false">IF(OR(P19="",J19=""),"",P19-J19)</f>
        <v>0</v>
      </c>
      <c r="U19" s="128" t="n">
        <f aca="false">IF(OR(P19="",J19="",J19=0),"",P19/J19-1)</f>
        <v>0</v>
      </c>
      <c r="V19" s="110"/>
      <c r="W19" s="110"/>
      <c r="X19" s="110"/>
      <c r="Y19" s="110"/>
      <c r="Z19" s="110"/>
    </row>
    <row r="20" customFormat="false" ht="15" hidden="false" customHeight="true" outlineLevel="0" collapsed="false">
      <c r="A20" s="143" t="str">
        <f aca="false">IF('Довідник категорій'!A17="","",'Довідник категорій'!A17)</f>
        <v>Апартаменти 1-й поверх 45 м²</v>
      </c>
      <c r="B20" s="144" t="str">
        <f aca="false" t="array" ref="B20:B20">IF($A20="","",IFERROR(INDEX(ДОВ_ОПОРА,MATCH($A20,КАТЕГОРІЇ,0)),""))</f>
        <v>Апартаменти 1-й поверх 45 м²</v>
      </c>
      <c r="C20" s="122" t="n">
        <f aca="false" t="array" ref="C20:C20">IF(OR($W$2=0,$A20=""),"",IFERROR(INDEX(БАЗА_RO,MATCH($B20,БАЗА_КАТ,0),$W$2),""))</f>
        <v>2930</v>
      </c>
      <c r="D20" s="145" t="n">
        <f aca="false" t="array" ref="D20:D20">IF(OR($W$2=0,$A20=""),"",IFERROR(INDEX(МНОЖНИКИ,MATCH($A20,МНОЖ_КАТ,0),$W$2),""))</f>
        <v>1</v>
      </c>
      <c r="E20" s="145" t="n">
        <f aca="false" t="array" ref="E20:E20">IF(OR($W$2=0,$A20=""),"",IFERROR(INDEX(МНОЖНИКИ,MATCH($A20,МНОЖ_КАТ,0),$W$2+1),""))</f>
        <v>1.07</v>
      </c>
      <c r="F20" s="122" t="n">
        <f aca="false">IF(OR($C20="",$D20=""),"",ROUND($C20*$D20/ОКРУГЛЕННЯ,0)*ОКРУГЛЕННЯ)</f>
        <v>2930</v>
      </c>
      <c r="G20" s="122" t="n">
        <f aca="false">IF(OR($C20="",$D20="",$E20=""),"",ROUND($C20*$D20*$E20/ОКРУГЛЕННЯ,0)*ОКРУГЛЕННЯ)</f>
        <v>3135</v>
      </c>
      <c r="H20" s="146" t="n">
        <v>1</v>
      </c>
      <c r="I20" s="146" t="n">
        <v>1.07</v>
      </c>
      <c r="J20" s="122" t="n">
        <f aca="false">IF(OR($C20="",H20=""),"",ROUND($C20*H20/ОКРУГЛЕННЯ,0)*ОКРУГЛЕННЯ)</f>
        <v>2930</v>
      </c>
      <c r="K20" s="122" t="n">
        <f aca="false">IF(OR($C20="",H20="",I20=""),"",ROUND($C20*H20*I20/ОКРУГЛЕННЯ,0)*ОКРУГЛЕННЯ)</f>
        <v>3135</v>
      </c>
      <c r="L20" s="122" t="n">
        <f aca="false">IF(OR(J20="",$F20=""),"",J20-$F20)</f>
        <v>0</v>
      </c>
      <c r="M20" s="123" t="n">
        <f aca="false">IF(OR(J20="",$F20="",$F20=0),"",J20/$F20-1)</f>
        <v>0</v>
      </c>
      <c r="N20" s="147" t="n">
        <v>1</v>
      </c>
      <c r="O20" s="147" t="n">
        <v>1.07</v>
      </c>
      <c r="P20" s="122" t="n">
        <f aca="false">IF(OR($C20="",N20=""),"",ROUND($C20*N20/ОКРУГЛЕННЯ,0)*ОКРУГЛЕННЯ)</f>
        <v>2930</v>
      </c>
      <c r="Q20" s="122" t="n">
        <f aca="false">IF(OR($C20="",N20="",O20=""),"",ROUND($C20*N20*O20/ОКРУГЛЕННЯ,0)*ОКРУГЛЕННЯ)</f>
        <v>3135</v>
      </c>
      <c r="R20" s="122" t="n">
        <f aca="false">IF(OR(P20="",$F20=""),"",P20-$F20)</f>
        <v>0</v>
      </c>
      <c r="S20" s="123" t="n">
        <f aca="false">IF(OR(P20="",$F20="",$F20=0),"",P20/$F20-1)</f>
        <v>0</v>
      </c>
      <c r="T20" s="122" t="n">
        <f aca="false">IF(OR(P20="",J20=""),"",P20-J20)</f>
        <v>0</v>
      </c>
      <c r="U20" s="123" t="n">
        <f aca="false">IF(OR(P20="",J20="",J20=0),"",P20/J20-1)</f>
        <v>0</v>
      </c>
      <c r="V20" s="110"/>
      <c r="W20" s="110"/>
      <c r="X20" s="110"/>
      <c r="Y20" s="110"/>
      <c r="Z20" s="110"/>
    </row>
    <row r="21" customFormat="false" ht="15.75" hidden="false" customHeight="true" outlineLevel="0" collapsed="false">
      <c r="A21" s="148" t="str">
        <f aca="false">IF('Довідник категорій'!A18="","",'Довідник категорій'!A18)</f>
        <v>Апартаменти 2-кімнатні 1-й поверх</v>
      </c>
      <c r="B21" s="149" t="str">
        <f aca="false" t="array" ref="B21:B21">IF($A21="","",IFERROR(INDEX(ДОВ_ОПОРА,MATCH($A21,КАТЕГОРІЇ,0)),""))</f>
        <v>Апартаменти 1-й поверх 45 м²</v>
      </c>
      <c r="C21" s="127" t="n">
        <f aca="false" t="array" ref="C21:C21">IF(OR($W$2=0,$A21=""),"",IFERROR(INDEX(БАЗА_RO,MATCH($B21,БАЗА_КАТ,0),$W$2),""))</f>
        <v>2930</v>
      </c>
      <c r="D21" s="150" t="n">
        <f aca="false" t="array" ref="D21:D21">IF(OR($W$2=0,$A21=""),"",IFERROR(INDEX(МНОЖНИКИ,MATCH($A21,МНОЖ_КАТ,0),$W$2),""))</f>
        <v>1.09</v>
      </c>
      <c r="E21" s="150" t="n">
        <f aca="false" t="array" ref="E21:E21">IF(OR($W$2=0,$A21=""),"",IFERROR(INDEX(МНОЖНИКИ,MATCH($A21,МНОЖ_КАТ,0),$W$2+1),""))</f>
        <v>1.0652</v>
      </c>
      <c r="F21" s="127" t="n">
        <f aca="false">IF(OR($C21="",$D21=""),"",ROUND($C21*$D21/ОКРУГЛЕННЯ,0)*ОКРУГЛЕННЯ)</f>
        <v>3194</v>
      </c>
      <c r="G21" s="127" t="n">
        <f aca="false">IF(OR($C21="",$D21="",$E21=""),"",ROUND($C21*$D21*$E21/ОКРУГЛЕННЯ,0)*ОКРУГЛЕННЯ)</f>
        <v>3402</v>
      </c>
      <c r="H21" s="146" t="n">
        <v>1.09</v>
      </c>
      <c r="I21" s="146" t="n">
        <v>1.0652</v>
      </c>
      <c r="J21" s="127" t="n">
        <f aca="false">IF(OR($C21="",H21=""),"",ROUND($C21*H21/ОКРУГЛЕННЯ,0)*ОКРУГЛЕННЯ)</f>
        <v>3194</v>
      </c>
      <c r="K21" s="127" t="n">
        <f aca="false">IF(OR($C21="",H21="",I21=""),"",ROUND($C21*H21*I21/ОКРУГЛЕННЯ,0)*ОКРУГЛЕННЯ)</f>
        <v>3402</v>
      </c>
      <c r="L21" s="127" t="n">
        <f aca="false">IF(OR(J21="",$F21=""),"",J21-$F21)</f>
        <v>0</v>
      </c>
      <c r="M21" s="128" t="n">
        <f aca="false">IF(OR(J21="",$F21="",$F21=0),"",J21/$F21-1)</f>
        <v>0</v>
      </c>
      <c r="N21" s="147" t="n">
        <v>1.09</v>
      </c>
      <c r="O21" s="147" t="n">
        <v>1.0652</v>
      </c>
      <c r="P21" s="127" t="n">
        <f aca="false">IF(OR($C21="",N21=""),"",ROUND($C21*N21/ОКРУГЛЕННЯ,0)*ОКРУГЛЕННЯ)</f>
        <v>3194</v>
      </c>
      <c r="Q21" s="127" t="n">
        <f aca="false">IF(OR($C21="",N21="",O21=""),"",ROUND($C21*N21*O21/ОКРУГЛЕННЯ,0)*ОКРУГЛЕННЯ)</f>
        <v>3402</v>
      </c>
      <c r="R21" s="127" t="n">
        <f aca="false">IF(OR(P21="",$F21=""),"",P21-$F21)</f>
        <v>0</v>
      </c>
      <c r="S21" s="128" t="n">
        <f aca="false">IF(OR(P21="",$F21="",$F21=0),"",P21/$F21-1)</f>
        <v>0</v>
      </c>
      <c r="T21" s="127" t="n">
        <f aca="false">IF(OR(P21="",J21=""),"",P21-J21)</f>
        <v>0</v>
      </c>
      <c r="U21" s="128" t="n">
        <f aca="false">IF(OR(P21="",J21="",J21=0),"",P21/J21-1)</f>
        <v>0</v>
      </c>
      <c r="V21" s="110"/>
      <c r="W21" s="110"/>
      <c r="X21" s="110"/>
      <c r="Y21" s="110"/>
      <c r="Z21" s="110"/>
    </row>
    <row r="22" customFormat="false" ht="15.75" hidden="false" customHeight="true" outlineLevel="0" collapsed="false">
      <c r="A22" s="143" t="str">
        <f aca="false">IF('Довідник категорій'!A19="","",'Довідник категорій'!A19)</f>
        <v>Апартаменти з ванною 2-й поверх</v>
      </c>
      <c r="B22" s="144" t="str">
        <f aca="false" t="array" ref="B22:B22">IF($A22="","",IFERROR(INDEX(ДОВ_ОПОРА,MATCH($A22,КАТЕГОРІЇ,0)),""))</f>
        <v>Апартаменти 1-й поверх 45 м²</v>
      </c>
      <c r="C22" s="122" t="n">
        <f aca="false" t="array" ref="C22:C22">IF(OR($W$2=0,$A22=""),"",IFERROR(INDEX(БАЗА_RO,MATCH($B22,БАЗА_КАТ,0),$W$2),""))</f>
        <v>2930</v>
      </c>
      <c r="D22" s="145" t="n">
        <f aca="false" t="array" ref="D22:D22">IF(OR($W$2=0,$A22=""),"",IFERROR(INDEX(МНОЖНИКИ,MATCH($A22,МНОЖ_КАТ,0),$W$2),""))</f>
        <v>1.09</v>
      </c>
      <c r="E22" s="145" t="n">
        <f aca="false" t="array" ref="E22:E22">IF(OR($W$2=0,$A22=""),"",IFERROR(INDEX(МНОЖНИКИ,MATCH($A22,МНОЖ_КАТ,0),$W$2+1),""))</f>
        <v>1.0652</v>
      </c>
      <c r="F22" s="122" t="n">
        <f aca="false">IF(OR($C22="",$D22=""),"",ROUND($C22*$D22/ОКРУГЛЕННЯ,0)*ОКРУГЛЕННЯ)</f>
        <v>3194</v>
      </c>
      <c r="G22" s="122" t="n">
        <f aca="false">IF(OR($C22="",$D22="",$E22=""),"",ROUND($C22*$D22*$E22/ОКРУГЛЕННЯ,0)*ОКРУГЛЕННЯ)</f>
        <v>3402</v>
      </c>
      <c r="H22" s="146" t="n">
        <v>1.09</v>
      </c>
      <c r="I22" s="146" t="n">
        <v>1.0652</v>
      </c>
      <c r="J22" s="122" t="n">
        <f aca="false">IF(OR($C22="",H22=""),"",ROUND($C22*H22/ОКРУГЛЕННЯ,0)*ОКРУГЛЕННЯ)</f>
        <v>3194</v>
      </c>
      <c r="K22" s="122" t="n">
        <f aca="false">IF(OR($C22="",H22="",I22=""),"",ROUND($C22*H22*I22/ОКРУГЛЕННЯ,0)*ОКРУГЛЕННЯ)</f>
        <v>3402</v>
      </c>
      <c r="L22" s="122" t="n">
        <f aca="false">IF(OR(J22="",$F22=""),"",J22-$F22)</f>
        <v>0</v>
      </c>
      <c r="M22" s="123" t="n">
        <f aca="false">IF(OR(J22="",$F22="",$F22=0),"",J22/$F22-1)</f>
        <v>0</v>
      </c>
      <c r="N22" s="147" t="n">
        <v>1.09</v>
      </c>
      <c r="O22" s="147" t="n">
        <v>1.0652</v>
      </c>
      <c r="P22" s="122" t="n">
        <f aca="false">IF(OR($C22="",N22=""),"",ROUND($C22*N22/ОКРУГЛЕННЯ,0)*ОКРУГЛЕННЯ)</f>
        <v>3194</v>
      </c>
      <c r="Q22" s="122" t="n">
        <f aca="false">IF(OR($C22="",N22="",O22=""),"",ROUND($C22*N22*O22/ОКРУГЛЕННЯ,0)*ОКРУГЛЕННЯ)</f>
        <v>3402</v>
      </c>
      <c r="R22" s="122" t="n">
        <f aca="false">IF(OR(P22="",$F22=""),"",P22-$F22)</f>
        <v>0</v>
      </c>
      <c r="S22" s="123" t="n">
        <f aca="false">IF(OR(P22="",$F22="",$F22=0),"",P22/$F22-1)</f>
        <v>0</v>
      </c>
      <c r="T22" s="122" t="n">
        <f aca="false">IF(OR(P22="",J22=""),"",P22-J22)</f>
        <v>0</v>
      </c>
      <c r="U22" s="123" t="n">
        <f aca="false">IF(OR(P22="",J22="",J22=0),"",P22/J22-1)</f>
        <v>0</v>
      </c>
      <c r="V22" s="110"/>
      <c r="W22" s="110"/>
      <c r="X22" s="110"/>
      <c r="Y22" s="110"/>
      <c r="Z22" s="110"/>
    </row>
    <row r="23" customFormat="false" ht="15.75" hidden="false" customHeight="true" outlineLevel="0" collapsed="false">
      <c r="A23" s="148" t="str">
        <f aca="false">IF('Довідник категорій'!A20="","",'Довідник категорій'!A20)</f>
        <v>Апартаменти 2-х місні стандартні</v>
      </c>
      <c r="B23" s="149" t="str">
        <f aca="false" t="array" ref="B23:B23">IF($A23="","",IFERROR(INDEX(ДОВ_ОПОРА,MATCH($A23,КАТЕГОРІЇ,0)),""))</f>
        <v>Апартаменти 1-й поверх 45 м²</v>
      </c>
      <c r="C23" s="127" t="n">
        <f aca="false" t="array" ref="C23:C23">IF(OR($W$2=0,$A23=""),"",IFERROR(INDEX(БАЗА_RO,MATCH($B23,БАЗА_КАТ,0),$W$2),""))</f>
        <v>2930</v>
      </c>
      <c r="D23" s="150" t="n">
        <f aca="false" t="array" ref="D23:D23">IF(OR($W$2=0,$A23=""),"",IFERROR(INDEX(МНОЖНИКИ,MATCH($A23,МНОЖ_КАТ,0),$W$2),""))</f>
        <v>1.09</v>
      </c>
      <c r="E23" s="150" t="n">
        <f aca="false" t="array" ref="E23:E23">IF(OR($W$2=0,$A23=""),"",IFERROR(INDEX(МНОЖНИКИ,MATCH($A23,МНОЖ_КАТ,0),$W$2+1),""))</f>
        <v>1.0652</v>
      </c>
      <c r="F23" s="127" t="n">
        <f aca="false">IF(OR($C23="",$D23=""),"",ROUND($C23*$D23/ОКРУГЛЕННЯ,0)*ОКРУГЛЕННЯ)</f>
        <v>3194</v>
      </c>
      <c r="G23" s="127" t="n">
        <f aca="false">IF(OR($C23="",$D23="",$E23=""),"",ROUND($C23*$D23*$E23/ОКРУГЛЕННЯ,0)*ОКРУГЛЕННЯ)</f>
        <v>3402</v>
      </c>
      <c r="H23" s="146" t="n">
        <v>1.09</v>
      </c>
      <c r="I23" s="146" t="n">
        <v>1.0652</v>
      </c>
      <c r="J23" s="127" t="n">
        <f aca="false">IF(OR($C23="",H23=""),"",ROUND($C23*H23/ОКРУГЛЕННЯ,0)*ОКРУГЛЕННЯ)</f>
        <v>3194</v>
      </c>
      <c r="K23" s="127" t="n">
        <f aca="false">IF(OR($C23="",H23="",I23=""),"",ROUND($C23*H23*I23/ОКРУГЛЕННЯ,0)*ОКРУГЛЕННЯ)</f>
        <v>3402</v>
      </c>
      <c r="L23" s="127" t="n">
        <f aca="false">IF(OR(J23="",$F23=""),"",J23-$F23)</f>
        <v>0</v>
      </c>
      <c r="M23" s="128" t="n">
        <f aca="false">IF(OR(J23="",$F23="",$F23=0),"",J23/$F23-1)</f>
        <v>0</v>
      </c>
      <c r="N23" s="147" t="n">
        <v>1.09</v>
      </c>
      <c r="O23" s="147" t="n">
        <v>1.0652</v>
      </c>
      <c r="P23" s="127" t="n">
        <f aca="false">IF(OR($C23="",N23=""),"",ROUND($C23*N23/ОКРУГЛЕННЯ,0)*ОКРУГЛЕННЯ)</f>
        <v>3194</v>
      </c>
      <c r="Q23" s="127" t="n">
        <f aca="false">IF(OR($C23="",N23="",O23=""),"",ROUND($C23*N23*O23/ОКРУГЛЕННЯ,0)*ОКРУГЛЕННЯ)</f>
        <v>3402</v>
      </c>
      <c r="R23" s="127" t="n">
        <f aca="false">IF(OR(P23="",$F23=""),"",P23-$F23)</f>
        <v>0</v>
      </c>
      <c r="S23" s="128" t="n">
        <f aca="false">IF(OR(P23="",$F23="",$F23=0),"",P23/$F23-1)</f>
        <v>0</v>
      </c>
      <c r="T23" s="127" t="n">
        <f aca="false">IF(OR(P23="",J23=""),"",P23-J23)</f>
        <v>0</v>
      </c>
      <c r="U23" s="128" t="n">
        <f aca="false">IF(OR(P23="",J23="",J23=0),"",P23/J23-1)</f>
        <v>0</v>
      </c>
      <c r="V23" s="110"/>
      <c r="W23" s="110"/>
      <c r="X23" s="110"/>
      <c r="Y23" s="110"/>
      <c r="Z23" s="110"/>
    </row>
    <row r="24" customFormat="false" ht="15.75" hidden="false" customHeight="true" outlineLevel="0" collapsed="false">
      <c r="A24" s="143" t="str">
        <f aca="false">IF('Довідник категорій'!A21="","",'Довідник категорій'!A21)</f>
        <v>Апартаменти 3-й поверх</v>
      </c>
      <c r="B24" s="144" t="str">
        <f aca="false" t="array" ref="B24:B24">IF($A24="","",IFERROR(INDEX(ДОВ_ОПОРА,MATCH($A24,КАТЕГОРІЇ,0)),""))</f>
        <v>Апартаменти 1-й поверх 45 м²</v>
      </c>
      <c r="C24" s="122" t="n">
        <f aca="false" t="array" ref="C24:C24">IF(OR($W$2=0,$A24=""),"",IFERROR(INDEX(БАЗА_RO,MATCH($B24,БАЗА_КАТ,0),$W$2),""))</f>
        <v>2930</v>
      </c>
      <c r="D24" s="145" t="n">
        <f aca="false" t="array" ref="D24:D24">IF(OR($W$2=0,$A24=""),"",IFERROR(INDEX(МНОЖНИКИ,MATCH($A24,МНОЖ_КАТ,0),$W$2),""))</f>
        <v>1.09</v>
      </c>
      <c r="E24" s="145" t="n">
        <f aca="false" t="array" ref="E24:E24">IF(OR($W$2=0,$A24=""),"",IFERROR(INDEX(МНОЖНИКИ,MATCH($A24,МНОЖ_КАТ,0),$W$2+1),""))</f>
        <v>1.0652</v>
      </c>
      <c r="F24" s="122" t="n">
        <f aca="false">IF(OR($C24="",$D24=""),"",ROUND($C24*$D24/ОКРУГЛЕННЯ,0)*ОКРУГЛЕННЯ)</f>
        <v>3194</v>
      </c>
      <c r="G24" s="122" t="n">
        <f aca="false">IF(OR($C24="",$D24="",$E24=""),"",ROUND($C24*$D24*$E24/ОКРУГЛЕННЯ,0)*ОКРУГЛЕННЯ)</f>
        <v>3402</v>
      </c>
      <c r="H24" s="146" t="n">
        <v>1.09</v>
      </c>
      <c r="I24" s="146" t="n">
        <v>1.0652</v>
      </c>
      <c r="J24" s="122" t="n">
        <f aca="false">IF(OR($C24="",H24=""),"",ROUND($C24*H24/ОКРУГЛЕННЯ,0)*ОКРУГЛЕННЯ)</f>
        <v>3194</v>
      </c>
      <c r="K24" s="122" t="n">
        <f aca="false">IF(OR($C24="",H24="",I24=""),"",ROUND($C24*H24*I24/ОКРУГЛЕННЯ,0)*ОКРУГЛЕННЯ)</f>
        <v>3402</v>
      </c>
      <c r="L24" s="122" t="n">
        <f aca="false">IF(OR(J24="",$F24=""),"",J24-$F24)</f>
        <v>0</v>
      </c>
      <c r="M24" s="123" t="n">
        <f aca="false">IF(OR(J24="",$F24="",$F24=0),"",J24/$F24-1)</f>
        <v>0</v>
      </c>
      <c r="N24" s="147" t="n">
        <v>1.09</v>
      </c>
      <c r="O24" s="147" t="n">
        <v>1.0652</v>
      </c>
      <c r="P24" s="122" t="n">
        <f aca="false">IF(OR($C24="",N24=""),"",ROUND($C24*N24/ОКРУГЛЕННЯ,0)*ОКРУГЛЕННЯ)</f>
        <v>3194</v>
      </c>
      <c r="Q24" s="122" t="n">
        <f aca="false">IF(OR($C24="",N24="",O24=""),"",ROUND($C24*N24*O24/ОКРУГЛЕННЯ,0)*ОКРУГЛЕННЯ)</f>
        <v>3402</v>
      </c>
      <c r="R24" s="122" t="n">
        <f aca="false">IF(OR(P24="",$F24=""),"",P24-$F24)</f>
        <v>0</v>
      </c>
      <c r="S24" s="123" t="n">
        <f aca="false">IF(OR(P24="",$F24="",$F24=0),"",P24/$F24-1)</f>
        <v>0</v>
      </c>
      <c r="T24" s="122" t="n">
        <f aca="false">IF(OR(P24="",J24=""),"",P24-J24)</f>
        <v>0</v>
      </c>
      <c r="U24" s="123" t="n">
        <f aca="false">IF(OR(P24="",J24="",J24=0),"",P24/J24-1)</f>
        <v>0</v>
      </c>
      <c r="V24" s="110"/>
      <c r="W24" s="110"/>
      <c r="X24" s="110"/>
      <c r="Y24" s="110"/>
      <c r="Z24" s="110"/>
    </row>
    <row r="25" customFormat="false" ht="15.75" hidden="false" customHeight="true" outlineLevel="0" collapsed="false">
      <c r="A25" s="148" t="str">
        <f aca="false">IF('Довідник категорій'!A22="","",'Довідник категорій'!A22)</f>
        <v>Апартаменти президентські</v>
      </c>
      <c r="B25" s="149" t="str">
        <f aca="false" t="array" ref="B25:B25">IF($A25="","",IFERROR(INDEX(ДОВ_ОПОРА,MATCH($A25,КАТЕГОРІЇ,0)),""))</f>
        <v>Апартаменти 1-й поверх 45 м²</v>
      </c>
      <c r="C25" s="127" t="n">
        <f aca="false" t="array" ref="C25:C25">IF(OR($W$2=0,$A25=""),"",IFERROR(INDEX(БАЗА_RO,MATCH($B25,БАЗА_КАТ,0),$W$2),""))</f>
        <v>2930</v>
      </c>
      <c r="D25" s="150" t="n">
        <f aca="false" t="array" ref="D25:D25">IF(OR($W$2=0,$A25=""),"",IFERROR(INDEX(МНОЖНИКИ,MATCH($A25,МНОЖ_КАТ,0),$W$2),""))</f>
        <v>1.57</v>
      </c>
      <c r="E25" s="150" t="n">
        <f aca="false" t="array" ref="E25:E25">IF(OR($W$2=0,$A25=""),"",IFERROR(INDEX(МНОЖНИКИ,MATCH($A25,МНОЖ_КАТ,0),$W$2+1),""))</f>
        <v>1.06</v>
      </c>
      <c r="F25" s="127" t="n">
        <f aca="false">IF(OR($C25="",$D25=""),"",ROUND($C25*$D25/ОКРУГЛЕННЯ,0)*ОКРУГЛЕННЯ)</f>
        <v>4600</v>
      </c>
      <c r="G25" s="127" t="n">
        <f aca="false">IF(OR($C25="",$D25="",$E25=""),"",ROUND($C25*$D25*$E25/ОКРУГЛЕННЯ,0)*ОКРУГЛЕННЯ)</f>
        <v>4876</v>
      </c>
      <c r="H25" s="146" t="n">
        <v>1.57</v>
      </c>
      <c r="I25" s="146" t="n">
        <v>1.06</v>
      </c>
      <c r="J25" s="127" t="n">
        <f aca="false">IF(OR($C25="",H25=""),"",ROUND($C25*H25/ОКРУГЛЕННЯ,0)*ОКРУГЛЕННЯ)</f>
        <v>4600</v>
      </c>
      <c r="K25" s="127" t="n">
        <f aca="false">IF(OR($C25="",H25="",I25=""),"",ROUND($C25*H25*I25/ОКРУГЛЕННЯ,0)*ОКРУГЛЕННЯ)</f>
        <v>4876</v>
      </c>
      <c r="L25" s="127" t="n">
        <f aca="false">IF(OR(J25="",$F25=""),"",J25-$F25)</f>
        <v>0</v>
      </c>
      <c r="M25" s="128" t="n">
        <f aca="false">IF(OR(J25="",$F25="",$F25=0),"",J25/$F25-1)</f>
        <v>0</v>
      </c>
      <c r="N25" s="147" t="n">
        <v>1.57</v>
      </c>
      <c r="O25" s="147" t="n">
        <v>1.06</v>
      </c>
      <c r="P25" s="127" t="n">
        <f aca="false">IF(OR($C25="",N25=""),"",ROUND($C25*N25/ОКРУГЛЕННЯ,0)*ОКРУГЛЕННЯ)</f>
        <v>4600</v>
      </c>
      <c r="Q25" s="127" t="n">
        <f aca="false">IF(OR($C25="",N25="",O25=""),"",ROUND($C25*N25*O25/ОКРУГЛЕННЯ,0)*ОКРУГЛЕННЯ)</f>
        <v>4876</v>
      </c>
      <c r="R25" s="127" t="n">
        <f aca="false">IF(OR(P25="",$F25=""),"",P25-$F25)</f>
        <v>0</v>
      </c>
      <c r="S25" s="128" t="n">
        <f aca="false">IF(OR(P25="",$F25="",$F25=0),"",P25/$F25-1)</f>
        <v>0</v>
      </c>
      <c r="T25" s="127" t="n">
        <f aca="false">IF(OR(P25="",J25=""),"",P25-J25)</f>
        <v>0</v>
      </c>
      <c r="U25" s="128" t="n">
        <f aca="false">IF(OR(P25="",J25="",J25=0),"",P25/J25-1)</f>
        <v>0</v>
      </c>
      <c r="V25" s="110"/>
      <c r="W25" s="110"/>
      <c r="X25" s="110"/>
      <c r="Y25" s="110"/>
      <c r="Z25" s="110"/>
    </row>
    <row r="26" customFormat="false" ht="15.75" hidden="false" customHeight="true" outlineLevel="0" collapsed="false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customFormat="false" ht="15.75" hidden="false" customHeight="true" outlineLevel="0" collapsed="false">
      <c r="A27" s="114" t="s">
        <v>214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51" t="n">
        <f aca="false">IFERROR(AVERAGE(M8:M25),"")</f>
        <v>0</v>
      </c>
      <c r="N27" s="110"/>
      <c r="O27" s="110"/>
      <c r="P27" s="110"/>
      <c r="Q27" s="110"/>
      <c r="R27" s="110"/>
      <c r="S27" s="151" t="n">
        <f aca="false">IFERROR(AVERAGE(S8:S25),"")</f>
        <v>0</v>
      </c>
      <c r="T27" s="110"/>
      <c r="U27" s="151" t="n">
        <f aca="false">IFERROR(AVERAGE(U8:U25),"")</f>
        <v>0</v>
      </c>
      <c r="V27" s="110"/>
      <c r="W27" s="110"/>
      <c r="X27" s="110"/>
      <c r="Y27" s="110"/>
      <c r="Z27" s="110"/>
    </row>
    <row r="28" customFormat="false" ht="15.75" hidden="false" customHeight="true" outlineLevel="0" collapsed="false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customFormat="false" ht="15.75" hidden="false" customHeight="true" outlineLevel="0" collapsed="false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customFormat="false" ht="15.75" hidden="false" customHeight="true" outlineLevel="0" collapsed="false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customFormat="false" ht="15.75" hidden="false" customHeight="true" outlineLevel="0" collapsed="false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customFormat="false" ht="15.75" hidden="false" customHeight="true" outlineLevel="0" collapsed="false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customFormat="false" ht="15.75" hidden="false" customHeight="true" outlineLevel="0" collapsed="false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customFormat="false" ht="15.75" hidden="false" customHeight="true" outlineLevel="0" collapsed="false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customFormat="false" ht="15.75" hidden="false" customHeight="true" outlineLevel="0" collapsed="false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customFormat="false" ht="15.75" hidden="false" customHeight="true" outlineLevel="0" collapsed="false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customFormat="false" ht="15.75" hidden="false" customHeight="true" outlineLevel="0" collapsed="false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customFormat="false" ht="15.75" hidden="false" customHeight="true" outlineLevel="0" collapsed="false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customFormat="false" ht="15.75" hidden="false" customHeight="true" outlineLevel="0" collapsed="false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customFormat="false" ht="15.75" hidden="false" customHeight="true" outlineLevel="0" collapsed="false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customFormat="false" ht="15.75" hidden="false" customHeight="true" outlineLevel="0" collapsed="false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customFormat="false" ht="15.75" hidden="false" customHeight="true" outlineLevel="0" collapsed="false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customFormat="false" ht="15.75" hidden="false" customHeight="true" outlineLevel="0" collapsed="false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customFormat="false" ht="15.75" hidden="false" customHeight="true" outlineLevel="0" collapsed="false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customFormat="false" ht="15.75" hidden="false" customHeight="true" outlineLevel="0" collapsed="false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customFormat="false" ht="15.75" hidden="false" customHeight="true" outlineLevel="0" collapsed="false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customFormat="false" ht="15.75" hidden="false" customHeight="true" outlineLevel="0" collapsed="false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customFormat="false" ht="15.75" hidden="false" customHeight="true" outlineLevel="0" collapsed="false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customFormat="false" ht="15.75" hidden="false" customHeight="true" outlineLevel="0" collapsed="false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customFormat="false" ht="15.75" hidden="false" customHeight="true" outlineLevel="0" collapsed="false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customFormat="false" ht="15.75" hidden="false" customHeight="true" outlineLevel="0" collapsed="false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customFormat="false" ht="15.75" hidden="false" customHeight="true" outlineLevel="0" collapsed="false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customFormat="false" ht="15.75" hidden="false" customHeight="true" outlineLevel="0" collapsed="false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customFormat="false" ht="15.75" hidden="false" customHeight="true" outlineLevel="0" collapsed="false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customFormat="false" ht="15.75" hidden="false" customHeight="true" outlineLevel="0" collapsed="false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customFormat="false" ht="15.75" hidden="false" customHeight="true" outlineLevel="0" collapsed="false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customFormat="false" ht="15.75" hidden="false" customHeight="true" outlineLevel="0" collapsed="false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customFormat="false" ht="15.75" hidden="false" customHeight="true" outlineLevel="0" collapsed="false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customFormat="false" ht="15.75" hidden="false" customHeight="true" outlineLevel="0" collapsed="false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customFormat="false" ht="15.75" hidden="false" customHeight="true" outlineLevel="0" collapsed="false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customFormat="false" ht="15.75" hidden="false" customHeight="true" outlineLevel="0" collapsed="false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customFormat="false" ht="15.75" hidden="false" customHeight="true" outlineLevel="0" collapsed="false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customFormat="false" ht="15.75" hidden="false" customHeight="true" outlineLevel="0" collapsed="false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customFormat="false" ht="15.75" hidden="false" customHeight="true" outlineLevel="0" collapsed="false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customFormat="false" ht="15.75" hidden="false" customHeight="true" outlineLevel="0" collapsed="false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customFormat="false" ht="15.75" hidden="false" customHeight="true" outlineLevel="0" collapsed="false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customFormat="false" ht="15.75" hidden="false" customHeight="true" outlineLevel="0" collapsed="false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customFormat="false" ht="15.75" hidden="false" customHeight="true" outlineLevel="0" collapsed="false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customFormat="false" ht="15.75" hidden="false" customHeight="true" outlineLevel="0" collapsed="false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customFormat="false" ht="15.75" hidden="false" customHeight="true" outlineLevel="0" collapsed="false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customFormat="false" ht="15.75" hidden="false" customHeight="true" outlineLevel="0" collapsed="false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customFormat="false" ht="15.75" hidden="false" customHeight="true" outlineLevel="0" collapsed="false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customFormat="false" ht="15.75" hidden="false" customHeight="true" outlineLevel="0" collapsed="false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customFormat="false" ht="15.75" hidden="false" customHeight="true" outlineLevel="0" collapsed="false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customFormat="false" ht="15.75" hidden="false" customHeight="true" outlineLevel="0" collapsed="false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customFormat="false" ht="15.75" hidden="false" customHeight="true" outlineLevel="0" collapsed="false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customFormat="false" ht="15.75" hidden="false" customHeight="true" outlineLevel="0" collapsed="false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customFormat="false" ht="15.75" hidden="false" customHeight="true" outlineLevel="0" collapsed="false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customFormat="false" ht="15.75" hidden="false" customHeight="true" outlineLevel="0" collapsed="false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customFormat="false" ht="15.75" hidden="false" customHeight="true" outlineLevel="0" collapsed="false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customFormat="false" ht="15.75" hidden="false" customHeight="true" outlineLevel="0" collapsed="false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customFormat="false" ht="15.75" hidden="false" customHeight="true" outlineLevel="0" collapsed="false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customFormat="false" ht="15.75" hidden="false" customHeight="true" outlineLevel="0" collapsed="false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customFormat="false" ht="15.75" hidden="false" customHeight="true" outlineLevel="0" collapsed="false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customFormat="false" ht="15.75" hidden="false" customHeight="true" outlineLevel="0" collapsed="false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customFormat="false" ht="15.75" hidden="false" customHeight="true" outlineLevel="0" collapsed="false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customFormat="false" ht="15.75" hidden="false" customHeight="true" outlineLevel="0" collapsed="false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customFormat="false" ht="15.75" hidden="false" customHeight="true" outlineLevel="0" collapsed="false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customFormat="false" ht="15.75" hidden="false" customHeight="true" outlineLevel="0" collapsed="false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customFormat="false" ht="15.75" hidden="false" customHeight="true" outlineLevel="0" collapsed="false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customFormat="false" ht="15.75" hidden="false" customHeight="true" outlineLevel="0" collapsed="false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customFormat="false" ht="15.75" hidden="false" customHeight="true" outlineLevel="0" collapsed="false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customFormat="false" ht="15.75" hidden="false" customHeight="true" outlineLevel="0" collapsed="false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customFormat="false" ht="15.75" hidden="false" customHeight="true" outlineLevel="0" collapsed="false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customFormat="false" ht="15.75" hidden="false" customHeight="true" outlineLevel="0" collapsed="false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customFormat="false" ht="15.75" hidden="false" customHeight="true" outlineLevel="0" collapsed="false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customFormat="false" ht="15.75" hidden="false" customHeight="true" outlineLevel="0" collapsed="false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customFormat="false" ht="15.75" hidden="false" customHeight="true" outlineLevel="0" collapsed="false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customFormat="false" ht="15.75" hidden="false" customHeight="true" outlineLevel="0" collapsed="false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customFormat="false" ht="15.75" hidden="false" customHeight="true" outlineLevel="0" collapsed="false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customFormat="false" ht="15.75" hidden="false" customHeight="true" outlineLevel="0" collapsed="false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customFormat="false" ht="15.75" hidden="false" customHeight="true" outlineLevel="0" collapsed="false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customFormat="false" ht="15.75" hidden="false" customHeight="true" outlineLevel="0" collapsed="false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customFormat="false" ht="15.75" hidden="false" customHeight="true" outlineLevel="0" collapsed="false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customFormat="false" ht="15.75" hidden="false" customHeight="true" outlineLevel="0" collapsed="false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customFormat="false" ht="15.75" hidden="false" customHeight="true" outlineLevel="0" collapsed="false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customFormat="false" ht="15.75" hidden="false" customHeight="true" outlineLevel="0" collapsed="false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customFormat="false" ht="15.75" hidden="false" customHeight="true" outlineLevel="0" collapsed="false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customFormat="false" ht="15.75" hidden="false" customHeight="true" outlineLevel="0" collapsed="false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customFormat="false" ht="15.75" hidden="false" customHeight="true" outlineLevel="0" collapsed="false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customFormat="false" ht="15.75" hidden="false" customHeight="true" outlineLevel="0" collapsed="false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customFormat="false" ht="15.75" hidden="false" customHeight="true" outlineLevel="0" collapsed="false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customFormat="false" ht="15.75" hidden="false" customHeight="true" outlineLevel="0" collapsed="false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customFormat="false" ht="15.75" hidden="false" customHeight="true" outlineLevel="0" collapsed="false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customFormat="false" ht="15.75" hidden="false" customHeight="true" outlineLevel="0" collapsed="false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customFormat="false" ht="15.75" hidden="false" customHeight="true" outlineLevel="0" collapsed="false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customFormat="false" ht="15.75" hidden="false" customHeight="true" outlineLevel="0" collapsed="false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customFormat="false" ht="15.75" hidden="false" customHeight="true" outlineLevel="0" collapsed="false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customFormat="false" ht="15.75" hidden="false" customHeight="true" outlineLevel="0" collapsed="false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customFormat="false" ht="15.75" hidden="false" customHeight="true" outlineLevel="0" collapsed="false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customFormat="false" ht="15.75" hidden="false" customHeight="true" outlineLevel="0" collapsed="false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customFormat="false" ht="15.75" hidden="false" customHeight="true" outlineLevel="0" collapsed="false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customFormat="false" ht="15.75" hidden="false" customHeight="true" outlineLevel="0" collapsed="false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customFormat="false" ht="15.75" hidden="false" customHeight="true" outlineLevel="0" collapsed="false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customFormat="false" ht="15.75" hidden="false" customHeight="true" outlineLevel="0" collapsed="false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customFormat="false" ht="15.75" hidden="false" customHeight="true" outlineLevel="0" collapsed="false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customFormat="false" ht="15.75" hidden="false" customHeight="true" outlineLevel="0" collapsed="false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customFormat="false" ht="15.75" hidden="false" customHeight="true" outlineLevel="0" collapsed="false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customFormat="false" ht="15.75" hidden="false" customHeight="true" outlineLevel="0" collapsed="false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customFormat="false" ht="15.75" hidden="false" customHeight="true" outlineLevel="0" collapsed="false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customFormat="false" ht="15.75" hidden="false" customHeight="true" outlineLevel="0" collapsed="false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customFormat="false" ht="15.75" hidden="false" customHeight="true" outlineLevel="0" collapsed="false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customFormat="false" ht="15.75" hidden="false" customHeight="true" outlineLevel="0" collapsed="false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customFormat="false" ht="15.75" hidden="false" customHeight="true" outlineLevel="0" collapsed="false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customFormat="false" ht="15.75" hidden="false" customHeight="true" outlineLevel="0" collapsed="false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customFormat="false" ht="15.75" hidden="false" customHeight="true" outlineLevel="0" collapsed="false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customFormat="false" ht="15.75" hidden="false" customHeight="true" outlineLevel="0" collapsed="false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customFormat="false" ht="15.75" hidden="false" customHeight="true" outlineLevel="0" collapsed="false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customFormat="false" ht="15.75" hidden="false" customHeight="true" outlineLevel="0" collapsed="false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customFormat="false" ht="15.75" hidden="false" customHeight="true" outlineLevel="0" collapsed="false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customFormat="false" ht="15.75" hidden="false" customHeight="true" outlineLevel="0" collapsed="false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customFormat="false" ht="15.75" hidden="false" customHeight="true" outlineLevel="0" collapsed="false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customFormat="false" ht="15.75" hidden="false" customHeight="true" outlineLevel="0" collapsed="false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customFormat="false" ht="15.75" hidden="false" customHeight="true" outlineLevel="0" collapsed="false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customFormat="false" ht="15.75" hidden="false" customHeight="true" outlineLevel="0" collapsed="false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customFormat="false" ht="15.75" hidden="false" customHeight="true" outlineLevel="0" collapsed="false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customFormat="false" ht="15.75" hidden="false" customHeight="true" outlineLevel="0" collapsed="false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customFormat="false" ht="15.75" hidden="false" customHeight="true" outlineLevel="0" collapsed="false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customFormat="false" ht="15.75" hidden="false" customHeight="true" outlineLevel="0" collapsed="false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customFormat="false" ht="15.75" hidden="false" customHeight="true" outlineLevel="0" collapsed="false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customFormat="false" ht="15.75" hidden="false" customHeight="true" outlineLevel="0" collapsed="false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customFormat="false" ht="15.75" hidden="false" customHeight="true" outlineLevel="0" collapsed="false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customFormat="false" ht="15.75" hidden="false" customHeight="true" outlineLevel="0" collapsed="false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customFormat="false" ht="15.75" hidden="false" customHeight="true" outlineLevel="0" collapsed="false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customFormat="false" ht="15.75" hidden="false" customHeight="true" outlineLevel="0" collapsed="false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customFormat="false" ht="15.75" hidden="false" customHeight="true" outlineLevel="0" collapsed="false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customFormat="false" ht="15.75" hidden="false" customHeight="true" outlineLevel="0" collapsed="false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customFormat="false" ht="15.75" hidden="false" customHeight="true" outlineLevel="0" collapsed="false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customFormat="false" ht="15.75" hidden="false" customHeight="true" outlineLevel="0" collapsed="false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customFormat="false" ht="15.75" hidden="false" customHeight="true" outlineLevel="0" collapsed="false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customFormat="false" ht="15.75" hidden="false" customHeight="true" outlineLevel="0" collapsed="false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customFormat="false" ht="15.75" hidden="false" customHeight="true" outlineLevel="0" collapsed="false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customFormat="false" ht="15.75" hidden="false" customHeight="true" outlineLevel="0" collapsed="false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customFormat="false" ht="15.75" hidden="false" customHeight="true" outlineLevel="0" collapsed="false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customFormat="false" ht="15.75" hidden="false" customHeight="true" outlineLevel="0" collapsed="false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customFormat="false" ht="15.75" hidden="false" customHeight="true" outlineLevel="0" collapsed="false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customFormat="false" ht="15.75" hidden="false" customHeight="true" outlineLevel="0" collapsed="false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customFormat="false" ht="15.75" hidden="false" customHeight="true" outlineLevel="0" collapsed="false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customFormat="false" ht="15.75" hidden="false" customHeight="true" outlineLevel="0" collapsed="false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customFormat="false" ht="15.75" hidden="false" customHeight="true" outlineLevel="0" collapsed="false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customFormat="false" ht="15.75" hidden="false" customHeight="true" outlineLevel="0" collapsed="false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customFormat="false" ht="15.75" hidden="false" customHeight="true" outlineLevel="0" collapsed="false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customFormat="false" ht="15.75" hidden="false" customHeight="true" outlineLevel="0" collapsed="false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customFormat="false" ht="15.75" hidden="false" customHeight="true" outlineLevel="0" collapsed="false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customFormat="false" ht="15.75" hidden="false" customHeight="true" outlineLevel="0" collapsed="false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customFormat="false" ht="15.75" hidden="false" customHeight="true" outlineLevel="0" collapsed="false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customFormat="false" ht="15.75" hidden="false" customHeight="true" outlineLevel="0" collapsed="false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customFormat="false" ht="15.75" hidden="false" customHeight="true" outlineLevel="0" collapsed="false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customFormat="false" ht="15.75" hidden="false" customHeight="true" outlineLevel="0" collapsed="false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customFormat="false" ht="15.75" hidden="false" customHeight="true" outlineLevel="0" collapsed="false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customFormat="false" ht="15.75" hidden="false" customHeight="true" outlineLevel="0" collapsed="false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customFormat="false" ht="15.75" hidden="false" customHeight="true" outlineLevel="0" collapsed="false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customFormat="false" ht="15.75" hidden="false" customHeight="true" outlineLevel="0" collapsed="false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customFormat="false" ht="15.75" hidden="false" customHeight="true" outlineLevel="0" collapsed="false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customFormat="false" ht="15.75" hidden="false" customHeight="true" outlineLevel="0" collapsed="false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customFormat="false" ht="15.75" hidden="false" customHeight="true" outlineLevel="0" collapsed="false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customFormat="false" ht="15.75" hidden="false" customHeight="true" outlineLevel="0" collapsed="false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customFormat="false" ht="15.75" hidden="false" customHeight="true" outlineLevel="0" collapsed="false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customFormat="false" ht="15.75" hidden="false" customHeight="true" outlineLevel="0" collapsed="false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customFormat="false" ht="15.75" hidden="false" customHeight="true" outlineLevel="0" collapsed="false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customFormat="false" ht="15.75" hidden="false" customHeight="true" outlineLevel="0" collapsed="false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customFormat="false" ht="15.75" hidden="false" customHeight="true" outlineLevel="0" collapsed="false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customFormat="false" ht="15.75" hidden="false" customHeight="true" outlineLevel="0" collapsed="false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customFormat="false" ht="15.75" hidden="false" customHeight="true" outlineLevel="0" collapsed="false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customFormat="false" ht="15.75" hidden="false" customHeight="true" outlineLevel="0" collapsed="false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customFormat="false" ht="15.75" hidden="false" customHeight="true" outlineLevel="0" collapsed="false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customFormat="false" ht="15.75" hidden="false" customHeight="true" outlineLevel="0" collapsed="false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customFormat="false" ht="15.75" hidden="false" customHeight="true" outlineLevel="0" collapsed="false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customFormat="false" ht="15.75" hidden="false" customHeight="true" outlineLevel="0" collapsed="false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customFormat="false" ht="15.75" hidden="false" customHeight="true" outlineLevel="0" collapsed="false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customFormat="false" ht="15.75" hidden="false" customHeight="true" outlineLevel="0" collapsed="false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customFormat="false" ht="15.75" hidden="false" customHeight="true" outlineLevel="0" collapsed="false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customFormat="false" ht="15.75" hidden="false" customHeight="true" outlineLevel="0" collapsed="false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customFormat="false" ht="15.75" hidden="false" customHeight="true" outlineLevel="0" collapsed="false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customFormat="false" ht="15.75" hidden="false" customHeight="true" outlineLevel="0" collapsed="false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customFormat="false" ht="15.75" hidden="false" customHeight="true" outlineLevel="0" collapsed="false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customFormat="false" ht="15.75" hidden="false" customHeight="true" outlineLevel="0" collapsed="false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customFormat="false" ht="15.75" hidden="false" customHeight="true" outlineLevel="0" collapsed="false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customFormat="false" ht="15.75" hidden="false" customHeight="true" outlineLevel="0" collapsed="false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customFormat="false" ht="15.75" hidden="false" customHeight="true" outlineLevel="0" collapsed="false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customFormat="false" ht="15.75" hidden="false" customHeight="true" outlineLevel="0" collapsed="false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customFormat="false" ht="15.75" hidden="false" customHeight="true" outlineLevel="0" collapsed="false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customFormat="false" ht="15.75" hidden="false" customHeight="true" outlineLevel="0" collapsed="false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customFormat="false" ht="15.75" hidden="false" customHeight="true" outlineLevel="0" collapsed="false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customFormat="false" ht="15.75" hidden="false" customHeight="true" outlineLevel="0" collapsed="false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customFormat="false" ht="15.75" hidden="false" customHeight="true" outlineLevel="0" collapsed="false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customFormat="false" ht="15.75" hidden="false" customHeight="true" outlineLevel="0" collapsed="false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customFormat="false" ht="15.75" hidden="false" customHeight="true" outlineLevel="0" collapsed="false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customFormat="false" ht="15.75" hidden="false" customHeight="true" outlineLevel="0" collapsed="false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customFormat="false" ht="15.75" hidden="false" customHeight="true" outlineLevel="0" collapsed="false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customFormat="false" ht="15.75" hidden="false" customHeight="true" outlineLevel="0" collapsed="false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customFormat="false" ht="15.75" hidden="false" customHeight="true" outlineLevel="0" collapsed="false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customFormat="false" ht="15.75" hidden="false" customHeight="true" outlineLevel="0" collapsed="false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customFormat="false" ht="15.75" hidden="false" customHeight="true" outlineLevel="0" collapsed="false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customFormat="false" ht="15.75" hidden="false" customHeight="true" outlineLevel="0" collapsed="false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customFormat="false" ht="15.75" hidden="false" customHeight="true" outlineLevel="0" collapsed="false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customFormat="false" ht="15.75" hidden="false" customHeight="true" outlineLevel="0" collapsed="false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customFormat="false" ht="15.75" hidden="false" customHeight="true" outlineLevel="0" collapsed="false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customFormat="false" ht="15.75" hidden="false" customHeight="true" outlineLevel="0" collapsed="false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customFormat="false" ht="15.75" hidden="false" customHeight="true" outlineLevel="0" collapsed="false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customFormat="false" ht="15.75" hidden="false" customHeight="true" outlineLevel="0" collapsed="false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customFormat="false" ht="15.75" hidden="false" customHeight="true" outlineLevel="0" collapsed="false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customFormat="false" ht="15.75" hidden="false" customHeight="true" outlineLevel="0" collapsed="false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customFormat="false" ht="15.75" hidden="false" customHeight="true" outlineLevel="0" collapsed="false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customFormat="false" ht="15.75" hidden="false" customHeight="true" outlineLevel="0" collapsed="false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customFormat="false" ht="15.75" hidden="false" customHeight="true" outlineLevel="0" collapsed="false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customFormat="false" ht="15.75" hidden="false" customHeight="true" outlineLevel="0" collapsed="false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customFormat="false" ht="15.75" hidden="false" customHeight="true" outlineLevel="0" collapsed="false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customFormat="false" ht="15.75" hidden="false" customHeight="true" outlineLevel="0" collapsed="false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customFormat="false" ht="15.75" hidden="false" customHeight="true" outlineLevel="0" collapsed="false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customFormat="false" ht="15.75" hidden="false" customHeight="true" outlineLevel="0" collapsed="false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customFormat="false" ht="15.75" hidden="false" customHeight="true" outlineLevel="0" collapsed="false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customFormat="false" ht="15.75" hidden="false" customHeight="true" outlineLevel="0" collapsed="false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customFormat="false" ht="15.75" hidden="false" customHeight="true" outlineLevel="0" collapsed="false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customFormat="false" ht="15.75" hidden="false" customHeight="true" outlineLevel="0" collapsed="false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customFormat="false" ht="15.75" hidden="false" customHeight="true" outlineLevel="0" collapsed="false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customFormat="false" ht="15.75" hidden="false" customHeight="true" outlineLevel="0" collapsed="false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customFormat="false" ht="15.75" hidden="false" customHeight="true" outlineLevel="0" collapsed="false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customFormat="false" ht="15.75" hidden="false" customHeight="true" outlineLevel="0" collapsed="false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customFormat="false" ht="15.75" hidden="false" customHeight="true" outlineLevel="0" collapsed="false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customFormat="false" ht="15.75" hidden="false" customHeight="true" outlineLevel="0" collapsed="false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customFormat="false" ht="15.75" hidden="false" customHeight="true" outlineLevel="0" collapsed="false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customFormat="false" ht="15.75" hidden="false" customHeight="true" outlineLevel="0" collapsed="false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customFormat="false" ht="15.75" hidden="false" customHeight="true" outlineLevel="0" collapsed="false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customFormat="false" ht="15.75" hidden="false" customHeight="true" outlineLevel="0" collapsed="false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customFormat="false" ht="15.75" hidden="false" customHeight="true" outlineLevel="0" collapsed="false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customFormat="false" ht="15.75" hidden="false" customHeight="true" outlineLevel="0" collapsed="false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customFormat="false" ht="15.75" hidden="false" customHeight="true" outlineLevel="0" collapsed="false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customFormat="false" ht="15.75" hidden="false" customHeight="true" outlineLevel="0" collapsed="false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customFormat="false" ht="15.75" hidden="false" customHeight="true" outlineLevel="0" collapsed="false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customFormat="false" ht="15.75" hidden="false" customHeight="true" outlineLevel="0" collapsed="false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customFormat="false" ht="15.75" hidden="false" customHeight="true" outlineLevel="0" collapsed="false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customFormat="false" ht="15.75" hidden="false" customHeight="true" outlineLevel="0" collapsed="false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customFormat="false" ht="15.75" hidden="false" customHeight="true" outlineLevel="0" collapsed="false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customFormat="false" ht="15.75" hidden="false" customHeight="true" outlineLevel="0" collapsed="false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customFormat="false" ht="15.75" hidden="false" customHeight="true" outlineLevel="0" collapsed="false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customFormat="false" ht="15.75" hidden="false" customHeight="true" outlineLevel="0" collapsed="false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customFormat="false" ht="15.75" hidden="false" customHeight="true" outlineLevel="0" collapsed="false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customFormat="false" ht="15.75" hidden="false" customHeight="true" outlineLevel="0" collapsed="false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customFormat="false" ht="15.75" hidden="false" customHeight="true" outlineLevel="0" collapsed="false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customFormat="false" ht="15.75" hidden="false" customHeight="true" outlineLevel="0" collapsed="false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customFormat="false" ht="15.75" hidden="false" customHeight="true" outlineLevel="0" collapsed="false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customFormat="false" ht="15.75" hidden="false" customHeight="true" outlineLevel="0" collapsed="false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customFormat="false" ht="15.75" hidden="false" customHeight="true" outlineLevel="0" collapsed="false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customFormat="false" ht="15.75" hidden="false" customHeight="true" outlineLevel="0" collapsed="false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customFormat="false" ht="15.75" hidden="false" customHeight="true" outlineLevel="0" collapsed="false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customFormat="false" ht="15.75" hidden="false" customHeight="true" outlineLevel="0" collapsed="false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customFormat="false" ht="15.75" hidden="false" customHeight="true" outlineLevel="0" collapsed="false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customFormat="false" ht="15.75" hidden="false" customHeight="true" outlineLevel="0" collapsed="false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customFormat="false" ht="15.75" hidden="false" customHeight="true" outlineLevel="0" collapsed="false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customFormat="false" ht="15.75" hidden="false" customHeight="true" outlineLevel="0" collapsed="false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customFormat="false" ht="15.75" hidden="false" customHeight="true" outlineLevel="0" collapsed="false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customFormat="false" ht="15.75" hidden="false" customHeight="true" outlineLevel="0" collapsed="false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customFormat="false" ht="15.75" hidden="false" customHeight="true" outlineLevel="0" collapsed="false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customFormat="false" ht="15.75" hidden="false" customHeight="true" outlineLevel="0" collapsed="false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customFormat="false" ht="15.75" hidden="false" customHeight="true" outlineLevel="0" collapsed="false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customFormat="false" ht="15.75" hidden="false" customHeight="true" outlineLevel="0" collapsed="false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customFormat="false" ht="15.75" hidden="false" customHeight="true" outlineLevel="0" collapsed="false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customFormat="false" ht="15.75" hidden="false" customHeight="true" outlineLevel="0" collapsed="false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customFormat="false" ht="15.75" hidden="false" customHeight="true" outlineLevel="0" collapsed="false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customFormat="false" ht="15.75" hidden="false" customHeight="true" outlineLevel="0" collapsed="false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customFormat="false" ht="15.75" hidden="false" customHeight="true" outlineLevel="0" collapsed="false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customFormat="false" ht="15.75" hidden="false" customHeight="true" outlineLevel="0" collapsed="false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customFormat="false" ht="15.75" hidden="false" customHeight="true" outlineLevel="0" collapsed="false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customFormat="false" ht="15.75" hidden="false" customHeight="true" outlineLevel="0" collapsed="false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customFormat="false" ht="15.75" hidden="false" customHeight="true" outlineLevel="0" collapsed="false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customFormat="false" ht="15.75" hidden="false" customHeight="true" outlineLevel="0" collapsed="false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customFormat="false" ht="15.75" hidden="false" customHeight="true" outlineLevel="0" collapsed="false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customFormat="false" ht="15.75" hidden="false" customHeight="true" outlineLevel="0" collapsed="false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customFormat="false" ht="15.75" hidden="false" customHeight="true" outlineLevel="0" collapsed="false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customFormat="false" ht="15.75" hidden="false" customHeight="true" outlineLevel="0" collapsed="false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customFormat="false" ht="15.75" hidden="false" customHeight="true" outlineLevel="0" collapsed="false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customFormat="false" ht="15.75" hidden="false" customHeight="true" outlineLevel="0" collapsed="false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customFormat="false" ht="15.75" hidden="false" customHeight="true" outlineLevel="0" collapsed="false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customFormat="false" ht="15.75" hidden="false" customHeight="true" outlineLevel="0" collapsed="false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customFormat="false" ht="15.75" hidden="false" customHeight="true" outlineLevel="0" collapsed="false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customFormat="false" ht="15.75" hidden="false" customHeight="true" outlineLevel="0" collapsed="false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customFormat="false" ht="15.75" hidden="false" customHeight="true" outlineLevel="0" collapsed="false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customFormat="false" ht="15.75" hidden="false" customHeight="true" outlineLevel="0" collapsed="false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customFormat="false" ht="15.75" hidden="false" customHeight="true" outlineLevel="0" collapsed="false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customFormat="false" ht="15.75" hidden="false" customHeight="true" outlineLevel="0" collapsed="false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customFormat="false" ht="15.75" hidden="false" customHeight="true" outlineLevel="0" collapsed="false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customFormat="false" ht="15.75" hidden="false" customHeight="true" outlineLevel="0" collapsed="false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customFormat="false" ht="15.75" hidden="false" customHeight="true" outlineLevel="0" collapsed="false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customFormat="false" ht="15.75" hidden="false" customHeight="true" outlineLevel="0" collapsed="false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customFormat="false" ht="15.75" hidden="false" customHeight="true" outlineLevel="0" collapsed="false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customFormat="false" ht="15.75" hidden="false" customHeight="true" outlineLevel="0" collapsed="false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customFormat="false" ht="15.75" hidden="false" customHeight="true" outlineLevel="0" collapsed="false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customFormat="false" ht="15.75" hidden="false" customHeight="true" outlineLevel="0" collapsed="false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customFormat="false" ht="15.75" hidden="false" customHeight="true" outlineLevel="0" collapsed="false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customFormat="false" ht="15.75" hidden="false" customHeight="true" outlineLevel="0" collapsed="false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customFormat="false" ht="15.75" hidden="false" customHeight="true" outlineLevel="0" collapsed="false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customFormat="false" ht="15.75" hidden="false" customHeight="true" outlineLevel="0" collapsed="false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customFormat="false" ht="15.75" hidden="false" customHeight="true" outlineLevel="0" collapsed="false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customFormat="false" ht="15.75" hidden="false" customHeight="true" outlineLevel="0" collapsed="false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customFormat="false" ht="15.75" hidden="false" customHeight="true" outlineLevel="0" collapsed="false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customFormat="false" ht="15.75" hidden="false" customHeight="true" outlineLevel="0" collapsed="false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customFormat="false" ht="15.75" hidden="false" customHeight="true" outlineLevel="0" collapsed="false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customFormat="false" ht="15.75" hidden="false" customHeight="true" outlineLevel="0" collapsed="false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customFormat="false" ht="15.75" hidden="false" customHeight="true" outlineLevel="0" collapsed="false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customFormat="false" ht="15.75" hidden="false" customHeight="true" outlineLevel="0" collapsed="false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customFormat="false" ht="15.75" hidden="false" customHeight="true" outlineLevel="0" collapsed="false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customFormat="false" ht="15.75" hidden="false" customHeight="true" outlineLevel="0" collapsed="false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customFormat="false" ht="15.75" hidden="false" customHeight="true" outlineLevel="0" collapsed="false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customFormat="false" ht="15.75" hidden="false" customHeight="true" outlineLevel="0" collapsed="false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customFormat="false" ht="15.75" hidden="false" customHeight="true" outlineLevel="0" collapsed="false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customFormat="false" ht="15.75" hidden="false" customHeight="true" outlineLevel="0" collapsed="false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customFormat="false" ht="15.75" hidden="false" customHeight="true" outlineLevel="0" collapsed="false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customFormat="false" ht="15.75" hidden="false" customHeight="true" outlineLevel="0" collapsed="false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customFormat="false" ht="15.75" hidden="false" customHeight="true" outlineLevel="0" collapsed="false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customFormat="false" ht="15.75" hidden="false" customHeight="true" outlineLevel="0" collapsed="false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customFormat="false" ht="15.75" hidden="false" customHeight="true" outlineLevel="0" collapsed="false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customFormat="false" ht="15.75" hidden="false" customHeight="true" outlineLevel="0" collapsed="false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customFormat="false" ht="15.75" hidden="false" customHeight="true" outlineLevel="0" collapsed="false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customFormat="false" ht="15.75" hidden="false" customHeight="true" outlineLevel="0" collapsed="false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customFormat="false" ht="15.75" hidden="false" customHeight="true" outlineLevel="0" collapsed="false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customFormat="false" ht="15.75" hidden="false" customHeight="true" outlineLevel="0" collapsed="false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customFormat="false" ht="15.75" hidden="false" customHeight="true" outlineLevel="0" collapsed="false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customFormat="false" ht="15.75" hidden="false" customHeight="true" outlineLevel="0" collapsed="false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customFormat="false" ht="15.75" hidden="false" customHeight="true" outlineLevel="0" collapsed="false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customFormat="false" ht="15.75" hidden="false" customHeight="true" outlineLevel="0" collapsed="false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customFormat="false" ht="15.75" hidden="false" customHeight="true" outlineLevel="0" collapsed="false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customFormat="false" ht="15.75" hidden="false" customHeight="true" outlineLevel="0" collapsed="false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customFormat="false" ht="15.75" hidden="false" customHeight="true" outlineLevel="0" collapsed="false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customFormat="false" ht="15.75" hidden="false" customHeight="true" outlineLevel="0" collapsed="false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customFormat="false" ht="15.75" hidden="false" customHeight="true" outlineLevel="0" collapsed="false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customFormat="false" ht="15.75" hidden="false" customHeight="true" outlineLevel="0" collapsed="false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customFormat="false" ht="15.75" hidden="false" customHeight="true" outlineLevel="0" collapsed="false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customFormat="false" ht="15.75" hidden="false" customHeight="true" outlineLevel="0" collapsed="false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customFormat="false" ht="15.75" hidden="false" customHeight="true" outlineLevel="0" collapsed="false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customFormat="false" ht="15.75" hidden="false" customHeight="true" outlineLevel="0" collapsed="false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customFormat="false" ht="15.75" hidden="false" customHeight="true" outlineLevel="0" collapsed="false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customFormat="false" ht="15.75" hidden="false" customHeight="true" outlineLevel="0" collapsed="false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customFormat="false" ht="15.75" hidden="false" customHeight="true" outlineLevel="0" collapsed="false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customFormat="false" ht="15.75" hidden="false" customHeight="true" outlineLevel="0" collapsed="false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customFormat="false" ht="15.75" hidden="false" customHeight="true" outlineLevel="0" collapsed="false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customFormat="false" ht="15.75" hidden="false" customHeight="true" outlineLevel="0" collapsed="false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customFormat="false" ht="15.75" hidden="false" customHeight="true" outlineLevel="0" collapsed="false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customFormat="false" ht="15.75" hidden="false" customHeight="true" outlineLevel="0" collapsed="false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customFormat="false" ht="15.75" hidden="false" customHeight="true" outlineLevel="0" collapsed="false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customFormat="false" ht="15.75" hidden="false" customHeight="true" outlineLevel="0" collapsed="false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customFormat="false" ht="15.75" hidden="false" customHeight="true" outlineLevel="0" collapsed="false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customFormat="false" ht="15.75" hidden="false" customHeight="true" outlineLevel="0" collapsed="false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customFormat="false" ht="15.75" hidden="false" customHeight="true" outlineLevel="0" collapsed="false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customFormat="false" ht="15.75" hidden="false" customHeight="true" outlineLevel="0" collapsed="false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customFormat="false" ht="15.75" hidden="false" customHeight="true" outlineLevel="0" collapsed="false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customFormat="false" ht="15.75" hidden="false" customHeight="true" outlineLevel="0" collapsed="false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customFormat="false" ht="15.75" hidden="false" customHeight="true" outlineLevel="0" collapsed="false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customFormat="false" ht="15.75" hidden="false" customHeight="true" outlineLevel="0" collapsed="false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customFormat="false" ht="15.75" hidden="false" customHeight="true" outlineLevel="0" collapsed="false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customFormat="false" ht="15.75" hidden="false" customHeight="true" outlineLevel="0" collapsed="false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customFormat="false" ht="15.75" hidden="false" customHeight="true" outlineLevel="0" collapsed="false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customFormat="false" ht="15.75" hidden="false" customHeight="true" outlineLevel="0" collapsed="false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customFormat="false" ht="15.75" hidden="false" customHeight="true" outlineLevel="0" collapsed="false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customFormat="false" ht="15.75" hidden="false" customHeight="true" outlineLevel="0" collapsed="false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customFormat="false" ht="15.75" hidden="false" customHeight="true" outlineLevel="0" collapsed="false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customFormat="false" ht="15.75" hidden="false" customHeight="true" outlineLevel="0" collapsed="false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customFormat="false" ht="15.75" hidden="false" customHeight="true" outlineLevel="0" collapsed="false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customFormat="false" ht="15.75" hidden="false" customHeight="true" outlineLevel="0" collapsed="false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customFormat="false" ht="15.75" hidden="false" customHeight="true" outlineLevel="0" collapsed="false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customFormat="false" ht="15.75" hidden="false" customHeight="true" outlineLevel="0" collapsed="false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customFormat="false" ht="15.75" hidden="false" customHeight="true" outlineLevel="0" collapsed="false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customFormat="false" ht="15.75" hidden="false" customHeight="true" outlineLevel="0" collapsed="false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customFormat="false" ht="15.75" hidden="false" customHeight="true" outlineLevel="0" collapsed="false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customFormat="false" ht="15.75" hidden="false" customHeight="true" outlineLevel="0" collapsed="false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customFormat="false" ht="15.75" hidden="false" customHeight="true" outlineLevel="0" collapsed="false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customFormat="false" ht="15.75" hidden="false" customHeight="true" outlineLevel="0" collapsed="false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customFormat="false" ht="15.75" hidden="false" customHeight="true" outlineLevel="0" collapsed="false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customFormat="false" ht="15.75" hidden="false" customHeight="true" outlineLevel="0" collapsed="false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customFormat="false" ht="15.75" hidden="false" customHeight="true" outlineLevel="0" collapsed="false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customFormat="false" ht="15.75" hidden="false" customHeight="true" outlineLevel="0" collapsed="false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customFormat="false" ht="15.75" hidden="false" customHeight="true" outlineLevel="0" collapsed="false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customFormat="false" ht="15.75" hidden="false" customHeight="true" outlineLevel="0" collapsed="false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customFormat="false" ht="15.75" hidden="false" customHeight="true" outlineLevel="0" collapsed="false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customFormat="false" ht="15.75" hidden="false" customHeight="true" outlineLevel="0" collapsed="false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customFormat="false" ht="15.75" hidden="false" customHeight="true" outlineLevel="0" collapsed="false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customFormat="false" ht="15.75" hidden="false" customHeight="true" outlineLevel="0" collapsed="false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customFormat="false" ht="15.75" hidden="false" customHeight="true" outlineLevel="0" collapsed="false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customFormat="false" ht="15.75" hidden="false" customHeight="true" outlineLevel="0" collapsed="false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customFormat="false" ht="15.75" hidden="false" customHeight="true" outlineLevel="0" collapsed="false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customFormat="false" ht="15.75" hidden="false" customHeight="true" outlineLevel="0" collapsed="false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customFormat="false" ht="15.75" hidden="false" customHeight="true" outlineLevel="0" collapsed="false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customFormat="false" ht="15.75" hidden="false" customHeight="true" outlineLevel="0" collapsed="false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customFormat="false" ht="15.75" hidden="false" customHeight="true" outlineLevel="0" collapsed="false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customFormat="false" ht="15.75" hidden="false" customHeight="true" outlineLevel="0" collapsed="false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customFormat="false" ht="15.75" hidden="false" customHeight="true" outlineLevel="0" collapsed="false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customFormat="false" ht="15.75" hidden="false" customHeight="true" outlineLevel="0" collapsed="false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customFormat="false" ht="15.75" hidden="false" customHeight="true" outlineLevel="0" collapsed="false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customFormat="false" ht="15.75" hidden="false" customHeight="true" outlineLevel="0" collapsed="false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customFormat="false" ht="15.75" hidden="false" customHeight="true" outlineLevel="0" collapsed="false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customFormat="false" ht="15.75" hidden="false" customHeight="true" outlineLevel="0" collapsed="false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customFormat="false" ht="15.75" hidden="false" customHeight="true" outlineLevel="0" collapsed="false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customFormat="false" ht="15.75" hidden="false" customHeight="true" outlineLevel="0" collapsed="false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customFormat="false" ht="15.75" hidden="false" customHeight="true" outlineLevel="0" collapsed="false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customFormat="false" ht="15.75" hidden="false" customHeight="true" outlineLevel="0" collapsed="false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customFormat="false" ht="15.75" hidden="false" customHeight="true" outlineLevel="0" collapsed="false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customFormat="false" ht="15.75" hidden="false" customHeight="true" outlineLevel="0" collapsed="false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customFormat="false" ht="15.75" hidden="false" customHeight="true" outlineLevel="0" collapsed="false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customFormat="false" ht="15.75" hidden="false" customHeight="true" outlineLevel="0" collapsed="false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customFormat="false" ht="15.75" hidden="false" customHeight="true" outlineLevel="0" collapsed="false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customFormat="false" ht="15.75" hidden="false" customHeight="true" outlineLevel="0" collapsed="false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customFormat="false" ht="15.75" hidden="false" customHeight="true" outlineLevel="0" collapsed="false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customFormat="false" ht="15.75" hidden="false" customHeight="true" outlineLevel="0" collapsed="false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customFormat="false" ht="15.75" hidden="false" customHeight="true" outlineLevel="0" collapsed="false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customFormat="false" ht="15.75" hidden="false" customHeight="true" outlineLevel="0" collapsed="false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customFormat="false" ht="15.75" hidden="false" customHeight="true" outlineLevel="0" collapsed="false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customFormat="false" ht="15.75" hidden="false" customHeight="true" outlineLevel="0" collapsed="false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customFormat="false" ht="15.75" hidden="false" customHeight="true" outlineLevel="0" collapsed="false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customFormat="false" ht="15.75" hidden="false" customHeight="true" outlineLevel="0" collapsed="false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customFormat="false" ht="15.75" hidden="false" customHeight="true" outlineLevel="0" collapsed="false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customFormat="false" ht="15.75" hidden="false" customHeight="true" outlineLevel="0" collapsed="false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customFormat="false" ht="15.75" hidden="false" customHeight="true" outlineLevel="0" collapsed="false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customFormat="false" ht="15.75" hidden="false" customHeight="true" outlineLevel="0" collapsed="false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customFormat="false" ht="15.75" hidden="false" customHeight="true" outlineLevel="0" collapsed="false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customFormat="false" ht="15.75" hidden="false" customHeight="true" outlineLevel="0" collapsed="false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customFormat="false" ht="15.75" hidden="false" customHeight="true" outlineLevel="0" collapsed="false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customFormat="false" ht="15.75" hidden="false" customHeight="true" outlineLevel="0" collapsed="false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customFormat="false" ht="15.75" hidden="false" customHeight="true" outlineLevel="0" collapsed="false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customFormat="false" ht="15.75" hidden="false" customHeight="true" outlineLevel="0" collapsed="false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customFormat="false" ht="15.75" hidden="false" customHeight="true" outlineLevel="0" collapsed="false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customFormat="false" ht="15.75" hidden="false" customHeight="true" outlineLevel="0" collapsed="false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customFormat="false" ht="15.75" hidden="false" customHeight="true" outlineLevel="0" collapsed="false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customFormat="false" ht="15.75" hidden="false" customHeight="true" outlineLevel="0" collapsed="false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customFormat="false" ht="15.75" hidden="false" customHeight="true" outlineLevel="0" collapsed="false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customFormat="false" ht="15.75" hidden="false" customHeight="true" outlineLevel="0" collapsed="false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customFormat="false" ht="15.75" hidden="false" customHeight="true" outlineLevel="0" collapsed="false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customFormat="false" ht="15.75" hidden="false" customHeight="true" outlineLevel="0" collapsed="false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customFormat="false" ht="15.75" hidden="false" customHeight="true" outlineLevel="0" collapsed="false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customFormat="false" ht="15.75" hidden="false" customHeight="true" outlineLevel="0" collapsed="false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customFormat="false" ht="15.75" hidden="false" customHeight="true" outlineLevel="0" collapsed="false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customFormat="false" ht="15.75" hidden="false" customHeight="true" outlineLevel="0" collapsed="false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customFormat="false" ht="15.75" hidden="false" customHeight="true" outlineLevel="0" collapsed="false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customFormat="false" ht="15.75" hidden="false" customHeight="true" outlineLevel="0" collapsed="false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customFormat="false" ht="15.75" hidden="false" customHeight="true" outlineLevel="0" collapsed="false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customFormat="false" ht="15.75" hidden="false" customHeight="true" outlineLevel="0" collapsed="false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customFormat="false" ht="15.75" hidden="false" customHeight="true" outlineLevel="0" collapsed="false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customFormat="false" ht="15.75" hidden="false" customHeight="true" outlineLevel="0" collapsed="false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customFormat="false" ht="15.75" hidden="false" customHeight="true" outlineLevel="0" collapsed="false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customFormat="false" ht="15.75" hidden="false" customHeight="true" outlineLevel="0" collapsed="false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customFormat="false" ht="15.75" hidden="false" customHeight="true" outlineLevel="0" collapsed="false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customFormat="false" ht="15.75" hidden="false" customHeight="true" outlineLevel="0" collapsed="false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customFormat="false" ht="15.75" hidden="false" customHeight="true" outlineLevel="0" collapsed="false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customFormat="false" ht="15.75" hidden="false" customHeight="true" outlineLevel="0" collapsed="false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customFormat="false" ht="15.75" hidden="false" customHeight="true" outlineLevel="0" collapsed="false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customFormat="false" ht="15.75" hidden="false" customHeight="true" outlineLevel="0" collapsed="false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customFormat="false" ht="15.75" hidden="false" customHeight="true" outlineLevel="0" collapsed="false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customFormat="false" ht="15.75" hidden="false" customHeight="true" outlineLevel="0" collapsed="false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customFormat="false" ht="15.75" hidden="false" customHeight="true" outlineLevel="0" collapsed="false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customFormat="false" ht="15.75" hidden="false" customHeight="true" outlineLevel="0" collapsed="false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customFormat="false" ht="15.75" hidden="false" customHeight="true" outlineLevel="0" collapsed="false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customFormat="false" ht="15.75" hidden="false" customHeight="true" outlineLevel="0" collapsed="false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customFormat="false" ht="15.75" hidden="false" customHeight="true" outlineLevel="0" collapsed="false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customFormat="false" ht="15.75" hidden="false" customHeight="true" outlineLevel="0" collapsed="false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customFormat="false" ht="15.75" hidden="false" customHeight="true" outlineLevel="0" collapsed="false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customFormat="false" ht="15.75" hidden="false" customHeight="true" outlineLevel="0" collapsed="false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customFormat="false" ht="15.75" hidden="false" customHeight="true" outlineLevel="0" collapsed="false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customFormat="false" ht="15.75" hidden="false" customHeight="true" outlineLevel="0" collapsed="false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customFormat="false" ht="15.75" hidden="false" customHeight="true" outlineLevel="0" collapsed="false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customFormat="false" ht="15.75" hidden="false" customHeight="true" outlineLevel="0" collapsed="false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customFormat="false" ht="15.75" hidden="false" customHeight="true" outlineLevel="0" collapsed="false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customFormat="false" ht="15.75" hidden="false" customHeight="true" outlineLevel="0" collapsed="false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customFormat="false" ht="15.75" hidden="false" customHeight="true" outlineLevel="0" collapsed="false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customFormat="false" ht="15.75" hidden="false" customHeight="true" outlineLevel="0" collapsed="false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customFormat="false" ht="15.75" hidden="false" customHeight="true" outlineLevel="0" collapsed="false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customFormat="false" ht="15.75" hidden="false" customHeight="true" outlineLevel="0" collapsed="false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customFormat="false" ht="15.75" hidden="false" customHeight="true" outlineLevel="0" collapsed="false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customFormat="false" ht="15.75" hidden="false" customHeight="true" outlineLevel="0" collapsed="false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customFormat="false" ht="15.75" hidden="false" customHeight="true" outlineLevel="0" collapsed="false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customFormat="false" ht="15.75" hidden="false" customHeight="true" outlineLevel="0" collapsed="false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customFormat="false" ht="15.75" hidden="false" customHeight="true" outlineLevel="0" collapsed="false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customFormat="false" ht="15.75" hidden="false" customHeight="true" outlineLevel="0" collapsed="false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customFormat="false" ht="15.75" hidden="false" customHeight="true" outlineLevel="0" collapsed="false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customFormat="false" ht="15.75" hidden="false" customHeight="true" outlineLevel="0" collapsed="false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customFormat="false" ht="15.75" hidden="false" customHeight="true" outlineLevel="0" collapsed="false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customFormat="false" ht="15.75" hidden="false" customHeight="true" outlineLevel="0" collapsed="false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customFormat="false" ht="15.75" hidden="false" customHeight="true" outlineLevel="0" collapsed="false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customFormat="false" ht="15.75" hidden="false" customHeight="true" outlineLevel="0" collapsed="false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customFormat="false" ht="15.75" hidden="false" customHeight="true" outlineLevel="0" collapsed="false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customFormat="false" ht="15.75" hidden="false" customHeight="true" outlineLevel="0" collapsed="false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customFormat="false" ht="15.75" hidden="false" customHeight="true" outlineLevel="0" collapsed="false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customFormat="false" ht="15.75" hidden="false" customHeight="true" outlineLevel="0" collapsed="false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customFormat="false" ht="15.75" hidden="false" customHeight="true" outlineLevel="0" collapsed="false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customFormat="false" ht="15.75" hidden="false" customHeight="true" outlineLevel="0" collapsed="false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customFormat="false" ht="15.75" hidden="false" customHeight="true" outlineLevel="0" collapsed="false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customFormat="false" ht="15.75" hidden="false" customHeight="true" outlineLevel="0" collapsed="false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customFormat="false" ht="15.75" hidden="false" customHeight="true" outlineLevel="0" collapsed="false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customFormat="false" ht="15.75" hidden="false" customHeight="true" outlineLevel="0" collapsed="false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customFormat="false" ht="15.75" hidden="false" customHeight="true" outlineLevel="0" collapsed="false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customFormat="false" ht="15.75" hidden="false" customHeight="true" outlineLevel="0" collapsed="false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customFormat="false" ht="15.75" hidden="false" customHeight="true" outlineLevel="0" collapsed="false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customFormat="false" ht="15.75" hidden="false" customHeight="true" outlineLevel="0" collapsed="false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customFormat="false" ht="15.75" hidden="false" customHeight="true" outlineLevel="0" collapsed="false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customFormat="false" ht="15.75" hidden="false" customHeight="true" outlineLevel="0" collapsed="false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customFormat="false" ht="15.75" hidden="false" customHeight="true" outlineLevel="0" collapsed="false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customFormat="false" ht="15.75" hidden="false" customHeight="true" outlineLevel="0" collapsed="false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customFormat="false" ht="15.75" hidden="false" customHeight="true" outlineLevel="0" collapsed="false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customFormat="false" ht="15.75" hidden="false" customHeight="true" outlineLevel="0" collapsed="false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customFormat="false" ht="15.75" hidden="false" customHeight="true" outlineLevel="0" collapsed="false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customFormat="false" ht="15.75" hidden="false" customHeight="true" outlineLevel="0" collapsed="false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customFormat="false" ht="15.75" hidden="false" customHeight="true" outlineLevel="0" collapsed="false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customFormat="false" ht="15.75" hidden="false" customHeight="true" outlineLevel="0" collapsed="false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customFormat="false" ht="15.75" hidden="false" customHeight="true" outlineLevel="0" collapsed="false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customFormat="false" ht="15.75" hidden="false" customHeight="true" outlineLevel="0" collapsed="false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customFormat="false" ht="15.75" hidden="false" customHeight="true" outlineLevel="0" collapsed="false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customFormat="false" ht="15.75" hidden="false" customHeight="true" outlineLevel="0" collapsed="false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customFormat="false" ht="15.75" hidden="false" customHeight="true" outlineLevel="0" collapsed="false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customFormat="false" ht="15.75" hidden="false" customHeight="true" outlineLevel="0" collapsed="false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customFormat="false" ht="15.75" hidden="false" customHeight="true" outlineLevel="0" collapsed="false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customFormat="false" ht="15.75" hidden="false" customHeight="true" outlineLevel="0" collapsed="false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customFormat="false" ht="15.75" hidden="false" customHeight="true" outlineLevel="0" collapsed="false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customFormat="false" ht="15.75" hidden="false" customHeight="true" outlineLevel="0" collapsed="false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customFormat="false" ht="15.75" hidden="false" customHeight="true" outlineLevel="0" collapsed="false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customFormat="false" ht="15.75" hidden="false" customHeight="true" outlineLevel="0" collapsed="false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customFormat="false" ht="15.75" hidden="false" customHeight="true" outlineLevel="0" collapsed="false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customFormat="false" ht="15.75" hidden="false" customHeight="true" outlineLevel="0" collapsed="false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customFormat="false" ht="15.75" hidden="false" customHeight="true" outlineLevel="0" collapsed="false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customFormat="false" ht="15.75" hidden="false" customHeight="true" outlineLevel="0" collapsed="false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customFormat="false" ht="15.75" hidden="false" customHeight="true" outlineLevel="0" collapsed="false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customFormat="false" ht="15.75" hidden="false" customHeight="true" outlineLevel="0" collapsed="false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customFormat="false" ht="15.75" hidden="false" customHeight="true" outlineLevel="0" collapsed="false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customFormat="false" ht="15.75" hidden="false" customHeight="true" outlineLevel="0" collapsed="false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customFormat="false" ht="15.75" hidden="false" customHeight="true" outlineLevel="0" collapsed="false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customFormat="false" ht="15.75" hidden="false" customHeight="true" outlineLevel="0" collapsed="false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customFormat="false" ht="15.75" hidden="false" customHeight="true" outlineLevel="0" collapsed="false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customFormat="false" ht="15.75" hidden="false" customHeight="true" outlineLevel="0" collapsed="false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customFormat="false" ht="15.75" hidden="false" customHeight="true" outlineLevel="0" collapsed="false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customFormat="false" ht="15.75" hidden="false" customHeight="true" outlineLevel="0" collapsed="false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customFormat="false" ht="15.75" hidden="false" customHeight="true" outlineLevel="0" collapsed="false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customFormat="false" ht="15.75" hidden="false" customHeight="true" outlineLevel="0" collapsed="false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customFormat="false" ht="15.75" hidden="false" customHeight="true" outlineLevel="0" collapsed="false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customFormat="false" ht="15.75" hidden="false" customHeight="true" outlineLevel="0" collapsed="false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customFormat="false" ht="15.75" hidden="false" customHeight="true" outlineLevel="0" collapsed="false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customFormat="false" ht="15.75" hidden="false" customHeight="true" outlineLevel="0" collapsed="false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customFormat="false" ht="15.75" hidden="false" customHeight="true" outlineLevel="0" collapsed="false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customFormat="false" ht="15.75" hidden="false" customHeight="true" outlineLevel="0" collapsed="false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customFormat="false" ht="15.75" hidden="false" customHeight="true" outlineLevel="0" collapsed="false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customFormat="false" ht="15.75" hidden="false" customHeight="true" outlineLevel="0" collapsed="false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customFormat="false" ht="15.75" hidden="false" customHeight="true" outlineLevel="0" collapsed="false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customFormat="false" ht="15.75" hidden="false" customHeight="true" outlineLevel="0" collapsed="false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customFormat="false" ht="15.75" hidden="false" customHeight="true" outlineLevel="0" collapsed="false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customFormat="false" ht="15.75" hidden="false" customHeight="true" outlineLevel="0" collapsed="false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customFormat="false" ht="15.75" hidden="false" customHeight="true" outlineLevel="0" collapsed="false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customFormat="false" ht="15.75" hidden="false" customHeight="true" outlineLevel="0" collapsed="false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customFormat="false" ht="15.75" hidden="false" customHeight="true" outlineLevel="0" collapsed="false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customFormat="false" ht="15.75" hidden="false" customHeight="true" outlineLevel="0" collapsed="false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customFormat="false" ht="15.75" hidden="false" customHeight="true" outlineLevel="0" collapsed="false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customFormat="false" ht="15.75" hidden="false" customHeight="true" outlineLevel="0" collapsed="false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customFormat="false" ht="15.75" hidden="false" customHeight="true" outlineLevel="0" collapsed="false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customFormat="false" ht="15.75" hidden="false" customHeight="true" outlineLevel="0" collapsed="false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customFormat="false" ht="15.75" hidden="false" customHeight="true" outlineLevel="0" collapsed="false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customFormat="false" ht="15.75" hidden="false" customHeight="true" outlineLevel="0" collapsed="false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customFormat="false" ht="15.75" hidden="false" customHeight="true" outlineLevel="0" collapsed="false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customFormat="false" ht="15.75" hidden="false" customHeight="true" outlineLevel="0" collapsed="false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customFormat="false" ht="15.75" hidden="false" customHeight="true" outlineLevel="0" collapsed="false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customFormat="false" ht="15.75" hidden="false" customHeight="true" outlineLevel="0" collapsed="false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customFormat="false" ht="15.75" hidden="false" customHeight="true" outlineLevel="0" collapsed="false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customFormat="false" ht="15.75" hidden="false" customHeight="true" outlineLevel="0" collapsed="false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customFormat="false" ht="15.75" hidden="false" customHeight="true" outlineLevel="0" collapsed="false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customFormat="false" ht="15.75" hidden="false" customHeight="true" outlineLevel="0" collapsed="false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customFormat="false" ht="15.75" hidden="false" customHeight="true" outlineLevel="0" collapsed="false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customFormat="false" ht="15.75" hidden="false" customHeight="true" outlineLevel="0" collapsed="false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customFormat="false" ht="15.75" hidden="false" customHeight="true" outlineLevel="0" collapsed="false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customFormat="false" ht="15.75" hidden="false" customHeight="true" outlineLevel="0" collapsed="false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customFormat="false" ht="15.75" hidden="false" customHeight="true" outlineLevel="0" collapsed="false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customFormat="false" ht="15.75" hidden="false" customHeight="true" outlineLevel="0" collapsed="false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customFormat="false" ht="15.75" hidden="false" customHeight="true" outlineLevel="0" collapsed="false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customFormat="false" ht="15.75" hidden="false" customHeight="true" outlineLevel="0" collapsed="false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customFormat="false" ht="15.75" hidden="false" customHeight="true" outlineLevel="0" collapsed="false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customFormat="false" ht="15.75" hidden="false" customHeight="true" outlineLevel="0" collapsed="false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customFormat="false" ht="15.75" hidden="false" customHeight="true" outlineLevel="0" collapsed="false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customFormat="false" ht="15.75" hidden="false" customHeight="true" outlineLevel="0" collapsed="false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customFormat="false" ht="15.75" hidden="false" customHeight="true" outlineLevel="0" collapsed="false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customFormat="false" ht="15.75" hidden="false" customHeight="true" outlineLevel="0" collapsed="false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customFormat="false" ht="15.75" hidden="false" customHeight="true" outlineLevel="0" collapsed="false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customFormat="false" ht="15.75" hidden="false" customHeight="true" outlineLevel="0" collapsed="false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customFormat="false" ht="15.75" hidden="false" customHeight="true" outlineLevel="0" collapsed="false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customFormat="false" ht="15.75" hidden="false" customHeight="true" outlineLevel="0" collapsed="false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customFormat="false" ht="15.75" hidden="false" customHeight="true" outlineLevel="0" collapsed="false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customFormat="false" ht="15.75" hidden="false" customHeight="true" outlineLevel="0" collapsed="false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customFormat="false" ht="15.75" hidden="false" customHeight="true" outlineLevel="0" collapsed="false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customFormat="false" ht="15.75" hidden="false" customHeight="true" outlineLevel="0" collapsed="false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customFormat="false" ht="15.75" hidden="false" customHeight="true" outlineLevel="0" collapsed="false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customFormat="false" ht="15.75" hidden="false" customHeight="true" outlineLevel="0" collapsed="false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customFormat="false" ht="15.75" hidden="false" customHeight="true" outlineLevel="0" collapsed="false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customFormat="false" ht="15.75" hidden="false" customHeight="true" outlineLevel="0" collapsed="false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customFormat="false" ht="15.75" hidden="false" customHeight="true" outlineLevel="0" collapsed="false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customFormat="false" ht="15.75" hidden="false" customHeight="true" outlineLevel="0" collapsed="false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customFormat="false" ht="15.75" hidden="false" customHeight="true" outlineLevel="0" collapsed="false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customFormat="false" ht="15.75" hidden="false" customHeight="true" outlineLevel="0" collapsed="false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customFormat="false" ht="15.75" hidden="false" customHeight="true" outlineLevel="0" collapsed="false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customFormat="false" ht="15.75" hidden="false" customHeight="true" outlineLevel="0" collapsed="false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customFormat="false" ht="15.75" hidden="false" customHeight="true" outlineLevel="0" collapsed="false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customFormat="false" ht="15.75" hidden="false" customHeight="true" outlineLevel="0" collapsed="false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customFormat="false" ht="15.75" hidden="false" customHeight="true" outlineLevel="0" collapsed="false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customFormat="false" ht="15.75" hidden="false" customHeight="true" outlineLevel="0" collapsed="false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customFormat="false" ht="15.75" hidden="false" customHeight="true" outlineLevel="0" collapsed="false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customFormat="false" ht="15.75" hidden="false" customHeight="true" outlineLevel="0" collapsed="false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customFormat="false" ht="15.75" hidden="false" customHeight="true" outlineLevel="0" collapsed="false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customFormat="false" ht="15.75" hidden="false" customHeight="true" outlineLevel="0" collapsed="false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customFormat="false" ht="15.75" hidden="false" customHeight="true" outlineLevel="0" collapsed="false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customFormat="false" ht="15.75" hidden="false" customHeight="true" outlineLevel="0" collapsed="false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customFormat="false" ht="15.75" hidden="false" customHeight="true" outlineLevel="0" collapsed="false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customFormat="false" ht="15.75" hidden="false" customHeight="true" outlineLevel="0" collapsed="false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customFormat="false" ht="15.75" hidden="false" customHeight="true" outlineLevel="0" collapsed="false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customFormat="false" ht="15.75" hidden="false" customHeight="true" outlineLevel="0" collapsed="false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customFormat="false" ht="15.75" hidden="false" customHeight="true" outlineLevel="0" collapsed="false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customFormat="false" ht="15.75" hidden="false" customHeight="true" outlineLevel="0" collapsed="false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customFormat="false" ht="15.75" hidden="false" customHeight="true" outlineLevel="0" collapsed="false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customFormat="false" ht="15.75" hidden="false" customHeight="true" outlineLevel="0" collapsed="false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customFormat="false" ht="15.75" hidden="false" customHeight="true" outlineLevel="0" collapsed="false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customFormat="false" ht="15.75" hidden="false" customHeight="true" outlineLevel="0" collapsed="false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customFormat="false" ht="15.75" hidden="false" customHeight="true" outlineLevel="0" collapsed="false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customFormat="false" ht="15.75" hidden="false" customHeight="true" outlineLevel="0" collapsed="false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customFormat="false" ht="15.75" hidden="false" customHeight="true" outlineLevel="0" collapsed="false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customFormat="false" ht="15.75" hidden="false" customHeight="true" outlineLevel="0" collapsed="false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customFormat="false" ht="15.75" hidden="false" customHeight="true" outlineLevel="0" collapsed="false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customFormat="false" ht="15.75" hidden="false" customHeight="true" outlineLevel="0" collapsed="false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customFormat="false" ht="15.75" hidden="false" customHeight="true" outlineLevel="0" collapsed="false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customFormat="false" ht="15.75" hidden="false" customHeight="true" outlineLevel="0" collapsed="false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customFormat="false" ht="15.75" hidden="false" customHeight="true" outlineLevel="0" collapsed="false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customFormat="false" ht="15.75" hidden="false" customHeight="true" outlineLevel="0" collapsed="false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customFormat="false" ht="15.75" hidden="false" customHeight="true" outlineLevel="0" collapsed="false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customFormat="false" ht="15.75" hidden="false" customHeight="true" outlineLevel="0" collapsed="false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customFormat="false" ht="15.75" hidden="false" customHeight="true" outlineLevel="0" collapsed="false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customFormat="false" ht="15.75" hidden="false" customHeight="true" outlineLevel="0" collapsed="false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customFormat="false" ht="15.75" hidden="false" customHeight="true" outlineLevel="0" collapsed="false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customFormat="false" ht="15.75" hidden="false" customHeight="true" outlineLevel="0" collapsed="false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customFormat="false" ht="15.75" hidden="false" customHeight="true" outlineLevel="0" collapsed="false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customFormat="false" ht="15.75" hidden="false" customHeight="true" outlineLevel="0" collapsed="false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customFormat="false" ht="15.75" hidden="false" customHeight="true" outlineLevel="0" collapsed="false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customFormat="false" ht="15.75" hidden="false" customHeight="true" outlineLevel="0" collapsed="false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customFormat="false" ht="15.75" hidden="false" customHeight="true" outlineLevel="0" collapsed="false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customFormat="false" ht="15.75" hidden="false" customHeight="true" outlineLevel="0" collapsed="false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customFormat="false" ht="15.75" hidden="false" customHeight="true" outlineLevel="0" collapsed="false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customFormat="false" ht="15.75" hidden="false" customHeight="true" outlineLevel="0" collapsed="false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customFormat="false" ht="15.75" hidden="false" customHeight="true" outlineLevel="0" collapsed="false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customFormat="false" ht="15.75" hidden="false" customHeight="true" outlineLevel="0" collapsed="false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customFormat="false" ht="15.75" hidden="false" customHeight="true" outlineLevel="0" collapsed="false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customFormat="false" ht="15.75" hidden="false" customHeight="true" outlineLevel="0" collapsed="false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customFormat="false" ht="15.75" hidden="false" customHeight="true" outlineLevel="0" collapsed="false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customFormat="false" ht="15.75" hidden="false" customHeight="true" outlineLevel="0" collapsed="false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customFormat="false" ht="15.75" hidden="false" customHeight="true" outlineLevel="0" collapsed="false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customFormat="false" ht="15.75" hidden="false" customHeight="true" outlineLevel="0" collapsed="false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customFormat="false" ht="15.75" hidden="false" customHeight="true" outlineLevel="0" collapsed="false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customFormat="false" ht="15.75" hidden="false" customHeight="true" outlineLevel="0" collapsed="false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customFormat="false" ht="15.75" hidden="false" customHeight="true" outlineLevel="0" collapsed="false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customFormat="false" ht="15.75" hidden="false" customHeight="true" outlineLevel="0" collapsed="false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customFormat="false" ht="15.75" hidden="false" customHeight="true" outlineLevel="0" collapsed="false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customFormat="false" ht="15.75" hidden="false" customHeight="true" outlineLevel="0" collapsed="false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customFormat="false" ht="15.75" hidden="false" customHeight="true" outlineLevel="0" collapsed="false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customFormat="false" ht="15.75" hidden="false" customHeight="true" outlineLevel="0" collapsed="false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customFormat="false" ht="15.75" hidden="false" customHeight="true" outlineLevel="0" collapsed="false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customFormat="false" ht="15.75" hidden="false" customHeight="true" outlineLevel="0" collapsed="false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customFormat="false" ht="15.75" hidden="false" customHeight="true" outlineLevel="0" collapsed="false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customFormat="false" ht="15.75" hidden="false" customHeight="true" outlineLevel="0" collapsed="false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customFormat="false" ht="15.75" hidden="false" customHeight="true" outlineLevel="0" collapsed="false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customFormat="false" ht="15.75" hidden="false" customHeight="true" outlineLevel="0" collapsed="false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customFormat="false" ht="15.75" hidden="false" customHeight="true" outlineLevel="0" collapsed="false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customFormat="false" ht="15.75" hidden="false" customHeight="true" outlineLevel="0" collapsed="false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customFormat="false" ht="15.75" hidden="false" customHeight="true" outlineLevel="0" collapsed="false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customFormat="false" ht="15.75" hidden="false" customHeight="true" outlineLevel="0" collapsed="false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customFormat="false" ht="15.75" hidden="false" customHeight="true" outlineLevel="0" collapsed="false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customFormat="false" ht="15.75" hidden="false" customHeight="true" outlineLevel="0" collapsed="false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customFormat="false" ht="15.75" hidden="false" customHeight="true" outlineLevel="0" collapsed="false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customFormat="false" ht="15.75" hidden="false" customHeight="true" outlineLevel="0" collapsed="false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customFormat="false" ht="15.75" hidden="false" customHeight="true" outlineLevel="0" collapsed="false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customFormat="false" ht="15.75" hidden="false" customHeight="true" outlineLevel="0" collapsed="false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customFormat="false" ht="15.75" hidden="false" customHeight="true" outlineLevel="0" collapsed="false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customFormat="false" ht="15.75" hidden="false" customHeight="true" outlineLevel="0" collapsed="false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customFormat="false" ht="15.75" hidden="false" customHeight="true" outlineLevel="0" collapsed="false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customFormat="false" ht="15.75" hidden="false" customHeight="true" outlineLevel="0" collapsed="false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customFormat="false" ht="15.75" hidden="false" customHeight="true" outlineLevel="0" collapsed="false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customFormat="false" ht="15.75" hidden="false" customHeight="true" outlineLevel="0" collapsed="false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customFormat="false" ht="15.75" hidden="false" customHeight="true" outlineLevel="0" collapsed="false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customFormat="false" ht="15.75" hidden="false" customHeight="true" outlineLevel="0" collapsed="false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customFormat="false" ht="15.75" hidden="false" customHeight="true" outlineLevel="0" collapsed="false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customFormat="false" ht="15.75" hidden="false" customHeight="true" outlineLevel="0" collapsed="false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customFormat="false" ht="15.75" hidden="false" customHeight="true" outlineLevel="0" collapsed="false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customFormat="false" ht="15.75" hidden="false" customHeight="true" outlineLevel="0" collapsed="false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customFormat="false" ht="15.75" hidden="false" customHeight="true" outlineLevel="0" collapsed="false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customFormat="false" ht="15.75" hidden="false" customHeight="true" outlineLevel="0" collapsed="false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customFormat="false" ht="15.75" hidden="false" customHeight="true" outlineLevel="0" collapsed="false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customFormat="false" ht="15.75" hidden="false" customHeight="true" outlineLevel="0" collapsed="false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customFormat="false" ht="15.75" hidden="false" customHeight="true" outlineLevel="0" collapsed="false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customFormat="false" ht="15.75" hidden="false" customHeight="true" outlineLevel="0" collapsed="false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customFormat="false" ht="15.75" hidden="false" customHeight="true" outlineLevel="0" collapsed="false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customFormat="false" ht="15.75" hidden="false" customHeight="true" outlineLevel="0" collapsed="false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customFormat="false" ht="15.75" hidden="false" customHeight="true" outlineLevel="0" collapsed="false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customFormat="false" ht="15.75" hidden="false" customHeight="true" outlineLevel="0" collapsed="false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customFormat="false" ht="15.75" hidden="false" customHeight="true" outlineLevel="0" collapsed="false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customFormat="false" ht="15.75" hidden="false" customHeight="true" outlineLevel="0" collapsed="false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customFormat="false" ht="15.75" hidden="false" customHeight="true" outlineLevel="0" collapsed="false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customFormat="false" ht="15.75" hidden="false" customHeight="true" outlineLevel="0" collapsed="false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customFormat="false" ht="15.75" hidden="false" customHeight="true" outlineLevel="0" collapsed="false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customFormat="false" ht="15.75" hidden="false" customHeight="true" outlineLevel="0" collapsed="false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customFormat="false" ht="15.75" hidden="false" customHeight="true" outlineLevel="0" collapsed="false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customFormat="false" ht="15.75" hidden="false" customHeight="true" outlineLevel="0" collapsed="false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customFormat="false" ht="15.75" hidden="false" customHeight="true" outlineLevel="0" collapsed="false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customFormat="false" ht="15.75" hidden="false" customHeight="true" outlineLevel="0" collapsed="false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customFormat="false" ht="15.75" hidden="false" customHeight="true" outlineLevel="0" collapsed="false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customFormat="false" ht="15.75" hidden="false" customHeight="true" outlineLevel="0" collapsed="false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customFormat="false" ht="15.75" hidden="false" customHeight="true" outlineLevel="0" collapsed="false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customFormat="false" ht="15.75" hidden="false" customHeight="true" outlineLevel="0" collapsed="false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customFormat="false" ht="15.75" hidden="false" customHeight="true" outlineLevel="0" collapsed="false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customFormat="false" ht="15.75" hidden="false" customHeight="true" outlineLevel="0" collapsed="false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customFormat="false" ht="15.75" hidden="false" customHeight="true" outlineLevel="0" collapsed="false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customFormat="false" ht="15.75" hidden="false" customHeight="true" outlineLevel="0" collapsed="false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customFormat="false" ht="15.75" hidden="false" customHeight="true" outlineLevel="0" collapsed="false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customFormat="false" ht="15.75" hidden="false" customHeight="true" outlineLevel="0" collapsed="false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customFormat="false" ht="15.75" hidden="false" customHeight="true" outlineLevel="0" collapsed="false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customFormat="false" ht="15.75" hidden="false" customHeight="true" outlineLevel="0" collapsed="false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customFormat="false" ht="15.75" hidden="false" customHeight="true" outlineLevel="0" collapsed="false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customFormat="false" ht="15.75" hidden="false" customHeight="true" outlineLevel="0" collapsed="false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customFormat="false" ht="15.75" hidden="false" customHeight="true" outlineLevel="0" collapsed="false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customFormat="false" ht="15.75" hidden="false" customHeight="true" outlineLevel="0" collapsed="false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customFormat="false" ht="15.75" hidden="false" customHeight="true" outlineLevel="0" collapsed="false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customFormat="false" ht="15.75" hidden="false" customHeight="true" outlineLevel="0" collapsed="false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customFormat="false" ht="15.75" hidden="false" customHeight="true" outlineLevel="0" collapsed="false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customFormat="false" ht="15.75" hidden="false" customHeight="true" outlineLevel="0" collapsed="false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customFormat="false" ht="15.75" hidden="false" customHeight="true" outlineLevel="0" collapsed="false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customFormat="false" ht="15.75" hidden="false" customHeight="true" outlineLevel="0" collapsed="false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customFormat="false" ht="15.75" hidden="false" customHeight="true" outlineLevel="0" collapsed="false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customFormat="false" ht="15.75" hidden="false" customHeight="true" outlineLevel="0" collapsed="false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customFormat="false" ht="15.75" hidden="false" customHeight="true" outlineLevel="0" collapsed="false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customFormat="false" ht="15.75" hidden="false" customHeight="true" outlineLevel="0" collapsed="false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customFormat="false" ht="15.75" hidden="false" customHeight="true" outlineLevel="0" collapsed="false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customFormat="false" ht="15.75" hidden="false" customHeight="true" outlineLevel="0" collapsed="false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customFormat="false" ht="15.75" hidden="false" customHeight="true" outlineLevel="0" collapsed="false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customFormat="false" ht="15.75" hidden="false" customHeight="true" outlineLevel="0" collapsed="false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customFormat="false" ht="15.75" hidden="false" customHeight="true" outlineLevel="0" collapsed="false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customFormat="false" ht="15.75" hidden="false" customHeight="true" outlineLevel="0" collapsed="false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customFormat="false" ht="15.75" hidden="false" customHeight="true" outlineLevel="0" collapsed="false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customFormat="false" ht="15.75" hidden="false" customHeight="true" outlineLevel="0" collapsed="false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customFormat="false" ht="15.75" hidden="false" customHeight="true" outlineLevel="0" collapsed="false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customFormat="false" ht="15.75" hidden="false" customHeight="true" outlineLevel="0" collapsed="false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customFormat="false" ht="15.75" hidden="false" customHeight="true" outlineLevel="0" collapsed="false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customFormat="false" ht="15.75" hidden="false" customHeight="true" outlineLevel="0" collapsed="false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customFormat="false" ht="15.75" hidden="false" customHeight="true" outlineLevel="0" collapsed="false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customFormat="false" ht="15.75" hidden="false" customHeight="true" outlineLevel="0" collapsed="false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customFormat="false" ht="15.75" hidden="false" customHeight="true" outlineLevel="0" collapsed="false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customFormat="false" ht="15.75" hidden="false" customHeight="true" outlineLevel="0" collapsed="false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customFormat="false" ht="15.75" hidden="false" customHeight="true" outlineLevel="0" collapsed="false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customFormat="false" ht="15.75" hidden="false" customHeight="true" outlineLevel="0" collapsed="false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customFormat="false" ht="15.75" hidden="false" customHeight="true" outlineLevel="0" collapsed="false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customFormat="false" ht="15.75" hidden="false" customHeight="true" outlineLevel="0" collapsed="false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customFormat="false" ht="15.75" hidden="false" customHeight="true" outlineLevel="0" collapsed="false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customFormat="false" ht="15.75" hidden="false" customHeight="true" outlineLevel="0" collapsed="false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customFormat="false" ht="15.75" hidden="false" customHeight="true" outlineLevel="0" collapsed="false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customFormat="false" ht="15.75" hidden="false" customHeight="true" outlineLevel="0" collapsed="false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customFormat="false" ht="15.75" hidden="false" customHeight="true" outlineLevel="0" collapsed="false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customFormat="false" ht="15.75" hidden="false" customHeight="true" outlineLevel="0" collapsed="false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customFormat="false" ht="15.75" hidden="false" customHeight="true" outlineLevel="0" collapsed="false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customFormat="false" ht="15.75" hidden="false" customHeight="true" outlineLevel="0" collapsed="false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customFormat="false" ht="15.75" hidden="false" customHeight="true" outlineLevel="0" collapsed="false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customFormat="false" ht="15.75" hidden="false" customHeight="true" outlineLevel="0" collapsed="false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customFormat="false" ht="15.75" hidden="false" customHeight="true" outlineLevel="0" collapsed="false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customFormat="false" ht="15.75" hidden="false" customHeight="true" outlineLevel="0" collapsed="false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customFormat="false" ht="15.75" hidden="false" customHeight="true" outlineLevel="0" collapsed="false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customFormat="false" ht="15.75" hidden="false" customHeight="true" outlineLevel="0" collapsed="false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customFormat="false" ht="15.75" hidden="false" customHeight="true" outlineLevel="0" collapsed="false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customFormat="false" ht="15.75" hidden="false" customHeight="true" outlineLevel="0" collapsed="false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customFormat="false" ht="15.75" hidden="false" customHeight="true" outlineLevel="0" collapsed="false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customFormat="false" ht="15.75" hidden="false" customHeight="true" outlineLevel="0" collapsed="false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customFormat="false" ht="15.75" hidden="false" customHeight="true" outlineLevel="0" collapsed="false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customFormat="false" ht="15.75" hidden="false" customHeight="true" outlineLevel="0" collapsed="false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customFormat="false" ht="15.75" hidden="false" customHeight="true" outlineLevel="0" collapsed="false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customFormat="false" ht="15.75" hidden="false" customHeight="true" outlineLevel="0" collapsed="false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customFormat="false" ht="15.75" hidden="false" customHeight="true" outlineLevel="0" collapsed="false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customFormat="false" ht="15.75" hidden="false" customHeight="true" outlineLevel="0" collapsed="false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customFormat="false" ht="15.75" hidden="false" customHeight="true" outlineLevel="0" collapsed="false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customFormat="false" ht="15.75" hidden="false" customHeight="true" outlineLevel="0" collapsed="false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customFormat="false" ht="15.75" hidden="false" customHeight="true" outlineLevel="0" collapsed="false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customFormat="false" ht="15.75" hidden="false" customHeight="true" outlineLevel="0" collapsed="false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customFormat="false" ht="15.75" hidden="false" customHeight="true" outlineLevel="0" collapsed="false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customFormat="false" ht="15.75" hidden="false" customHeight="true" outlineLevel="0" collapsed="false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customFormat="false" ht="15.75" hidden="false" customHeight="true" outlineLevel="0" collapsed="false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customFormat="false" ht="15.75" hidden="false" customHeight="true" outlineLevel="0" collapsed="false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customFormat="false" ht="15.75" hidden="false" customHeight="true" outlineLevel="0" collapsed="false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customFormat="false" ht="15.75" hidden="false" customHeight="true" outlineLevel="0" collapsed="false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customFormat="false" ht="15.75" hidden="false" customHeight="true" outlineLevel="0" collapsed="false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customFormat="false" ht="15.75" hidden="false" customHeight="true" outlineLevel="0" collapsed="false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customFormat="false" ht="15.75" hidden="false" customHeight="true" outlineLevel="0" collapsed="false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customFormat="false" ht="15.75" hidden="false" customHeight="true" outlineLevel="0" collapsed="false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customFormat="false" ht="15.75" hidden="false" customHeight="true" outlineLevel="0" collapsed="false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customFormat="false" ht="15.75" hidden="false" customHeight="true" outlineLevel="0" collapsed="false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customFormat="false" ht="15.75" hidden="false" customHeight="true" outlineLevel="0" collapsed="false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customFormat="false" ht="15.75" hidden="false" customHeight="true" outlineLevel="0" collapsed="false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customFormat="false" ht="15.75" hidden="false" customHeight="true" outlineLevel="0" collapsed="false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customFormat="false" ht="15.75" hidden="false" customHeight="true" outlineLevel="0" collapsed="false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customFormat="false" ht="15.75" hidden="false" customHeight="true" outlineLevel="0" collapsed="false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customFormat="false" ht="15.75" hidden="false" customHeight="true" outlineLevel="0" collapsed="false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customFormat="false" ht="15.75" hidden="false" customHeight="true" outlineLevel="0" collapsed="false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customFormat="false" ht="15.75" hidden="false" customHeight="true" outlineLevel="0" collapsed="false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customFormat="false" ht="15.75" hidden="false" customHeight="true" outlineLevel="0" collapsed="false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customFormat="false" ht="15.75" hidden="false" customHeight="true" outlineLevel="0" collapsed="false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customFormat="false" ht="15.75" hidden="false" customHeight="true" outlineLevel="0" collapsed="false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customFormat="false" ht="15.75" hidden="false" customHeight="true" outlineLevel="0" collapsed="false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customFormat="false" ht="15.75" hidden="false" customHeight="true" outlineLevel="0" collapsed="false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customFormat="false" ht="15.75" hidden="false" customHeight="true" outlineLevel="0" collapsed="false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customFormat="false" ht="15.75" hidden="false" customHeight="true" outlineLevel="0" collapsed="false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customFormat="false" ht="15.75" hidden="false" customHeight="true" outlineLevel="0" collapsed="false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customFormat="false" ht="15.75" hidden="false" customHeight="true" outlineLevel="0" collapsed="false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customFormat="false" ht="15.75" hidden="false" customHeight="true" outlineLevel="0" collapsed="false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customFormat="false" ht="15.75" hidden="false" customHeight="true" outlineLevel="0" collapsed="false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customFormat="false" ht="15.75" hidden="false" customHeight="true" outlineLevel="0" collapsed="false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customFormat="false" ht="15.75" hidden="false" customHeight="true" outlineLevel="0" collapsed="false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customFormat="false" ht="15.75" hidden="false" customHeight="true" outlineLevel="0" collapsed="false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customFormat="false" ht="15.75" hidden="false" customHeight="true" outlineLevel="0" collapsed="false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customFormat="false" ht="15.75" hidden="false" customHeight="true" outlineLevel="0" collapsed="false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customFormat="false" ht="15.75" hidden="false" customHeight="true" outlineLevel="0" collapsed="false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customFormat="false" ht="15.75" hidden="false" customHeight="true" outlineLevel="0" collapsed="false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customFormat="false" ht="15.75" hidden="false" customHeight="true" outlineLevel="0" collapsed="false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customFormat="false" ht="15.75" hidden="false" customHeight="true" outlineLevel="0" collapsed="false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customFormat="false" ht="15.75" hidden="false" customHeight="true" outlineLevel="0" collapsed="false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customFormat="false" ht="15.75" hidden="false" customHeight="true" outlineLevel="0" collapsed="false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customFormat="false" ht="15.75" hidden="false" customHeight="true" outlineLevel="0" collapsed="false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customFormat="false" ht="15.75" hidden="false" customHeight="true" outlineLevel="0" collapsed="false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customFormat="false" ht="15.75" hidden="false" customHeight="true" outlineLevel="0" collapsed="false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customFormat="false" ht="15.75" hidden="false" customHeight="true" outlineLevel="0" collapsed="false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customFormat="false" ht="15.75" hidden="false" customHeight="true" outlineLevel="0" collapsed="false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customFormat="false" ht="15.75" hidden="false" customHeight="true" outlineLevel="0" collapsed="false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customFormat="false" ht="15.75" hidden="false" customHeight="true" outlineLevel="0" collapsed="false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customFormat="false" ht="15.75" hidden="false" customHeight="true" outlineLevel="0" collapsed="false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customFormat="false" ht="15.75" hidden="false" customHeight="true" outlineLevel="0" collapsed="false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customFormat="false" ht="15.75" hidden="false" customHeight="true" outlineLevel="0" collapsed="false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customFormat="false" ht="15.75" hidden="false" customHeight="true" outlineLevel="0" collapsed="false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customFormat="false" ht="15.75" hidden="false" customHeight="true" outlineLevel="0" collapsed="false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customFormat="false" ht="15.75" hidden="false" customHeight="true" outlineLevel="0" collapsed="false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customFormat="false" ht="15.75" hidden="false" customHeight="true" outlineLevel="0" collapsed="false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customFormat="false" ht="15.75" hidden="false" customHeight="true" outlineLevel="0" collapsed="false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customFormat="false" ht="15.75" hidden="false" customHeight="true" outlineLevel="0" collapsed="false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customFormat="false" ht="15.75" hidden="false" customHeight="true" outlineLevel="0" collapsed="false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customFormat="false" ht="15.75" hidden="false" customHeight="true" outlineLevel="0" collapsed="false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customFormat="false" ht="15.75" hidden="false" customHeight="true" outlineLevel="0" collapsed="false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customFormat="false" ht="15.75" hidden="false" customHeight="true" outlineLevel="0" collapsed="false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customFormat="false" ht="15.75" hidden="false" customHeight="true" outlineLevel="0" collapsed="false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customFormat="false" ht="15.75" hidden="false" customHeight="true" outlineLevel="0" collapsed="false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customFormat="false" ht="15.75" hidden="false" customHeight="true" outlineLevel="0" collapsed="false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customFormat="false" ht="15.75" hidden="false" customHeight="true" outlineLevel="0" collapsed="false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customFormat="false" ht="15.75" hidden="false" customHeight="true" outlineLevel="0" collapsed="false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customFormat="false" ht="15.75" hidden="false" customHeight="true" outlineLevel="0" collapsed="false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customFormat="false" ht="15.75" hidden="false" customHeight="true" outlineLevel="0" collapsed="false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customFormat="false" ht="15.75" hidden="false" customHeight="true" outlineLevel="0" collapsed="false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customFormat="false" ht="15.75" hidden="false" customHeight="true" outlineLevel="0" collapsed="false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customFormat="false" ht="15.75" hidden="false" customHeight="true" outlineLevel="0" collapsed="false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customFormat="false" ht="15.75" hidden="false" customHeight="true" outlineLevel="0" collapsed="false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customFormat="false" ht="15.75" hidden="false" customHeight="true" outlineLevel="0" collapsed="false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customFormat="false" ht="15.75" hidden="false" customHeight="true" outlineLevel="0" collapsed="false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customFormat="false" ht="15.75" hidden="false" customHeight="true" outlineLevel="0" collapsed="false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customFormat="false" ht="15.75" hidden="false" customHeight="true" outlineLevel="0" collapsed="false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customFormat="false" ht="15.75" hidden="false" customHeight="true" outlineLevel="0" collapsed="false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customFormat="false" ht="15.75" hidden="false" customHeight="true" outlineLevel="0" collapsed="false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customFormat="false" ht="15.75" hidden="false" customHeight="true" outlineLevel="0" collapsed="false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customFormat="false" ht="15.75" hidden="false" customHeight="true" outlineLevel="0" collapsed="false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customFormat="false" ht="15.75" hidden="false" customHeight="true" outlineLevel="0" collapsed="false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customFormat="false" ht="15.75" hidden="false" customHeight="true" outlineLevel="0" collapsed="false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customFormat="false" ht="15.75" hidden="false" customHeight="true" outlineLevel="0" collapsed="false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customFormat="false" ht="15.75" hidden="false" customHeight="true" outlineLevel="0" collapsed="false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customFormat="false" ht="15.75" hidden="false" customHeight="true" outlineLevel="0" collapsed="false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customFormat="false" ht="15.75" hidden="false" customHeight="true" outlineLevel="0" collapsed="false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customFormat="false" ht="15.75" hidden="false" customHeight="true" outlineLevel="0" collapsed="false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customFormat="false" ht="15.75" hidden="false" customHeight="true" outlineLevel="0" collapsed="false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customFormat="false" ht="15.75" hidden="false" customHeight="true" outlineLevel="0" collapsed="false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customFormat="false" ht="15.75" hidden="false" customHeight="true" outlineLevel="0" collapsed="false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customFormat="false" ht="15.75" hidden="false" customHeight="true" outlineLevel="0" collapsed="false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customFormat="false" ht="15.75" hidden="false" customHeight="true" outlineLevel="0" collapsed="false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customFormat="false" ht="15.75" hidden="false" customHeight="true" outlineLevel="0" collapsed="false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customFormat="false" ht="15.75" hidden="false" customHeight="true" outlineLevel="0" collapsed="false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customFormat="false" ht="15.75" hidden="false" customHeight="true" outlineLevel="0" collapsed="false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customFormat="false" ht="15.75" hidden="false" customHeight="true" outlineLevel="0" collapsed="false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customFormat="false" ht="15.75" hidden="false" customHeight="true" outlineLevel="0" collapsed="false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customFormat="false" ht="15.75" hidden="false" customHeight="true" outlineLevel="0" collapsed="false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customFormat="false" ht="15.75" hidden="false" customHeight="true" outlineLevel="0" collapsed="false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customFormat="false" ht="15.75" hidden="false" customHeight="true" outlineLevel="0" collapsed="false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customFormat="false" ht="15.75" hidden="false" customHeight="true" outlineLevel="0" collapsed="false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customFormat="false" ht="15.75" hidden="false" customHeight="true" outlineLevel="0" collapsed="false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customFormat="false" ht="15.75" hidden="false" customHeight="true" outlineLevel="0" collapsed="false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customFormat="false" ht="15.75" hidden="false" customHeight="true" outlineLevel="0" collapsed="false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customFormat="false" ht="15.75" hidden="false" customHeight="true" outlineLevel="0" collapsed="false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customFormat="false" ht="15.75" hidden="false" customHeight="true" outlineLevel="0" collapsed="false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customFormat="false" ht="15.75" hidden="false" customHeight="true" outlineLevel="0" collapsed="false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customFormat="false" ht="15.75" hidden="false" customHeight="true" outlineLevel="0" collapsed="false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customFormat="false" ht="15.75" hidden="false" customHeight="true" outlineLevel="0" collapsed="false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customFormat="false" ht="15.75" hidden="false" customHeight="true" outlineLevel="0" collapsed="false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customFormat="false" ht="15.75" hidden="false" customHeight="true" outlineLevel="0" collapsed="false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customFormat="false" ht="15.75" hidden="false" customHeight="true" outlineLevel="0" collapsed="false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customFormat="false" ht="15.75" hidden="false" customHeight="true" outlineLevel="0" collapsed="false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customFormat="false" ht="15.75" hidden="false" customHeight="true" outlineLevel="0" collapsed="false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customFormat="false" ht="15.75" hidden="false" customHeight="true" outlineLevel="0" collapsed="false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customFormat="false" ht="15.75" hidden="false" customHeight="true" outlineLevel="0" collapsed="false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customFormat="false" ht="15.75" hidden="false" customHeight="true" outlineLevel="0" collapsed="false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customFormat="false" ht="15.75" hidden="false" customHeight="true" outlineLevel="0" collapsed="false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customFormat="false" ht="15.75" hidden="false" customHeight="true" outlineLevel="0" collapsed="false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customFormat="false" ht="15.75" hidden="false" customHeight="true" outlineLevel="0" collapsed="false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customFormat="false" ht="15.75" hidden="false" customHeight="true" outlineLevel="0" collapsed="false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customFormat="false" ht="15.75" hidden="false" customHeight="true" outlineLevel="0" collapsed="false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customFormat="false" ht="15.75" hidden="false" customHeight="true" outlineLevel="0" collapsed="false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customFormat="false" ht="15.75" hidden="false" customHeight="true" outlineLevel="0" collapsed="false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customFormat="false" ht="15.75" hidden="false" customHeight="true" outlineLevel="0" collapsed="false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customFormat="false" ht="15.75" hidden="false" customHeight="true" outlineLevel="0" collapsed="false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customFormat="false" ht="15.75" hidden="false" customHeight="true" outlineLevel="0" collapsed="false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customFormat="false" ht="15.75" hidden="false" customHeight="true" outlineLevel="0" collapsed="false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customFormat="false" ht="15.75" hidden="false" customHeight="true" outlineLevel="0" collapsed="false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customFormat="false" ht="15.75" hidden="false" customHeight="true" outlineLevel="0" collapsed="false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customFormat="false" ht="15.75" hidden="false" customHeight="true" outlineLevel="0" collapsed="false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customFormat="false" ht="15.75" hidden="false" customHeight="true" outlineLevel="0" collapsed="false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customFormat="false" ht="15.75" hidden="false" customHeight="true" outlineLevel="0" collapsed="false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customFormat="false" ht="15.75" hidden="false" customHeight="true" outlineLevel="0" collapsed="false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customFormat="false" ht="15.75" hidden="false" customHeight="true" outlineLevel="0" collapsed="false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customFormat="false" ht="15.75" hidden="false" customHeight="true" outlineLevel="0" collapsed="false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customFormat="false" ht="15.75" hidden="false" customHeight="true" outlineLevel="0" collapsed="false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customFormat="false" ht="15.75" hidden="false" customHeight="true" outlineLevel="0" collapsed="false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customFormat="false" ht="15.75" hidden="false" customHeight="true" outlineLevel="0" collapsed="false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customFormat="false" ht="15.75" hidden="false" customHeight="true" outlineLevel="0" collapsed="false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customFormat="false" ht="15.75" hidden="false" customHeight="true" outlineLevel="0" collapsed="false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customFormat="false" ht="15.75" hidden="false" customHeight="true" outlineLevel="0" collapsed="false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customFormat="false" ht="15.75" hidden="false" customHeight="true" outlineLevel="0" collapsed="false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customFormat="false" ht="15.75" hidden="false" customHeight="true" outlineLevel="0" collapsed="false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customFormat="false" ht="15.75" hidden="false" customHeight="true" outlineLevel="0" collapsed="false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customFormat="false" ht="15.75" hidden="false" customHeight="true" outlineLevel="0" collapsed="false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customFormat="false" ht="15.75" hidden="false" customHeight="true" outlineLevel="0" collapsed="false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customFormat="false" ht="15.75" hidden="false" customHeight="true" outlineLevel="0" collapsed="false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customFormat="false" ht="15.75" hidden="false" customHeight="true" outlineLevel="0" collapsed="false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customFormat="false" ht="15.75" hidden="false" customHeight="true" outlineLevel="0" collapsed="false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customFormat="false" ht="15.75" hidden="false" customHeight="true" outlineLevel="0" collapsed="false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customFormat="false" ht="15.75" hidden="false" customHeight="true" outlineLevel="0" collapsed="false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customFormat="false" ht="15.75" hidden="false" customHeight="true" outlineLevel="0" collapsed="false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customFormat="false" ht="15.75" hidden="false" customHeight="true" outlineLevel="0" collapsed="false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customFormat="false" ht="15.75" hidden="false" customHeight="true" outlineLevel="0" collapsed="false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customFormat="false" ht="15.75" hidden="false" customHeight="true" outlineLevel="0" collapsed="false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customFormat="false" ht="15.75" hidden="false" customHeight="true" outlineLevel="0" collapsed="false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customFormat="false" ht="15.75" hidden="false" customHeight="true" outlineLevel="0" collapsed="false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customFormat="false" ht="15.75" hidden="false" customHeight="true" outlineLevel="0" collapsed="false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customFormat="false" ht="15.75" hidden="false" customHeight="true" outlineLevel="0" collapsed="false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customFormat="false" ht="15.75" hidden="false" customHeight="true" outlineLevel="0" collapsed="false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customFormat="false" ht="15.75" hidden="false" customHeight="true" outlineLevel="0" collapsed="false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customFormat="false" ht="15.75" hidden="false" customHeight="true" outlineLevel="0" collapsed="false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customFormat="false" ht="15.75" hidden="false" customHeight="true" outlineLevel="0" collapsed="false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customFormat="false" ht="15.75" hidden="false" customHeight="true" outlineLevel="0" collapsed="false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customFormat="false" ht="15.75" hidden="false" customHeight="true" outlineLevel="0" collapsed="false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customFormat="false" ht="15.75" hidden="false" customHeight="true" outlineLevel="0" collapsed="false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customFormat="false" ht="15.75" hidden="false" customHeight="true" outlineLevel="0" collapsed="false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customFormat="false" ht="15.75" hidden="false" customHeight="true" outlineLevel="0" collapsed="false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customFormat="false" ht="15.75" hidden="false" customHeight="true" outlineLevel="0" collapsed="false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customFormat="false" ht="15.75" hidden="false" customHeight="true" outlineLevel="0" collapsed="false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customFormat="false" ht="15.75" hidden="false" customHeight="true" outlineLevel="0" collapsed="false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customFormat="false" ht="15.75" hidden="false" customHeight="true" outlineLevel="0" collapsed="false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customFormat="false" ht="15.75" hidden="false" customHeight="true" outlineLevel="0" collapsed="false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customFormat="false" ht="15.75" hidden="false" customHeight="true" outlineLevel="0" collapsed="false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customFormat="false" ht="15.75" hidden="false" customHeight="true" outlineLevel="0" collapsed="false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customFormat="false" ht="15.75" hidden="false" customHeight="true" outlineLevel="0" collapsed="false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customFormat="false" ht="15.75" hidden="false" customHeight="true" outlineLevel="0" collapsed="false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customFormat="false" ht="15.75" hidden="false" customHeight="true" outlineLevel="0" collapsed="false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customFormat="false" ht="15.75" hidden="false" customHeight="true" outlineLevel="0" collapsed="false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customFormat="false" ht="15.75" hidden="false" customHeight="true" outlineLevel="0" collapsed="false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customFormat="false" ht="15.75" hidden="false" customHeight="true" outlineLevel="0" collapsed="false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customFormat="false" ht="15.75" hidden="false" customHeight="true" outlineLevel="0" collapsed="false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customFormat="false" ht="15.75" hidden="false" customHeight="true" outlineLevel="0" collapsed="false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customFormat="false" ht="15.75" hidden="false" customHeight="true" outlineLevel="0" collapsed="false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customFormat="false" ht="15.75" hidden="false" customHeight="true" outlineLevel="0" collapsed="false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customFormat="false" ht="15.75" hidden="false" customHeight="true" outlineLevel="0" collapsed="false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customFormat="false" ht="15.75" hidden="false" customHeight="true" outlineLevel="0" collapsed="false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customFormat="false" ht="15.75" hidden="false" customHeight="true" outlineLevel="0" collapsed="false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customFormat="false" ht="15.75" hidden="false" customHeight="true" outlineLevel="0" collapsed="false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customFormat="false" ht="15.75" hidden="false" customHeight="true" outlineLevel="0" collapsed="false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customFormat="false" ht="15.75" hidden="false" customHeight="true" outlineLevel="0" collapsed="false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customFormat="false" ht="15.75" hidden="false" customHeight="true" outlineLevel="0" collapsed="false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customFormat="false" ht="15.75" hidden="false" customHeight="true" outlineLevel="0" collapsed="false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customFormat="false" ht="15.75" hidden="false" customHeight="true" outlineLevel="0" collapsed="false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customFormat="false" ht="15.75" hidden="false" customHeight="true" outlineLevel="0" collapsed="false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6">
    <mergeCell ref="A1:U1"/>
    <mergeCell ref="A4:U4"/>
    <mergeCell ref="D6:G6"/>
    <mergeCell ref="H6:M6"/>
    <mergeCell ref="N6:S6"/>
    <mergeCell ref="T6:U6"/>
  </mergeCells>
  <conditionalFormatting sqref="L8:L25">
    <cfRule type="cellIs" priority="2" operator="lessThan" aboveAverage="0" equalAverage="0" bottom="0" percent="0" rank="0" text="" dxfId="2">
      <formula>0</formula>
    </cfRule>
  </conditionalFormatting>
  <conditionalFormatting sqref="M8:M25">
    <cfRule type="cellIs" priority="3" operator="lessThan" aboveAverage="0" equalAverage="0" bottom="0" percent="0" rank="0" text="" dxfId="2">
      <formula>0</formula>
    </cfRule>
  </conditionalFormatting>
  <conditionalFormatting sqref="R8:R25">
    <cfRule type="cellIs" priority="4" operator="lessThan" aboveAverage="0" equalAverage="0" bottom="0" percent="0" rank="0" text="" dxfId="2">
      <formula>0</formula>
    </cfRule>
  </conditionalFormatting>
  <conditionalFormatting sqref="S8:S25">
    <cfRule type="cellIs" priority="5" operator="lessThan" aboveAverage="0" equalAverage="0" bottom="0" percent="0" rank="0" text="" dxfId="2">
      <formula>0</formula>
    </cfRule>
  </conditionalFormatting>
  <conditionalFormatting sqref="T8:T25">
    <cfRule type="cellIs" priority="6" operator="lessThan" aboveAverage="0" equalAverage="0" bottom="0" percent="0" rank="0" text="" dxfId="2">
      <formula>0</formula>
    </cfRule>
  </conditionalFormatting>
  <conditionalFormatting sqref="U8:U25">
    <cfRule type="cellIs" priority="7" operator="lessThan" aboveAverage="0" equalAverage="0" bottom="0" percent="0" rank="0" text="" dxfId="2">
      <formula>0</formula>
    </cfRule>
  </conditionalFormatting>
  <conditionalFormatting sqref="A8:C25">
    <cfRule type="expression" priority="8" aboveAverage="0" equalAverage="0" bottom="0" percent="0" rank="0" text="" dxfId="1">
      <formula>IFERROR(INDEX(ДОВ_РОЛЬ,MATCH($A8,КАТЕГОРІЇ,0))="Базова",0)</formula>
    </cfRule>
  </conditionalFormatting>
  <dataValidations count="2">
    <dataValidation allowBlank="true" errorStyle="stop" operator="between" showDropDown="false" showErrorMessage="false" showInputMessage="false" sqref="B3" type="list">
      <formula1>ПРАЙС_ЛИСТИ</formula1>
      <formula2>0</formula2>
    </dataValidation>
    <dataValidation allowBlank="true" error="Множник має бути числом від 0 до 10." errorStyle="stop" errorTitle="Множник" operator="between" showDropDown="false" showErrorMessage="true" showInputMessage="false" sqref="H8:I25 N8:O25" type="decimal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7" activeCellId="0" sqref="C7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5" min="4" style="1" width="15"/>
    <col collapsed="false" customWidth="true" hidden="false" outlineLevel="0" max="6" min="6" style="1" width="17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8.57"/>
    <col collapsed="false" customWidth="true" hidden="true" outlineLevel="0" max="10" min="10" style="1" width="13"/>
    <col collapsed="false" customWidth="true" hidden="false" outlineLevel="0" max="26" min="11" style="1" width="8.57"/>
  </cols>
  <sheetData>
    <row r="1" customFormat="false" ht="27.75" hidden="false" customHeight="true" outlineLevel="0" collapsed="false">
      <c r="A1" s="152" t="s">
        <v>215</v>
      </c>
      <c r="B1" s="152"/>
      <c r="C1" s="152"/>
      <c r="D1" s="152"/>
      <c r="E1" s="152"/>
      <c r="F1" s="152"/>
      <c r="G1" s="152"/>
      <c r="H1" s="152"/>
      <c r="J1" s="153" t="s">
        <v>199</v>
      </c>
    </row>
    <row r="2" customFormat="false" ht="15" hidden="false" customHeight="true" outlineLevel="0" collapsed="false">
      <c r="J2" s="154" t="n">
        <f aca="false">IFERROR(MATCH(Прайс!$B$3,ПЛ_РЯДОК,0),0)</f>
        <v>51</v>
      </c>
    </row>
    <row r="3" customFormat="false" ht="15" hidden="false" customHeight="true" outlineLevel="0" collapsed="false">
      <c r="A3" s="155" t="s">
        <v>1</v>
      </c>
      <c r="B3" s="156" t="str">
        <f aca="false">Прайс!$B$3</f>
        <v>Зима ВС 2026</v>
      </c>
    </row>
    <row r="4" customFormat="false" ht="33.75" hidden="false" customHeight="true" outlineLevel="0" collapsed="false">
      <c r="A4" s="157" t="s">
        <v>216</v>
      </c>
      <c r="B4" s="157"/>
      <c r="C4" s="157"/>
      <c r="D4" s="157"/>
      <c r="E4" s="157"/>
      <c r="F4" s="157"/>
      <c r="G4" s="157"/>
      <c r="H4" s="157"/>
    </row>
    <row r="6" customFormat="false" ht="31.5" hidden="false" customHeight="true" outlineLevel="0" collapsed="false">
      <c r="A6" s="51" t="s">
        <v>14</v>
      </c>
      <c r="B6" s="51" t="s">
        <v>217</v>
      </c>
      <c r="C6" s="51" t="s">
        <v>99</v>
      </c>
      <c r="D6" s="51" t="s">
        <v>100</v>
      </c>
      <c r="E6" s="51" t="s">
        <v>218</v>
      </c>
      <c r="F6" s="51" t="s">
        <v>219</v>
      </c>
      <c r="G6" s="51" t="s">
        <v>220</v>
      </c>
      <c r="H6" s="51" t="s">
        <v>221</v>
      </c>
    </row>
    <row r="7" customFormat="false" ht="15" hidden="false" customHeight="true" outlineLevel="0" collapsed="false">
      <c r="A7" s="158" t="str">
        <f aca="false">IF('Довідник категорій'!A5="","",'Довідник категорій'!A5)</f>
        <v>Міні-котедж</v>
      </c>
      <c r="B7" s="159" t="str">
        <f aca="false" t="array" ref="B7:B7">IF($A7="","",IFERROR(INDEX(ДОВ_ОПОРА,MATCH($A7,КАТЕГОРІЇ,0)),""))</f>
        <v>Міні-котедж</v>
      </c>
      <c r="C7" s="160" t="n">
        <f aca="false" t="array" ref="C7:C7">IF(OR($J$2=0,$A7=""),"",IFERROR(INDEX(МНОЖНИКИ,MATCH($A7,МНОЖ_КАТ,0),$J$2),""))</f>
        <v>1</v>
      </c>
      <c r="D7" s="160" t="n">
        <f aca="false" t="array" ref="D7:D7">IF(OR($J$2=0,$A7=""),"",IFERROR(INDEX(МНОЖНИКИ,MATCH($A7,МНОЖ_КАТ,0),$J$2+1),""))</f>
        <v>1.05</v>
      </c>
      <c r="E7" s="161" t="n">
        <f aca="false" t="array" ref="E7:E7">IF(OR($J$2=0,$A7="",$C7=""),"",IFERROR(ROUND(INDEX(БАЗА_RO,MATCH($B7,БАЗА_КАТ,0),$J$2)*$C7/ОКРУГЛЕННЯ,0)*ОКРУГЛЕННЯ,""))</f>
        <v>7700</v>
      </c>
      <c r="F7" s="161" t="n">
        <f aca="false" t="array" ref="F7:F7">IF(OR($J$2=0,$A7="",$C7="",$D7=""),"",IFERROR(ROUND(INDEX(БАЗА_RO,MATCH($B7,БАЗА_КАТ,0),$J$2)*$C7*$D7/ОКРУГЛЕННЯ,0)*ОКРУГЛЕННЯ,""))</f>
        <v>8085</v>
      </c>
      <c r="G7" s="161"/>
      <c r="H7" s="161" t="n">
        <f aca="false">IF(OR($E7="",$F7=""),"",$F7-$E7)</f>
        <v>385</v>
      </c>
    </row>
    <row r="8" customFormat="false" ht="15" hidden="false" customHeight="true" outlineLevel="0" collapsed="false">
      <c r="A8" s="162" t="str">
        <f aca="false">IF('Довідник категорій'!A6="","",'Довідник категорій'!A6)</f>
        <v>Міні-котедж East Hill</v>
      </c>
      <c r="B8" s="163" t="str">
        <f aca="false" t="array" ref="B8:B8">IF($A8="","",IFERROR(INDEX(ДОВ_ОПОРА,MATCH($A8,КАТЕГОРІЇ,0)),""))</f>
        <v>Міні-котедж</v>
      </c>
      <c r="C8" s="164" t="n">
        <f aca="false" t="array" ref="C8:C8">IF(OR($J$2=0,$A8=""),"",IFERROR(INDEX(МНОЖНИКИ,MATCH($A8,МНОЖ_КАТ,0),$J$2),""))</f>
        <v>1.12</v>
      </c>
      <c r="D8" s="164" t="n">
        <f aca="false" t="array" ref="D8:D8">IF(OR($J$2=0,$A8=""),"",IFERROR(INDEX(МНОЖНИКИ,MATCH($A8,МНОЖ_КАТ,0),$J$2+1),""))</f>
        <v>1.05</v>
      </c>
      <c r="E8" s="165" t="n">
        <f aca="false" t="array" ref="E8:E8">IF(OR($J$2=0,$A8="",$C8=""),"",IFERROR(ROUND(INDEX(БАЗА_RO,MATCH($B8,БАЗА_КАТ,0),$J$2)*$C8/ОКРУГЛЕННЯ,0)*ОКРУГЛЕННЯ,""))</f>
        <v>8624</v>
      </c>
      <c r="F8" s="165" t="n">
        <f aca="false" t="array" ref="F8:F8">IF(OR($J$2=0,$A8="",$C8="",$D8=""),"",IFERROR(ROUND(INDEX(БАЗА_RO,MATCH($B8,БАЗА_КАТ,0),$J$2)*$C8*$D8/ОКРУГЛЕННЯ,0)*ОКРУГЛЕННЯ,""))</f>
        <v>9055</v>
      </c>
      <c r="G8" s="165" t="n">
        <f aca="false">IF(OR($E8="",$E7="",$B8&lt;&gt;$B7),"",$E8-$E7)</f>
        <v>924</v>
      </c>
      <c r="H8" s="165" t="n">
        <f aca="false">IF(OR($E8="",$F8=""),"",$F8-$E8)</f>
        <v>431</v>
      </c>
    </row>
    <row r="9" customFormat="false" ht="15" hidden="false" customHeight="true" outlineLevel="0" collapsed="false">
      <c r="A9" s="158" t="str">
        <f aca="false">IF('Довідник категорій'!A7="","",'Довідник категорій'!A7)</f>
        <v>Котедж комфорт класу</v>
      </c>
      <c r="B9" s="159" t="str">
        <f aca="false" t="array" ref="B9:B9">IF($A9="","",IFERROR(INDEX(ДОВ_ОПОРА,MATCH($A9,КАТЕГОРІЇ,0)),""))</f>
        <v>Котедж комфорт класу</v>
      </c>
      <c r="C9" s="160" t="n">
        <f aca="false" t="array" ref="C9:C9">IF(OR($J$2=0,$A9=""),"",IFERROR(INDEX(МНОЖНИКИ,MATCH($A9,МНОЖ_КАТ,0),$J$2),""))</f>
        <v>1</v>
      </c>
      <c r="D9" s="160" t="n">
        <f aca="false" t="array" ref="D9:D9">IF(OR($J$2=0,$A9=""),"",IFERROR(INDEX(МНОЖНИКИ,MATCH($A9,МНОЖ_КАТ,0),$J$2+1),""))</f>
        <v>1.1</v>
      </c>
      <c r="E9" s="161" t="n">
        <f aca="false" t="array" ref="E9:E9">IF(OR($J$2=0,$A9="",$C9=""),"",IFERROR(ROUND(INDEX(БАЗА_RO,MATCH($B9,БАЗА_КАТ,0),$J$2)*$C9/ОКРУГЛЕННЯ,0)*ОКРУГЛЕННЯ,""))</f>
        <v>9300</v>
      </c>
      <c r="F9" s="161" t="n">
        <f aca="false" t="array" ref="F9:F9">IF(OR($J$2=0,$A9="",$C9="",$D9=""),"",IFERROR(ROUND(INDEX(БАЗА_RO,MATCH($B9,БАЗА_КАТ,0),$J$2)*$C9*$D9/ОКРУГЛЕННЯ,0)*ОКРУГЛЕННЯ,""))</f>
        <v>10230</v>
      </c>
      <c r="G9" s="161" t="str">
        <f aca="false">IF(OR($E9="",$E8="",$B9&lt;&gt;$B8),"",$E9-$E8)</f>
        <v/>
      </c>
      <c r="H9" s="161" t="n">
        <f aca="false">IF(OR($E9="",$F9=""),"",$F9-$E9)</f>
        <v>930</v>
      </c>
    </row>
    <row r="10" customFormat="false" ht="15" hidden="false" customHeight="true" outlineLevel="0" collapsed="false">
      <c r="A10" s="162" t="str">
        <f aca="false">IF('Довідник категорій'!A8="","",'Довідник категорій'!A8)</f>
        <v>Шале преміум</v>
      </c>
      <c r="B10" s="163" t="str">
        <f aca="false" t="array" ref="B10:B10">IF($A10="","",IFERROR(INDEX(ДОВ_ОПОРА,MATCH($A10,КАТЕГОРІЇ,0)),""))</f>
        <v>Котедж комфорт класу</v>
      </c>
      <c r="C10" s="164" t="n">
        <f aca="false" t="array" ref="C10:C10">IF(OR($J$2=0,$A10=""),"",IFERROR(INDEX(МНОЖНИКИ,MATCH($A10,МНОЖ_КАТ,0),$J$2),""))</f>
        <v>1.08</v>
      </c>
      <c r="D10" s="164" t="n">
        <f aca="false" t="array" ref="D10:D10">IF(OR($J$2=0,$A10=""),"",IFERROR(INDEX(МНОЖНИКИ,MATCH($A10,МНОЖ_КАТ,0),$J$2+1),""))</f>
        <v>1.1</v>
      </c>
      <c r="E10" s="165" t="n">
        <f aca="false" t="array" ref="E10:E10">IF(OR($J$2=0,$A10="",$C10=""),"",IFERROR(ROUND(INDEX(БАЗА_RO,MATCH($B10,БАЗА_КАТ,0),$J$2)*$C10/ОКРУГЛЕННЯ,0)*ОКРУГЛЕННЯ,""))</f>
        <v>10044</v>
      </c>
      <c r="F10" s="165" t="n">
        <f aca="false" t="array" ref="F10:F10">IF(OR($J$2=0,$A10="",$C10="",$D10=""),"",IFERROR(ROUND(INDEX(БАЗА_RO,MATCH($B10,БАЗА_КАТ,0),$J$2)*$C10*$D10/ОКРУГЛЕННЯ,0)*ОКРУГЛЕННЯ,""))</f>
        <v>11048</v>
      </c>
      <c r="G10" s="165" t="n">
        <f aca="false">IF(OR($E10="",$E9="",$B10&lt;&gt;$B9),"",$E10-$E9)</f>
        <v>744</v>
      </c>
      <c r="H10" s="165" t="n">
        <f aca="false">IF(OR($E10="",$F10=""),"",$F10-$E10)</f>
        <v>1004</v>
      </c>
    </row>
    <row r="11" customFormat="false" ht="15" hidden="false" customHeight="true" outlineLevel="0" collapsed="false">
      <c r="A11" s="158" t="str">
        <f aca="false">IF('Довідник категорій'!A9="","",'Довідник категорій'!A9)</f>
        <v>Шале преміум збільшене</v>
      </c>
      <c r="B11" s="159" t="str">
        <f aca="false" t="array" ref="B11:B11">IF($A11="","",IFERROR(INDEX(ДОВ_ОПОРА,MATCH($A11,КАТЕГОРІЇ,0)),""))</f>
        <v>Котедж комфорт класу</v>
      </c>
      <c r="C11" s="160" t="n">
        <f aca="false" t="array" ref="C11:C11">IF(OR($J$2=0,$A11=""),"",IFERROR(INDEX(МНОЖНИКИ,MATCH($A11,МНОЖ_КАТ,0),$J$2),""))</f>
        <v>1.32</v>
      </c>
      <c r="D11" s="160" t="n">
        <f aca="false" t="array" ref="D11:D11">IF(OR($J$2=0,$A11=""),"",IFERROR(INDEX(МНОЖНИКИ,MATCH($A11,МНОЖ_КАТ,0),$J$2+1),""))</f>
        <v>1.06</v>
      </c>
      <c r="E11" s="161" t="n">
        <f aca="false" t="array" ref="E11:E11">IF(OR($J$2=0,$A11="",$C11=""),"",IFERROR(ROUND(INDEX(БАЗА_RO,MATCH($B11,БАЗА_КАТ,0),$J$2)*$C11/ОКРУГЛЕННЯ,0)*ОКРУГЛЕННЯ,""))</f>
        <v>12276</v>
      </c>
      <c r="F11" s="161" t="n">
        <f aca="false" t="array" ref="F11:F11">IF(OR($J$2=0,$A11="",$C11="",$D11=""),"",IFERROR(ROUND(INDEX(БАЗА_RO,MATCH($B11,БАЗА_КАТ,0),$J$2)*$C11*$D11/ОКРУГЛЕННЯ,0)*ОКРУГЛЕННЯ,""))</f>
        <v>13013</v>
      </c>
      <c r="G11" s="161" t="n">
        <f aca="false">IF(OR($E11="",$E10="",$B11&lt;&gt;$B10),"",$E11-$E10)</f>
        <v>2232</v>
      </c>
      <c r="H11" s="161" t="n">
        <f aca="false">IF(OR($E11="",$F11=""),"",$F11-$E11)</f>
        <v>737</v>
      </c>
    </row>
    <row r="12" customFormat="false" ht="15" hidden="false" customHeight="true" outlineLevel="0" collapsed="false">
      <c r="A12" s="162" t="str">
        <f aca="false">IF('Довідник категорій'!A10="","",'Довідник категорій'!A10)</f>
        <v>Шале преміум збільшене East Hill</v>
      </c>
      <c r="B12" s="163" t="str">
        <f aca="false" t="array" ref="B12:B12">IF($A12="","",IFERROR(INDEX(ДОВ_ОПОРА,MATCH($A12,КАТЕГОРІЇ,0)),""))</f>
        <v>Котедж комфорт класу</v>
      </c>
      <c r="C12" s="164" t="n">
        <f aca="false" t="array" ref="C12:C12">IF(OR($J$2=0,$A12=""),"",IFERROR(INDEX(МНОЖНИКИ,MATCH($A12,МНОЖ_КАТ,0),$J$2),""))</f>
        <v>1.52</v>
      </c>
      <c r="D12" s="164" t="n">
        <f aca="false" t="array" ref="D12:D12">IF(OR($J$2=0,$A12=""),"",IFERROR(INDEX(МНОЖНИКИ,MATCH($A12,МНОЖ_КАТ,0),$J$2+1),""))</f>
        <v>1.055</v>
      </c>
      <c r="E12" s="165" t="n">
        <f aca="false" t="array" ref="E12:E12">IF(OR($J$2=0,$A12="",$C12=""),"",IFERROR(ROUND(INDEX(БАЗА_RO,MATCH($B12,БАЗА_КАТ,0),$J$2)*$C12/ОКРУГЛЕННЯ,0)*ОКРУГЛЕННЯ,""))</f>
        <v>14136</v>
      </c>
      <c r="F12" s="165" t="n">
        <f aca="false" t="array" ref="F12:F12">IF(OR($J$2=0,$A12="",$C12="",$D12=""),"",IFERROR(ROUND(INDEX(БАЗА_RO,MATCH($B12,БАЗА_КАТ,0),$J$2)*$C12*$D12/ОКРУГЛЕННЯ,0)*ОКРУГЛЕННЯ,""))</f>
        <v>14913</v>
      </c>
      <c r="G12" s="165" t="n">
        <f aca="false">IF(OR($E12="",$E11="",$B12&lt;&gt;$B11),"",$E12-$E11)</f>
        <v>1860</v>
      </c>
      <c r="H12" s="165" t="n">
        <f aca="false">IF(OR($E12="",$F12=""),"",$F12-$E12)</f>
        <v>777</v>
      </c>
    </row>
    <row r="13" customFormat="false" ht="15" hidden="false" customHeight="true" outlineLevel="0" collapsed="false">
      <c r="A13" s="158" t="str">
        <f aca="false">IF('Довідник категорій'!A11="","",'Довідник категорій'!A11)</f>
        <v>Президентське шале</v>
      </c>
      <c r="B13" s="159" t="str">
        <f aca="false" t="array" ref="B13:B13">IF($A13="","",IFERROR(INDEX(ДОВ_ОПОРА,MATCH($A13,КАТЕГОРІЇ,0)),""))</f>
        <v>Котедж комфорт класу</v>
      </c>
      <c r="C13" s="160" t="n">
        <f aca="false" t="array" ref="C13:C13">IF(OR($J$2=0,$A13=""),"",IFERROR(INDEX(МНОЖНИКИ,MATCH($A13,МНОЖ_КАТ,0),$J$2),""))</f>
        <v>1.8</v>
      </c>
      <c r="D13" s="160" t="n">
        <f aca="false" t="array" ref="D13:D13">IF(OR($J$2=0,$A13=""),"",IFERROR(INDEX(МНОЖНИКИ,MATCH($A13,МНОЖ_КАТ,0),$J$2+1),""))</f>
        <v>1.03</v>
      </c>
      <c r="E13" s="161" t="n">
        <f aca="false" t="array" ref="E13:E13">IF(OR($J$2=0,$A13="",$C13=""),"",IFERROR(ROUND(INDEX(БАЗА_RO,MATCH($B13,БАЗА_КАТ,0),$J$2)*$C13/ОКРУГЛЕННЯ,0)*ОКРУГЛЕННЯ,""))</f>
        <v>16740</v>
      </c>
      <c r="F13" s="161" t="n">
        <f aca="false" t="array" ref="F13:F13">IF(OR($J$2=0,$A13="",$C13="",$D13=""),"",IFERROR(ROUND(INDEX(БАЗА_RO,MATCH($B13,БАЗА_КАТ,0),$J$2)*$C13*$D13/ОКРУГЛЕННЯ,0)*ОКРУГЛЕННЯ,""))</f>
        <v>17242</v>
      </c>
      <c r="G13" s="161" t="n">
        <f aca="false">IF(OR($E13="",$E12="",$B13&lt;&gt;$B12),"",$E13-$E12)</f>
        <v>2604</v>
      </c>
      <c r="H13" s="161" t="n">
        <f aca="false">IF(OR($E13="",$F13=""),"",$F13-$E13)</f>
        <v>502</v>
      </c>
    </row>
    <row r="14" customFormat="false" ht="15" hidden="false" customHeight="true" outlineLevel="0" collapsed="false">
      <c r="A14" s="162" t="str">
        <f aca="false">IF('Довідник категорій'!A12="","",'Довідник категорій'!A12)</f>
        <v>Апартаменти стандартні 20 м²</v>
      </c>
      <c r="B14" s="163" t="str">
        <f aca="false" t="array" ref="B14:B14">IF($A14="","",IFERROR(INDEX(ДОВ_ОПОРА,MATCH($A14,КАТЕГОРІЇ,0)),""))</f>
        <v>Апартаменти стандартні 20 м²</v>
      </c>
      <c r="C14" s="164" t="n">
        <f aca="false" t="array" ref="C14:C14">IF(OR($J$2=0,$A14=""),"",IFERROR(INDEX(МНОЖНИКИ,MATCH($A14,МНОЖ_КАТ,0),$J$2),""))</f>
        <v>1</v>
      </c>
      <c r="D14" s="164" t="n">
        <f aca="false" t="array" ref="D14:D14">IF(OR($J$2=0,$A14=""),"",IFERROR(INDEX(МНОЖНИКИ,MATCH($A14,МНОЖ_КАТ,0),$J$2+1),""))</f>
        <v>1.1</v>
      </c>
      <c r="E14" s="165" t="n">
        <f aca="false" t="array" ref="E14:E14">IF(OR($J$2=0,$A14="",$C14=""),"",IFERROR(ROUND(INDEX(БАЗА_RO,MATCH($B14,БАЗА_КАТ,0),$J$2)*$C14/ОКРУГЛЕННЯ,0)*ОКРУГЛЕННЯ,""))</f>
        <v>3800</v>
      </c>
      <c r="F14" s="165" t="n">
        <f aca="false" t="array" ref="F14:F14">IF(OR($J$2=0,$A14="",$C14="",$D14=""),"",IFERROR(ROUND(INDEX(БАЗА_RO,MATCH($B14,БАЗА_КАТ,0),$J$2)*$C14*$D14/ОКРУГЛЕННЯ,0)*ОКРУГЛЕННЯ,""))</f>
        <v>4180</v>
      </c>
      <c r="G14" s="165" t="str">
        <f aca="false">IF(OR($E14="",$E13="",$B14&lt;&gt;$B13),"",$E14-$E13)</f>
        <v/>
      </c>
      <c r="H14" s="165" t="n">
        <f aca="false">IF(OR($E14="",$F14=""),"",$F14-$E14)</f>
        <v>380</v>
      </c>
    </row>
    <row r="15" customFormat="false" ht="15" hidden="false" customHeight="true" outlineLevel="0" collapsed="false">
      <c r="A15" s="158" t="str">
        <f aca="false">IF('Довідник категорій'!A13="","",'Довідник категорій'!A13)</f>
        <v>Апартаменти покращені 28 м²</v>
      </c>
      <c r="B15" s="159" t="str">
        <f aca="false" t="array" ref="B15:B15">IF($A15="","",IFERROR(INDEX(ДОВ_ОПОРА,MATCH($A15,КАТЕГОРІЇ,0)),""))</f>
        <v>Апартаменти стандартні 20 м²</v>
      </c>
      <c r="C15" s="160" t="n">
        <f aca="false" t="array" ref="C15:C15">IF(OR($J$2=0,$A15=""),"",IFERROR(INDEX(МНОЖНИКИ,MATCH($A15,МНОЖ_КАТ,0),$J$2),""))</f>
        <v>1.14</v>
      </c>
      <c r="D15" s="160" t="n">
        <f aca="false" t="array" ref="D15:D15">IF(OR($J$2=0,$A15=""),"",IFERROR(INDEX(МНОЖНИКИ,MATCH($A15,МНОЖ_КАТ,0),$J$2+1),""))</f>
        <v>1.1</v>
      </c>
      <c r="E15" s="161" t="n">
        <f aca="false" t="array" ref="E15:E15">IF(OR($J$2=0,$A15="",$C15=""),"",IFERROR(ROUND(INDEX(БАЗА_RO,MATCH($B15,БАЗА_КАТ,0),$J$2)*$C15/ОКРУГЛЕННЯ,0)*ОКРУГЛЕННЯ,""))</f>
        <v>4332</v>
      </c>
      <c r="F15" s="161" t="n">
        <f aca="false" t="array" ref="F15:F15">IF(OR($J$2=0,$A15="",$C15="",$D15=""),"",IFERROR(ROUND(INDEX(БАЗА_RO,MATCH($B15,БАЗА_КАТ,0),$J$2)*$C15*$D15/ОКРУГЛЕННЯ,0)*ОКРУГЛЕННЯ,""))</f>
        <v>4765</v>
      </c>
      <c r="G15" s="161" t="n">
        <f aca="false">IF(OR($E15="",$E14="",$B15&lt;&gt;$B14),"",$E15-$E14)</f>
        <v>532</v>
      </c>
      <c r="H15" s="161" t="n">
        <f aca="false">IF(OR($E15="",$F15=""),"",$F15-$E15)</f>
        <v>433</v>
      </c>
    </row>
    <row r="16" customFormat="false" ht="15" hidden="false" customHeight="true" outlineLevel="0" collapsed="false">
      <c r="A16" s="162" t="str">
        <f aca="false">IF('Довідник категорій'!A14="","",'Довідник категорій'!A14)</f>
        <v>Апартаменти Люкс 25 м²</v>
      </c>
      <c r="B16" s="163" t="str">
        <f aca="false" t="array" ref="B16:B16">IF($A16="","",IFERROR(INDEX(ДОВ_ОПОРА,MATCH($A16,КАТЕГОРІЇ,0)),""))</f>
        <v>Апартаменти стандартні 20 м²</v>
      </c>
      <c r="C16" s="164" t="n">
        <f aca="false" t="array" ref="C16:C16">IF(OR($J$2=0,$A16=""),"",IFERROR(INDEX(МНОЖНИКИ,MATCH($A16,МНОЖ_КАТ,0),$J$2),""))</f>
        <v>1.4</v>
      </c>
      <c r="D16" s="164" t="n">
        <f aca="false" t="array" ref="D16:D16">IF(OR($J$2=0,$A16=""),"",IFERROR(INDEX(МНОЖНИКИ,MATCH($A16,МНОЖ_КАТ,0),$J$2+1),""))</f>
        <v>1.05</v>
      </c>
      <c r="E16" s="165" t="n">
        <f aca="false" t="array" ref="E16:E16">IF(OR($J$2=0,$A16="",$C16=""),"",IFERROR(ROUND(INDEX(БАЗА_RO,MATCH($B16,БАЗА_КАТ,0),$J$2)*$C16/ОКРУГЛЕННЯ,0)*ОКРУГЛЕННЯ,""))</f>
        <v>5320</v>
      </c>
      <c r="F16" s="165" t="n">
        <f aca="false" t="array" ref="F16:F16">IF(OR($J$2=0,$A16="",$C16="",$D16=""),"",IFERROR(ROUND(INDEX(БАЗА_RO,MATCH($B16,БАЗА_КАТ,0),$J$2)*$C16*$D16/ОКРУГЛЕННЯ,0)*ОКРУГЛЕННЯ,""))</f>
        <v>5586</v>
      </c>
      <c r="G16" s="165" t="n">
        <f aca="false">IF(OR($E16="",$E15="",$B16&lt;&gt;$B15),"",$E16-$E15)</f>
        <v>988</v>
      </c>
      <c r="H16" s="165" t="n">
        <f aca="false">IF(OR($E16="",$F16=""),"",$F16-$E16)</f>
        <v>266</v>
      </c>
    </row>
    <row r="17" customFormat="false" ht="15" hidden="false" customHeight="true" outlineLevel="0" collapsed="false">
      <c r="A17" s="158" t="str">
        <f aca="false">IF('Довідник категорій'!A15="","",'Довідник категорій'!A15)</f>
        <v>Люкс зі спальнею та вітальнею</v>
      </c>
      <c r="B17" s="159" t="str">
        <f aca="false" t="array" ref="B17:B17">IF($A17="","",IFERROR(INDEX(ДОВ_ОПОРА,MATCH($A17,КАТЕГОРІЇ,0)),""))</f>
        <v>Апартаменти стандартні 20 м²</v>
      </c>
      <c r="C17" s="160" t="n">
        <f aca="false" t="array" ref="C17:C17">IF(OR($J$2=0,$A17=""),"",IFERROR(INDEX(МНОЖНИКИ,MATCH($A17,МНОЖ_КАТ,0),$J$2),""))</f>
        <v>1.55</v>
      </c>
      <c r="D17" s="160" t="n">
        <f aca="false" t="array" ref="D17:D17">IF(OR($J$2=0,$A17=""),"",IFERROR(INDEX(МНОЖНИКИ,MATCH($A17,МНОЖ_КАТ,0),$J$2+1),""))</f>
        <v>1.04</v>
      </c>
      <c r="E17" s="161" t="n">
        <f aca="false" t="array" ref="E17:E17">IF(OR($J$2=0,$A17="",$C17=""),"",IFERROR(ROUND(INDEX(БАЗА_RO,MATCH($B17,БАЗА_КАТ,0),$J$2)*$C17/ОКРУГЛЕННЯ,0)*ОКРУГЛЕННЯ,""))</f>
        <v>5890</v>
      </c>
      <c r="F17" s="161" t="n">
        <f aca="false" t="array" ref="F17:F17">IF(OR($J$2=0,$A17="",$C17="",$D17=""),"",IFERROR(ROUND(INDEX(БАЗА_RO,MATCH($B17,БАЗА_КАТ,0),$J$2)*$C17*$D17/ОКРУГЛЕННЯ,0)*ОКРУГЛЕННЯ,""))</f>
        <v>6126</v>
      </c>
      <c r="G17" s="161" t="n">
        <f aca="false">IF(OR($E17="",$E16="",$B17&lt;&gt;$B16),"",$E17-$E16)</f>
        <v>570</v>
      </c>
      <c r="H17" s="161" t="n">
        <f aca="false">IF(OR($E17="",$F17=""),"",$F17-$E17)</f>
        <v>236</v>
      </c>
    </row>
    <row r="18" customFormat="false" ht="15" hidden="false" customHeight="true" outlineLevel="0" collapsed="false">
      <c r="A18" s="162" t="str">
        <f aca="false">IF('Довідник категорій'!A16="","",'Довідник категорій'!A16)</f>
        <v>Люкс з видом на гори (з 2-ма спальнями) 61 м²</v>
      </c>
      <c r="B18" s="163" t="str">
        <f aca="false" t="array" ref="B18:B18">IF($A18="","",IFERROR(INDEX(ДОВ_ОПОРА,MATCH($A18,КАТЕГОРІЇ,0)),""))</f>
        <v>Апартаменти стандартні 20 м²</v>
      </c>
      <c r="C18" s="164" t="n">
        <f aca="false" t="array" ref="C18:C18">IF(OR($J$2=0,$A18=""),"",IFERROR(INDEX(МНОЖНИКИ,MATCH($A18,МНОЖ_КАТ,0),$J$2),""))</f>
        <v>1.9</v>
      </c>
      <c r="D18" s="164" t="n">
        <f aca="false" t="array" ref="D18:D18">IF(OR($J$2=0,$A18=""),"",IFERROR(INDEX(МНОЖНИКИ,MATCH($A18,МНОЖ_КАТ,0),$J$2+1),""))</f>
        <v>1.05</v>
      </c>
      <c r="E18" s="165" t="n">
        <f aca="false" t="array" ref="E18:E18">IF(OR($J$2=0,$A18="",$C18=""),"",IFERROR(ROUND(INDEX(БАЗА_RO,MATCH($B18,БАЗА_КАТ,0),$J$2)*$C18/ОКРУГЛЕННЯ,0)*ОКРУГЛЕННЯ,""))</f>
        <v>7220</v>
      </c>
      <c r="F18" s="165" t="n">
        <f aca="false" t="array" ref="F18:F18">IF(OR($J$2=0,$A18="",$C18="",$D18=""),"",IFERROR(ROUND(INDEX(БАЗА_RO,MATCH($B18,БАЗА_КАТ,0),$J$2)*$C18*$D18/ОКРУГЛЕННЯ,0)*ОКРУГЛЕННЯ,""))</f>
        <v>7581</v>
      </c>
      <c r="G18" s="165" t="n">
        <f aca="false">IF(OR($E18="",$E17="",$B18&lt;&gt;$B17),"",$E18-$E17)</f>
        <v>1330</v>
      </c>
      <c r="H18" s="165" t="n">
        <f aca="false">IF(OR($E18="",$F18=""),"",$F18-$E18)</f>
        <v>361</v>
      </c>
    </row>
    <row r="19" customFormat="false" ht="15" hidden="false" customHeight="true" outlineLevel="0" collapsed="false">
      <c r="A19" s="158" t="str">
        <f aca="false">IF('Довідник категорій'!A17="","",'Довідник категорій'!A17)</f>
        <v>Апартаменти 1-й поверх 45 м²</v>
      </c>
      <c r="B19" s="159" t="str">
        <f aca="false" t="array" ref="B19:B19">IF($A19="","",IFERROR(INDEX(ДОВ_ОПОРА,MATCH($A19,КАТЕГОРІЇ,0)),""))</f>
        <v>Апартаменти 1-й поверх 45 м²</v>
      </c>
      <c r="C19" s="160" t="n">
        <f aca="false" t="array" ref="C19:C19">IF(OR($J$2=0,$A19=""),"",IFERROR(INDEX(МНОЖНИКИ,MATCH($A19,МНОЖ_КАТ,0),$J$2),""))</f>
        <v>1</v>
      </c>
      <c r="D19" s="160" t="n">
        <f aca="false" t="array" ref="D19:D19">IF(OR($J$2=0,$A19=""),"",IFERROR(INDEX(МНОЖНИКИ,MATCH($A19,МНОЖ_КАТ,0),$J$2+1),""))</f>
        <v>1.05</v>
      </c>
      <c r="E19" s="161" t="n">
        <f aca="false" t="array" ref="E19:E19">IF(OR($J$2=0,$A19="",$C19=""),"",IFERROR(ROUND(INDEX(БАЗА_RO,MATCH($B19,БАЗА_КАТ,0),$J$2)*$C19/ОКРУГЛЕННЯ,0)*ОКРУГЛЕННЯ,""))</f>
        <v>5300</v>
      </c>
      <c r="F19" s="161" t="n">
        <f aca="false" t="array" ref="F19:F19">IF(OR($J$2=0,$A19="",$C19="",$D19=""),"",IFERROR(ROUND(INDEX(БАЗА_RO,MATCH($B19,БАЗА_КАТ,0),$J$2)*$C19*$D19/ОКРУГЛЕННЯ,0)*ОКРУГЛЕННЯ,""))</f>
        <v>5565</v>
      </c>
      <c r="G19" s="161" t="str">
        <f aca="false">IF(OR($E19="",$E18="",$B19&lt;&gt;$B18),"",$E19-$E18)</f>
        <v/>
      </c>
      <c r="H19" s="161" t="n">
        <f aca="false">IF(OR($E19="",$F19=""),"",$F19-$E19)</f>
        <v>265</v>
      </c>
    </row>
    <row r="20" customFormat="false" ht="15" hidden="false" customHeight="true" outlineLevel="0" collapsed="false">
      <c r="A20" s="162" t="str">
        <f aca="false">IF('Довідник категорій'!A18="","",'Довідник категорій'!A18)</f>
        <v>Апартаменти 2-кімнатні 1-й поверх</v>
      </c>
      <c r="B20" s="163" t="str">
        <f aca="false" t="array" ref="B20:B20">IF($A20="","",IFERROR(INDEX(ДОВ_ОПОРА,MATCH($A20,КАТЕГОРІЇ,0)),""))</f>
        <v>Апартаменти 1-й поверх 45 м²</v>
      </c>
      <c r="C20" s="164" t="n">
        <f aca="false" t="array" ref="C20:C20">IF(OR($J$2=0,$A20=""),"",IFERROR(INDEX(МНОЖНИКИ,MATCH($A20,МНОЖ_КАТ,0),$J$2),""))</f>
        <v>1.1</v>
      </c>
      <c r="D20" s="164" t="n">
        <f aca="false" t="array" ref="D20:D20">IF(OR($J$2=0,$A20=""),"",IFERROR(INDEX(МНОЖНИКИ,MATCH($A20,МНОЖ_КАТ,0),$J$2+1),""))</f>
        <v>1.1</v>
      </c>
      <c r="E20" s="165" t="n">
        <f aca="false" t="array" ref="E20:E20">IF(OR($J$2=0,$A20="",$C20=""),"",IFERROR(ROUND(INDEX(БАЗА_RO,MATCH($B20,БАЗА_КАТ,0),$J$2)*$C20/ОКРУГЛЕННЯ,0)*ОКРУГЛЕННЯ,""))</f>
        <v>5830</v>
      </c>
      <c r="F20" s="165" t="n">
        <f aca="false" t="array" ref="F20:F20">IF(OR($J$2=0,$A20="",$C20="",$D20=""),"",IFERROR(ROUND(INDEX(БАЗА_RO,MATCH($B20,БАЗА_КАТ,0),$J$2)*$C20*$D20/ОКРУГЛЕННЯ,0)*ОКРУГЛЕННЯ,""))</f>
        <v>6413</v>
      </c>
      <c r="G20" s="165" t="n">
        <f aca="false">IF(OR($E20="",$E19="",$B20&lt;&gt;$B19),"",$E20-$E19)</f>
        <v>530</v>
      </c>
      <c r="H20" s="165" t="n">
        <f aca="false">IF(OR($E20="",$F20=""),"",$F20-$E20)</f>
        <v>583</v>
      </c>
    </row>
    <row r="21" customFormat="false" ht="15.75" hidden="false" customHeight="true" outlineLevel="0" collapsed="false">
      <c r="A21" s="158" t="str">
        <f aca="false">IF('Довідник категорій'!A19="","",'Довідник категорій'!A19)</f>
        <v>Апартаменти з ванною 2-й поверх</v>
      </c>
      <c r="B21" s="159" t="str">
        <f aca="false" t="array" ref="B21:B21">IF($A21="","",IFERROR(INDEX(ДОВ_ОПОРА,MATCH($A21,КАТЕГОРІЇ,0)),""))</f>
        <v>Апартаменти 1-й поверх 45 м²</v>
      </c>
      <c r="C21" s="160" t="n">
        <f aca="false" t="array" ref="C21:C21">IF(OR($J$2=0,$A21=""),"",IFERROR(INDEX(МНОЖНИКИ,MATCH($A21,МНОЖ_КАТ,0),$J$2),""))</f>
        <v>1.1</v>
      </c>
      <c r="D21" s="160" t="n">
        <f aca="false" t="array" ref="D21:D21">IF(OR($J$2=0,$A21=""),"",IFERROR(INDEX(МНОЖНИКИ,MATCH($A21,МНОЖ_КАТ,0),$J$2+1),""))</f>
        <v>1.1</v>
      </c>
      <c r="E21" s="161" t="n">
        <f aca="false" t="array" ref="E21:E21">IF(OR($J$2=0,$A21="",$C21=""),"",IFERROR(ROUND(INDEX(БАЗА_RO,MATCH($B21,БАЗА_КАТ,0),$J$2)*$C21/ОКРУГЛЕННЯ,0)*ОКРУГЛЕННЯ,""))</f>
        <v>5830</v>
      </c>
      <c r="F21" s="161" t="n">
        <f aca="false" t="array" ref="F21:F21">IF(OR($J$2=0,$A21="",$C21="",$D21=""),"",IFERROR(ROUND(INDEX(БАЗА_RO,MATCH($B21,БАЗА_КАТ,0),$J$2)*$C21*$D21/ОКРУГЛЕННЯ,0)*ОКРУГЛЕННЯ,""))</f>
        <v>6413</v>
      </c>
      <c r="G21" s="161" t="n">
        <f aca="false">IF(OR($E21="",$E20="",$B21&lt;&gt;$B20),"",$E21-$E20)</f>
        <v>0</v>
      </c>
      <c r="H21" s="161" t="n">
        <f aca="false">IF(OR($E21="",$F21=""),"",$F21-$E21)</f>
        <v>583</v>
      </c>
    </row>
    <row r="22" customFormat="false" ht="15.75" hidden="false" customHeight="true" outlineLevel="0" collapsed="false">
      <c r="A22" s="162" t="str">
        <f aca="false">IF('Довідник категорій'!A20="","",'Довідник категорій'!A20)</f>
        <v>Апартаменти 2-х місні стандартні</v>
      </c>
      <c r="B22" s="163" t="str">
        <f aca="false" t="array" ref="B22:B22">IF($A22="","",IFERROR(INDEX(ДОВ_ОПОРА,MATCH($A22,КАТЕГОРІЇ,0)),""))</f>
        <v>Апартаменти 1-й поверх 45 м²</v>
      </c>
      <c r="C22" s="164" t="n">
        <f aca="false" t="array" ref="C22:C22">IF(OR($J$2=0,$A22=""),"",IFERROR(INDEX(МНОЖНИКИ,MATCH($A22,МНОЖ_КАТ,0),$J$2),""))</f>
        <v>1.1</v>
      </c>
      <c r="D22" s="164" t="n">
        <f aca="false" t="array" ref="D22:D22">IF(OR($J$2=0,$A22=""),"",IFERROR(INDEX(МНОЖНИКИ,MATCH($A22,МНОЖ_КАТ,0),$J$2+1),""))</f>
        <v>1.1</v>
      </c>
      <c r="E22" s="165" t="n">
        <f aca="false" t="array" ref="E22:E22">IF(OR($J$2=0,$A22="",$C22=""),"",IFERROR(ROUND(INDEX(БАЗА_RO,MATCH($B22,БАЗА_КАТ,0),$J$2)*$C22/ОКРУГЛЕННЯ,0)*ОКРУГЛЕННЯ,""))</f>
        <v>5830</v>
      </c>
      <c r="F22" s="165" t="n">
        <f aca="false" t="array" ref="F22:F22">IF(OR($J$2=0,$A22="",$C22="",$D22=""),"",IFERROR(ROUND(INDEX(БАЗА_RO,MATCH($B22,БАЗА_КАТ,0),$J$2)*$C22*$D22/ОКРУГЛЕННЯ,0)*ОКРУГЛЕННЯ,""))</f>
        <v>6413</v>
      </c>
      <c r="G22" s="165" t="n">
        <f aca="false">IF(OR($E22="",$E21="",$B22&lt;&gt;$B21),"",$E22-$E21)</f>
        <v>0</v>
      </c>
      <c r="H22" s="165" t="n">
        <f aca="false">IF(OR($E22="",$F22=""),"",$F22-$E22)</f>
        <v>583</v>
      </c>
    </row>
    <row r="23" customFormat="false" ht="15.75" hidden="false" customHeight="true" outlineLevel="0" collapsed="false">
      <c r="A23" s="158" t="str">
        <f aca="false">IF('Довідник категорій'!A21="","",'Довідник категорій'!A21)</f>
        <v>Апартаменти 3-й поверх</v>
      </c>
      <c r="B23" s="159" t="str">
        <f aca="false" t="array" ref="B23:B23">IF($A23="","",IFERROR(INDEX(ДОВ_ОПОРА,MATCH($A23,КАТЕГОРІЇ,0)),""))</f>
        <v>Апартаменти 1-й поверх 45 м²</v>
      </c>
      <c r="C23" s="160" t="n">
        <f aca="false" t="array" ref="C23:C23">IF(OR($J$2=0,$A23=""),"",IFERROR(INDEX(МНОЖНИКИ,MATCH($A23,МНОЖ_КАТ,0),$J$2),""))</f>
        <v>1.1</v>
      </c>
      <c r="D23" s="160" t="n">
        <f aca="false" t="array" ref="D23:D23">IF(OR($J$2=0,$A23=""),"",IFERROR(INDEX(МНОЖНИКИ,MATCH($A23,МНОЖ_КАТ,0),$J$2+1),""))</f>
        <v>1.1</v>
      </c>
      <c r="E23" s="161" t="n">
        <f aca="false" t="array" ref="E23:E23">IF(OR($J$2=0,$A23="",$C23=""),"",IFERROR(ROUND(INDEX(БАЗА_RO,MATCH($B23,БАЗА_КАТ,0),$J$2)*$C23/ОКРУГЛЕННЯ,0)*ОКРУГЛЕННЯ,""))</f>
        <v>5830</v>
      </c>
      <c r="F23" s="161" t="n">
        <f aca="false" t="array" ref="F23:F23">IF(OR($J$2=0,$A23="",$C23="",$D23=""),"",IFERROR(ROUND(INDEX(БАЗА_RO,MATCH($B23,БАЗА_КАТ,0),$J$2)*$C23*$D23/ОКРУГЛЕННЯ,0)*ОКРУГЛЕННЯ,""))</f>
        <v>6413</v>
      </c>
      <c r="G23" s="161" t="n">
        <f aca="false">IF(OR($E23="",$E22="",$B23&lt;&gt;$B22),"",$E23-$E22)</f>
        <v>0</v>
      </c>
      <c r="H23" s="161" t="n">
        <f aca="false">IF(OR($E23="",$F23=""),"",$F23-$E23)</f>
        <v>583</v>
      </c>
    </row>
    <row r="24" customFormat="false" ht="15.75" hidden="false" customHeight="true" outlineLevel="0" collapsed="false">
      <c r="A24" s="162" t="str">
        <f aca="false">IF('Довідник категорій'!A22="","",'Довідник категорій'!A22)</f>
        <v>Апартаменти президентські</v>
      </c>
      <c r="B24" s="163" t="str">
        <f aca="false" t="array" ref="B24:B24">IF($A24="","",IFERROR(INDEX(ДОВ_ОПОРА,MATCH($A24,КАТЕГОРІЇ,0)),""))</f>
        <v>Апартаменти 1-й поверх 45 м²</v>
      </c>
      <c r="C24" s="164" t="n">
        <f aca="false" t="array" ref="C24:C24">IF(OR($J$2=0,$A24=""),"",IFERROR(INDEX(МНОЖНИКИ,MATCH($A24,МНОЖ_КАТ,0),$J$2),""))</f>
        <v>1.6</v>
      </c>
      <c r="D24" s="164" t="n">
        <f aca="false" t="array" ref="D24:D24">IF(OR($J$2=0,$A24=""),"",IFERROR(INDEX(МНОЖНИКИ,MATCH($A24,МНОЖ_КАТ,0),$J$2+1),""))</f>
        <v>1.06</v>
      </c>
      <c r="E24" s="165" t="n">
        <f aca="false" t="array" ref="E24:E24">IF(OR($J$2=0,$A24="",$C24=""),"",IFERROR(ROUND(INDEX(БАЗА_RO,MATCH($B24,БАЗА_КАТ,0),$J$2)*$C24/ОКРУГЛЕННЯ,0)*ОКРУГЛЕННЯ,""))</f>
        <v>8480</v>
      </c>
      <c r="F24" s="165" t="n">
        <f aca="false" t="array" ref="F24:F24">IF(OR($J$2=0,$A24="",$C24="",$D24=""),"",IFERROR(ROUND(INDEX(БАЗА_RO,MATCH($B24,БАЗА_КАТ,0),$J$2)*$C24*$D24/ОКРУГЛЕННЯ,0)*ОКРУГЛЕННЯ,""))</f>
        <v>8989</v>
      </c>
      <c r="G24" s="165" t="n">
        <f aca="false">IF(OR($E24="",$E23="",$B24&lt;&gt;$B23),"",$E24-$E23)</f>
        <v>2650</v>
      </c>
      <c r="H24" s="165" t="n">
        <f aca="false">IF(OR($E24="",$F24=""),"",$F24-$E24)</f>
        <v>509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H1"/>
    <mergeCell ref="A4:H4"/>
  </mergeCells>
  <conditionalFormatting sqref="A7:B24">
    <cfRule type="expression" priority="2" aboveAverage="0" equalAverage="0" bottom="0" percent="0" rank="0" text="" dxfId="3">
      <formula>IFERROR(INDEX(ДОВ_РОЛЬ,MATCH($A7,КАТЕГОРІЇ,0))="Базова",0)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7"/>
    <col collapsed="false" customWidth="true" hidden="false" outlineLevel="0" max="5" min="5" style="1" width="14"/>
    <col collapsed="false" customWidth="true" hidden="false" outlineLevel="0" max="6" min="6" style="1" width="8.57"/>
    <col collapsed="false" customWidth="true" hidden="true" outlineLevel="0" max="7" min="7" style="1" width="13"/>
    <col collapsed="false" customWidth="true" hidden="false" outlineLevel="0" max="26" min="8" style="1" width="8.57"/>
  </cols>
  <sheetData>
    <row r="1" customFormat="false" ht="27.75" hidden="false" customHeight="true" outlineLevel="0" collapsed="false">
      <c r="A1" s="152" t="s">
        <v>222</v>
      </c>
      <c r="B1" s="152"/>
      <c r="C1" s="152"/>
      <c r="D1" s="152"/>
      <c r="E1" s="152"/>
    </row>
    <row r="2" customFormat="false" ht="15" hidden="false" customHeight="true" outlineLevel="0" collapsed="false">
      <c r="G2" s="154" t="n">
        <f aca="false">IFERROR(MATCH(Прайс!$B$3,ПЛ_РЯДОК,0),0)</f>
        <v>51</v>
      </c>
    </row>
    <row r="3" customFormat="false" ht="15" hidden="false" customHeight="true" outlineLevel="0" collapsed="false">
      <c r="A3" s="155" t="s">
        <v>1</v>
      </c>
      <c r="B3" s="156" t="str">
        <f aca="false">Прайс!$B$3</f>
        <v>Зима ВС 2026</v>
      </c>
    </row>
    <row r="4" customFormat="false" ht="25.5" hidden="false" customHeight="true" outlineLevel="0" collapsed="false">
      <c r="A4" s="157" t="s">
        <v>223</v>
      </c>
      <c r="B4" s="157"/>
      <c r="C4" s="157"/>
      <c r="D4" s="157"/>
      <c r="E4" s="157"/>
    </row>
    <row r="6" customFormat="false" ht="27.75" hidden="false" customHeight="true" outlineLevel="0" collapsed="false">
      <c r="A6" s="51" t="s">
        <v>53</v>
      </c>
      <c r="B6" s="51" t="s">
        <v>224</v>
      </c>
      <c r="C6" s="51" t="s">
        <v>100</v>
      </c>
      <c r="D6" s="51" t="s">
        <v>225</v>
      </c>
      <c r="E6" s="51" t="s">
        <v>31</v>
      </c>
    </row>
    <row r="7" customFormat="false" ht="15" hidden="false" customHeight="true" outlineLevel="0" collapsed="false">
      <c r="A7" s="158" t="s">
        <v>58</v>
      </c>
      <c r="B7" s="161" t="n">
        <f aca="false" t="array" ref="B7:B7">IF($G$2=0,"",IFERROR(INDEX(БАЗА_RO,MATCH($A7,БАЗА_КАТ,0),$G$2),""))</f>
        <v>7700</v>
      </c>
      <c r="C7" s="160" t="n">
        <f aca="false" t="array" ref="C7:C7">IF($G$2=0,"",IFERROR(INDEX(МНОЖНИКИ,MATCH($A7,МНОЖ_КАТ,0),$G$2+1),""))</f>
        <v>1.05</v>
      </c>
      <c r="D7" s="161" t="n">
        <f aca="false">IF(OR($B7="",$C7=""),"",ROUND($B7*$C7/ОКРУГЛЕННЯ,0)*ОКРУГЛЕННЯ)</f>
        <v>8085</v>
      </c>
      <c r="E7" s="97" t="str">
        <f aca="false">IF($B7="","ПЕРЕВІРИТИ","OK")</f>
        <v>OK</v>
      </c>
    </row>
    <row r="8" customFormat="false" ht="15" hidden="false" customHeight="true" outlineLevel="0" collapsed="false">
      <c r="A8" s="158" t="s">
        <v>62</v>
      </c>
      <c r="B8" s="161" t="n">
        <f aca="false" t="array" ref="B8:B8">IF($G$2=0,"",IFERROR(INDEX(БАЗА_RO,MATCH($A8,БАЗА_КАТ,0),$G$2),""))</f>
        <v>9300</v>
      </c>
      <c r="C8" s="160" t="n">
        <f aca="false" t="array" ref="C8:C8">IF($G$2=0,"",IFERROR(INDEX(МНОЖНИКИ,MATCH($A8,МНОЖ_КАТ,0),$G$2+1),""))</f>
        <v>1.1</v>
      </c>
      <c r="D8" s="161" t="n">
        <f aca="false">IF(OR($B8="",$C8=""),"",ROUND($B8*$C8/ОКРУГЛЕННЯ,0)*ОКРУГЛЕННЯ)</f>
        <v>10230</v>
      </c>
      <c r="E8" s="97" t="str">
        <f aca="false">IF($B8="","ПЕРЕВІРИТИ","OK")</f>
        <v>OK</v>
      </c>
    </row>
    <row r="9" customFormat="false" ht="15" hidden="false" customHeight="true" outlineLevel="0" collapsed="false">
      <c r="A9" s="158" t="s">
        <v>65</v>
      </c>
      <c r="B9" s="161" t="n">
        <f aca="false" t="array" ref="B9:B9">IF($G$2=0,"",IFERROR(INDEX(БАЗА_RO,MATCH($A9,БАЗА_КАТ,0),$G$2),""))</f>
        <v>3800</v>
      </c>
      <c r="C9" s="160" t="n">
        <f aca="false" t="array" ref="C9:C9">IF($G$2=0,"",IFERROR(INDEX(МНОЖНИКИ,MATCH($A9,МНОЖ_КАТ,0),$G$2+1),""))</f>
        <v>1.1</v>
      </c>
      <c r="D9" s="161" t="n">
        <f aca="false">IF(OR($B9="",$C9=""),"",ROUND($B9*$C9/ОКРУГЛЕННЯ,0)*ОКРУГЛЕННЯ)</f>
        <v>4180</v>
      </c>
      <c r="E9" s="97" t="str">
        <f aca="false">IF($B9="","ПЕРЕВІРИТИ","OK")</f>
        <v>OK</v>
      </c>
    </row>
    <row r="10" customFormat="false" ht="15" hidden="false" customHeight="true" outlineLevel="0" collapsed="false">
      <c r="A10" s="158" t="s">
        <v>67</v>
      </c>
      <c r="B10" s="161" t="n">
        <f aca="false" t="array" ref="B10:B10">IF($G$2=0,"",IFERROR(INDEX(БАЗА_RO,MATCH($A10,БАЗА_КАТ,0),$G$2),""))</f>
        <v>5300</v>
      </c>
      <c r="C10" s="160" t="n">
        <f aca="false" t="array" ref="C10:C10">IF($G$2=0,"",IFERROR(INDEX(МНОЖНИКИ,MATCH($A10,МНОЖ_КАТ,0),$G$2+1),""))</f>
        <v>1.05</v>
      </c>
      <c r="D10" s="161" t="n">
        <f aca="false">IF(OR($B10="",$C10=""),"",ROUND($B10*$C10/ОКРУГЛЕННЯ,0)*ОКРУГЛЕННЯ)</f>
        <v>5565</v>
      </c>
      <c r="E10" s="97" t="str">
        <f aca="false">IF($B10="","ПЕРЕВІРИТИ","OK")</f>
        <v>OK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E1"/>
    <mergeCell ref="A4:E4"/>
  </mergeCells>
  <conditionalFormatting sqref="E7:E10">
    <cfRule type="expression" priority="2" aboveAverage="0" equalAverage="0" bottom="0" percent="0" rank="0" text="" dxfId="3">
      <formula>$E7="ПЕРЕВІРИТИ"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26"/>
    <col collapsed="false" customWidth="true" hidden="false" outlineLevel="0" max="26" min="10" style="1" width="8.57"/>
  </cols>
  <sheetData>
    <row r="1" customFormat="false" ht="27.75" hidden="false" customHeight="true" outlineLevel="0" collapsed="false">
      <c r="A1" s="152" t="s">
        <v>226</v>
      </c>
      <c r="B1" s="152"/>
      <c r="C1" s="152"/>
      <c r="D1" s="152"/>
      <c r="E1" s="152"/>
      <c r="F1" s="152"/>
      <c r="G1" s="152"/>
      <c r="H1" s="152"/>
      <c r="I1" s="152"/>
    </row>
    <row r="2" customFormat="false" ht="33.75" hidden="false" customHeight="true" outlineLevel="0" collapsed="false">
      <c r="A2" s="157" t="s">
        <v>227</v>
      </c>
      <c r="B2" s="157"/>
      <c r="C2" s="157"/>
      <c r="D2" s="157"/>
      <c r="E2" s="157"/>
      <c r="F2" s="157"/>
      <c r="G2" s="157"/>
      <c r="H2" s="157"/>
      <c r="I2" s="157"/>
    </row>
    <row r="4" customFormat="false" ht="31.5" hidden="false" customHeight="true" outlineLevel="0" collapsed="false">
      <c r="A4" s="51" t="s">
        <v>14</v>
      </c>
      <c r="B4" s="51" t="s">
        <v>15</v>
      </c>
      <c r="C4" s="51" t="s">
        <v>16</v>
      </c>
      <c r="D4" s="51" t="s">
        <v>217</v>
      </c>
      <c r="E4" s="51" t="s">
        <v>175</v>
      </c>
      <c r="F4" s="51" t="s">
        <v>228</v>
      </c>
      <c r="G4" s="51" t="s">
        <v>178</v>
      </c>
      <c r="H4" s="51" t="s">
        <v>229</v>
      </c>
      <c r="I4" s="51" t="s">
        <v>230</v>
      </c>
    </row>
    <row r="5" customFormat="false" ht="15" hidden="false" customHeight="true" outlineLevel="0" collapsed="false">
      <c r="A5" s="162" t="s">
        <v>58</v>
      </c>
      <c r="B5" s="166" t="s">
        <v>231</v>
      </c>
      <c r="C5" s="166" t="s">
        <v>232</v>
      </c>
      <c r="D5" s="166" t="s">
        <v>58</v>
      </c>
      <c r="E5" s="136" t="n">
        <v>1</v>
      </c>
      <c r="F5" s="136" t="n">
        <v>2</v>
      </c>
      <c r="G5" s="136" t="n">
        <v>3</v>
      </c>
      <c r="H5" s="166" t="s">
        <v>233</v>
      </c>
      <c r="I5" s="166" t="s">
        <v>131</v>
      </c>
    </row>
    <row r="6" customFormat="false" ht="15" hidden="false" customHeight="true" outlineLevel="0" collapsed="false">
      <c r="A6" s="158" t="s">
        <v>103</v>
      </c>
      <c r="B6" s="167" t="s">
        <v>231</v>
      </c>
      <c r="C6" s="167" t="s">
        <v>232</v>
      </c>
      <c r="D6" s="167" t="s">
        <v>58</v>
      </c>
      <c r="E6" s="136" t="n">
        <v>1</v>
      </c>
      <c r="F6" s="136" t="n">
        <v>2</v>
      </c>
      <c r="G6" s="136" t="n">
        <v>3</v>
      </c>
      <c r="H6" s="167" t="s">
        <v>234</v>
      </c>
      <c r="I6" s="167" t="s">
        <v>131</v>
      </c>
    </row>
    <row r="7" customFormat="false" ht="15" hidden="false" customHeight="true" outlineLevel="0" collapsed="false">
      <c r="A7" s="162" t="s">
        <v>62</v>
      </c>
      <c r="B7" s="166" t="s">
        <v>235</v>
      </c>
      <c r="C7" s="166" t="s">
        <v>236</v>
      </c>
      <c r="D7" s="166" t="s">
        <v>62</v>
      </c>
      <c r="E7" s="136" t="n">
        <v>1</v>
      </c>
      <c r="F7" s="136" t="n">
        <v>2</v>
      </c>
      <c r="G7" s="136" t="n">
        <v>6</v>
      </c>
      <c r="H7" s="166" t="s">
        <v>233</v>
      </c>
      <c r="I7" s="166" t="s">
        <v>132</v>
      </c>
    </row>
    <row r="8" customFormat="false" ht="15" hidden="false" customHeight="true" outlineLevel="0" collapsed="false">
      <c r="A8" s="158" t="s">
        <v>105</v>
      </c>
      <c r="B8" s="167" t="s">
        <v>237</v>
      </c>
      <c r="C8" s="167" t="s">
        <v>236</v>
      </c>
      <c r="D8" s="167" t="s">
        <v>62</v>
      </c>
      <c r="E8" s="136" t="n">
        <v>1</v>
      </c>
      <c r="F8" s="136" t="n">
        <v>2</v>
      </c>
      <c r="G8" s="136" t="n">
        <v>6</v>
      </c>
      <c r="H8" s="167" t="s">
        <v>234</v>
      </c>
      <c r="I8" s="167" t="s">
        <v>132</v>
      </c>
    </row>
    <row r="9" customFormat="false" ht="15" hidden="false" customHeight="true" outlineLevel="0" collapsed="false">
      <c r="A9" s="162" t="s">
        <v>106</v>
      </c>
      <c r="B9" s="166" t="s">
        <v>238</v>
      </c>
      <c r="C9" s="166" t="s">
        <v>236</v>
      </c>
      <c r="D9" s="166" t="s">
        <v>62</v>
      </c>
      <c r="E9" s="136" t="n">
        <v>1</v>
      </c>
      <c r="F9" s="136" t="n">
        <v>2</v>
      </c>
      <c r="G9" s="136" t="n">
        <v>6</v>
      </c>
      <c r="H9" s="166" t="s">
        <v>234</v>
      </c>
      <c r="I9" s="166" t="s">
        <v>132</v>
      </c>
    </row>
    <row r="10" customFormat="false" ht="15" hidden="false" customHeight="true" outlineLevel="0" collapsed="false">
      <c r="A10" s="158" t="s">
        <v>108</v>
      </c>
      <c r="B10" s="167" t="s">
        <v>238</v>
      </c>
      <c r="C10" s="167" t="s">
        <v>236</v>
      </c>
      <c r="D10" s="167" t="s">
        <v>62</v>
      </c>
      <c r="E10" s="136" t="n">
        <v>1</v>
      </c>
      <c r="F10" s="136" t="n">
        <v>2</v>
      </c>
      <c r="G10" s="136" t="n">
        <v>6</v>
      </c>
      <c r="H10" s="167" t="s">
        <v>234</v>
      </c>
      <c r="I10" s="167" t="s">
        <v>132</v>
      </c>
    </row>
    <row r="11" customFormat="false" ht="15" hidden="false" customHeight="true" outlineLevel="0" collapsed="false">
      <c r="A11" s="162" t="s">
        <v>109</v>
      </c>
      <c r="B11" s="166" t="s">
        <v>239</v>
      </c>
      <c r="C11" s="166" t="s">
        <v>236</v>
      </c>
      <c r="D11" s="166" t="s">
        <v>62</v>
      </c>
      <c r="E11" s="136" t="n">
        <v>1</v>
      </c>
      <c r="F11" s="136" t="n">
        <v>2</v>
      </c>
      <c r="G11" s="136" t="n">
        <v>8</v>
      </c>
      <c r="H11" s="166" t="s">
        <v>234</v>
      </c>
      <c r="I11" s="166" t="s">
        <v>132</v>
      </c>
    </row>
    <row r="12" customFormat="false" ht="15" hidden="false" customHeight="true" outlineLevel="0" collapsed="false">
      <c r="A12" s="158" t="s">
        <v>65</v>
      </c>
      <c r="B12" s="167" t="s">
        <v>65</v>
      </c>
      <c r="C12" s="167" t="s">
        <v>240</v>
      </c>
      <c r="D12" s="167" t="s">
        <v>65</v>
      </c>
      <c r="E12" s="136" t="n">
        <v>1</v>
      </c>
      <c r="F12" s="136" t="n">
        <v>2</v>
      </c>
      <c r="G12" s="136" t="n">
        <v>2</v>
      </c>
      <c r="H12" s="167" t="s">
        <v>233</v>
      </c>
      <c r="I12" s="167" t="s">
        <v>131</v>
      </c>
    </row>
    <row r="13" customFormat="false" ht="15" hidden="false" customHeight="true" outlineLevel="0" collapsed="false">
      <c r="A13" s="162" t="s">
        <v>110</v>
      </c>
      <c r="B13" s="166" t="s">
        <v>110</v>
      </c>
      <c r="C13" s="166" t="s">
        <v>240</v>
      </c>
      <c r="D13" s="166" t="s">
        <v>65</v>
      </c>
      <c r="E13" s="136" t="n">
        <v>1</v>
      </c>
      <c r="F13" s="136" t="n">
        <v>2</v>
      </c>
      <c r="G13" s="136" t="n">
        <v>2</v>
      </c>
      <c r="H13" s="166" t="s">
        <v>234</v>
      </c>
      <c r="I13" s="166" t="s">
        <v>131</v>
      </c>
    </row>
    <row r="14" customFormat="false" ht="15" hidden="false" customHeight="true" outlineLevel="0" collapsed="false">
      <c r="A14" s="158" t="s">
        <v>111</v>
      </c>
      <c r="B14" s="167" t="s">
        <v>111</v>
      </c>
      <c r="C14" s="167" t="s">
        <v>240</v>
      </c>
      <c r="D14" s="167" t="s">
        <v>65</v>
      </c>
      <c r="E14" s="136" t="n">
        <v>1</v>
      </c>
      <c r="F14" s="136" t="n">
        <v>2</v>
      </c>
      <c r="G14" s="136" t="n">
        <v>2</v>
      </c>
      <c r="H14" s="167" t="s">
        <v>234</v>
      </c>
      <c r="I14" s="167" t="s">
        <v>131</v>
      </c>
    </row>
    <row r="15" customFormat="false" ht="15" hidden="false" customHeight="true" outlineLevel="0" collapsed="false">
      <c r="A15" s="162" t="s">
        <v>112</v>
      </c>
      <c r="B15" s="166" t="s">
        <v>241</v>
      </c>
      <c r="C15" s="166" t="s">
        <v>240</v>
      </c>
      <c r="D15" s="166" t="s">
        <v>65</v>
      </c>
      <c r="E15" s="136" t="n">
        <v>1</v>
      </c>
      <c r="F15" s="136" t="n">
        <v>2</v>
      </c>
      <c r="G15" s="136" t="n">
        <v>3</v>
      </c>
      <c r="H15" s="166" t="s">
        <v>234</v>
      </c>
      <c r="I15" s="166" t="s">
        <v>131</v>
      </c>
    </row>
    <row r="16" customFormat="false" ht="15" hidden="false" customHeight="true" outlineLevel="0" collapsed="false">
      <c r="A16" s="158" t="s">
        <v>113</v>
      </c>
      <c r="B16" s="167" t="s">
        <v>113</v>
      </c>
      <c r="C16" s="167" t="s">
        <v>240</v>
      </c>
      <c r="D16" s="167" t="s">
        <v>65</v>
      </c>
      <c r="E16" s="136" t="n">
        <v>1</v>
      </c>
      <c r="F16" s="136" t="n">
        <v>2</v>
      </c>
      <c r="G16" s="136" t="n">
        <v>5</v>
      </c>
      <c r="H16" s="167" t="s">
        <v>234</v>
      </c>
      <c r="I16" s="167" t="s">
        <v>131</v>
      </c>
    </row>
    <row r="17" customFormat="false" ht="15" hidden="false" customHeight="true" outlineLevel="0" collapsed="false">
      <c r="A17" s="162" t="s">
        <v>67</v>
      </c>
      <c r="B17" s="166" t="s">
        <v>67</v>
      </c>
      <c r="C17" s="166" t="s">
        <v>242</v>
      </c>
      <c r="D17" s="166" t="s">
        <v>67</v>
      </c>
      <c r="E17" s="136" t="n">
        <v>1</v>
      </c>
      <c r="F17" s="136" t="n">
        <v>2</v>
      </c>
      <c r="G17" s="136" t="n">
        <v>3</v>
      </c>
      <c r="H17" s="166" t="s">
        <v>233</v>
      </c>
      <c r="I17" s="166" t="s">
        <v>131</v>
      </c>
    </row>
    <row r="18" customFormat="false" ht="15" hidden="false" customHeight="true" outlineLevel="0" collapsed="false">
      <c r="A18" s="158" t="s">
        <v>114</v>
      </c>
      <c r="B18" s="167" t="s">
        <v>243</v>
      </c>
      <c r="C18" s="167" t="s">
        <v>242</v>
      </c>
      <c r="D18" s="167" t="s">
        <v>67</v>
      </c>
      <c r="E18" s="136" t="n">
        <v>1</v>
      </c>
      <c r="F18" s="136" t="n">
        <v>2</v>
      </c>
      <c r="G18" s="136" t="n">
        <v>3</v>
      </c>
      <c r="H18" s="167" t="s">
        <v>234</v>
      </c>
      <c r="I18" s="167" t="s">
        <v>131</v>
      </c>
    </row>
    <row r="19" customFormat="false" ht="15" hidden="false" customHeight="true" outlineLevel="0" collapsed="false">
      <c r="A19" s="162" t="s">
        <v>115</v>
      </c>
      <c r="B19" s="166" t="s">
        <v>244</v>
      </c>
      <c r="C19" s="166" t="s">
        <v>242</v>
      </c>
      <c r="D19" s="166" t="s">
        <v>67</v>
      </c>
      <c r="E19" s="136" t="n">
        <v>1</v>
      </c>
      <c r="F19" s="136" t="n">
        <v>2</v>
      </c>
      <c r="G19" s="136" t="n">
        <v>3</v>
      </c>
      <c r="H19" s="166" t="s">
        <v>234</v>
      </c>
      <c r="I19" s="166" t="s">
        <v>131</v>
      </c>
    </row>
    <row r="20" customFormat="false" ht="15" hidden="false" customHeight="true" outlineLevel="0" collapsed="false">
      <c r="A20" s="158" t="s">
        <v>116</v>
      </c>
      <c r="B20" s="167" t="s">
        <v>245</v>
      </c>
      <c r="C20" s="167" t="s">
        <v>242</v>
      </c>
      <c r="D20" s="167" t="s">
        <v>67</v>
      </c>
      <c r="E20" s="136" t="n">
        <v>1</v>
      </c>
      <c r="F20" s="136" t="n">
        <v>2</v>
      </c>
      <c r="G20" s="136" t="n">
        <v>3</v>
      </c>
      <c r="H20" s="167" t="s">
        <v>234</v>
      </c>
      <c r="I20" s="167" t="s">
        <v>131</v>
      </c>
    </row>
    <row r="21" customFormat="false" ht="15.75" hidden="false" customHeight="true" outlineLevel="0" collapsed="false">
      <c r="A21" s="162" t="s">
        <v>117</v>
      </c>
      <c r="B21" s="166" t="s">
        <v>246</v>
      </c>
      <c r="C21" s="166" t="s">
        <v>242</v>
      </c>
      <c r="D21" s="166" t="s">
        <v>67</v>
      </c>
      <c r="E21" s="136" t="n">
        <v>1</v>
      </c>
      <c r="F21" s="136" t="n">
        <v>2</v>
      </c>
      <c r="G21" s="136" t="n">
        <v>3</v>
      </c>
      <c r="H21" s="166" t="s">
        <v>234</v>
      </c>
      <c r="I21" s="166" t="s">
        <v>131</v>
      </c>
    </row>
    <row r="22" customFormat="false" ht="15.75" hidden="false" customHeight="true" outlineLevel="0" collapsed="false">
      <c r="A22" s="158" t="s">
        <v>118</v>
      </c>
      <c r="B22" s="167" t="s">
        <v>247</v>
      </c>
      <c r="C22" s="167" t="s">
        <v>242</v>
      </c>
      <c r="D22" s="167" t="s">
        <v>67</v>
      </c>
      <c r="E22" s="136" t="n">
        <v>1</v>
      </c>
      <c r="F22" s="136" t="n">
        <v>2</v>
      </c>
      <c r="G22" s="136" t="n">
        <v>3</v>
      </c>
      <c r="H22" s="167" t="s">
        <v>234</v>
      </c>
      <c r="I22" s="167" t="s">
        <v>131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I1"/>
    <mergeCell ref="A2:I2"/>
  </mergeCells>
  <dataValidations count="4">
    <dataValidation allowBlank="true" errorStyle="stop" operator="between" showDropDown="false" showErrorMessage="false" showInputMessage="false" sqref="I5:I22" type="list">
      <formula1>SPA_РОЛЬ</formula1>
      <formula2>0</formula2>
    </dataValidation>
    <dataValidation allowBlank="true" errorStyle="stop" operator="between" showDropDown="false" showErrorMessage="false" showInputMessage="false" sqref="D5:D22" type="list">
      <formula1>БАЗА_КАТ</formula1>
      <formula2>0</formula2>
    </dataValidation>
    <dataValidation allowBlank="true" errorStyle="stop" operator="between" prompt="Некоректна місткість - Введіть ціле число від 0 до 20." showDropDown="false" showErrorMessage="true" showInputMessage="true" sqref="E5:G22" type="decimal">
      <formula1>0</formula1>
      <formula2>20</formula2>
    </dataValidation>
    <dataValidation allowBlank="true" errorStyle="stop" operator="between" showDropDown="false" showErrorMessage="false" showInputMessage="false" sqref="H5:H22" type="list">
      <formula1>"Базова,За матрицею"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2"/>
    <col collapsed="false" customWidth="true" hidden="false" outlineLevel="0" max="4" min="4" style="1" width="16"/>
    <col collapsed="false" customWidth="true" hidden="false" outlineLevel="0" max="5" min="5" style="1" width="26"/>
    <col collapsed="false" customWidth="true" hidden="false" outlineLevel="0" max="26" min="6" style="1" width="8.57"/>
  </cols>
  <sheetData>
    <row r="1" customFormat="false" ht="27.75" hidden="false" customHeight="true" outlineLevel="0" collapsed="false">
      <c r="A1" s="2" t="s">
        <v>248</v>
      </c>
      <c r="B1" s="2"/>
      <c r="C1" s="2"/>
      <c r="D1" s="2"/>
      <c r="E1" s="2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customFormat="false" ht="39.75" hidden="false" customHeight="true" outlineLevel="0" collapsed="false">
      <c r="A2" s="120" t="s">
        <v>249</v>
      </c>
      <c r="B2" s="120"/>
      <c r="C2" s="120"/>
      <c r="D2" s="120"/>
      <c r="E2" s="12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customFormat="false" ht="15" hidden="false" customHeight="true" outlineLevel="0" collapsed="false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customFormat="false" ht="15" hidden="false" customHeight="true" outlineLevel="0" collapsed="false">
      <c r="A4" s="117" t="s">
        <v>250</v>
      </c>
      <c r="B4" s="117" t="s">
        <v>251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customFormat="false" ht="15" hidden="false" customHeight="true" outlineLevel="0" collapsed="false">
      <c r="A5" s="117" t="s">
        <v>252</v>
      </c>
      <c r="B5" s="117" t="s">
        <v>253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customFormat="false" ht="15" hidden="false" customHeight="true" outlineLevel="0" collapsed="false">
      <c r="A6" s="117" t="s">
        <v>254</v>
      </c>
      <c r="B6" s="117" t="s">
        <v>255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customFormat="false" ht="15" hidden="false" customHeight="true" outlineLevel="0" collapsed="false">
      <c r="A7" s="117" t="s">
        <v>256</v>
      </c>
      <c r="B7" s="117" t="s">
        <v>257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customFormat="false" ht="15" hidden="false" customHeight="true" outlineLevel="0" collapsed="false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customFormat="false" ht="15" hidden="false" customHeight="true" outlineLevel="0" collapsed="false">
      <c r="A9" s="115" t="s">
        <v>258</v>
      </c>
      <c r="B9" s="115"/>
      <c r="C9" s="115"/>
      <c r="D9" s="115"/>
      <c r="E9" s="115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customFormat="false" ht="15" hidden="false" customHeight="true" outlineLevel="0" collapsed="false">
      <c r="A10" s="115" t="s">
        <v>259</v>
      </c>
      <c r="B10" s="115"/>
      <c r="C10" s="115"/>
      <c r="D10" s="115"/>
      <c r="E10" s="115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customFormat="false" ht="27.75" hidden="false" customHeight="true" outlineLevel="0" collapsed="false">
      <c r="A11" s="51" t="s">
        <v>260</v>
      </c>
      <c r="B11" s="51" t="s">
        <v>261</v>
      </c>
      <c r="C11" s="51" t="s">
        <v>262</v>
      </c>
      <c r="D11" s="51" t="s">
        <v>263</v>
      </c>
      <c r="E11" s="51" t="s">
        <v>264</v>
      </c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customFormat="false" ht="15" hidden="false" customHeight="true" outlineLevel="0" collapsed="false">
      <c r="A12" s="117" t="s">
        <v>265</v>
      </c>
      <c r="B12" s="168" t="n">
        <v>600</v>
      </c>
      <c r="C12" s="168" t="n">
        <v>420</v>
      </c>
      <c r="D12" s="168" t="n">
        <v>350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customFormat="false" ht="15" hidden="false" customHeight="true" outlineLevel="0" collapsed="false">
      <c r="A13" s="117" t="s">
        <v>266</v>
      </c>
      <c r="B13" s="168" t="n">
        <v>350</v>
      </c>
      <c r="C13" s="168" t="n">
        <v>250</v>
      </c>
      <c r="D13" s="168" t="n">
        <v>250</v>
      </c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customFormat="false" ht="15" hidden="false" customHeight="true" outlineLevel="0" collapsed="false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customFormat="false" ht="15" hidden="false" customHeight="true" outlineLevel="0" collapsed="false">
      <c r="A15" s="117" t="s">
        <v>267</v>
      </c>
      <c r="B15" s="168" t="n">
        <v>800</v>
      </c>
      <c r="C15" s="168" t="n">
        <v>500</v>
      </c>
      <c r="D15" s="168" t="n">
        <v>500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customFormat="false" ht="15" hidden="false" customHeight="true" outlineLevel="0" collapsed="false">
      <c r="A16" s="117" t="s">
        <v>268</v>
      </c>
      <c r="B16" s="168" t="n">
        <v>400</v>
      </c>
      <c r="C16" s="168" t="n">
        <v>400</v>
      </c>
      <c r="D16" s="168" t="n">
        <v>400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customFormat="false" ht="15" hidden="false" customHeight="true" outlineLevel="0" collapsed="false">
      <c r="A17" s="117" t="s">
        <v>269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customFormat="false" ht="15" hidden="false" customHeight="true" outlineLevel="0" collapsed="false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customFormat="false" ht="15" hidden="false" customHeight="true" outlineLevel="0" collapsed="false">
      <c r="A19" s="115" t="s">
        <v>270</v>
      </c>
      <c r="B19" s="115"/>
      <c r="C19" s="115"/>
      <c r="D19" s="115"/>
      <c r="E19" s="115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customFormat="false" ht="27.75" hidden="false" customHeight="true" outlineLevel="0" collapsed="false">
      <c r="A20" s="51" t="s">
        <v>260</v>
      </c>
      <c r="B20" s="51" t="s">
        <v>271</v>
      </c>
      <c r="C20" s="51" t="s">
        <v>262</v>
      </c>
      <c r="D20" s="51" t="s">
        <v>272</v>
      </c>
      <c r="E20" s="51" t="s">
        <v>264</v>
      </c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customFormat="false" ht="15.75" hidden="false" customHeight="true" outlineLevel="0" collapsed="false">
      <c r="A21" s="117" t="s">
        <v>265</v>
      </c>
      <c r="B21" s="168" t="n">
        <v>600</v>
      </c>
      <c r="C21" s="168" t="n">
        <v>500</v>
      </c>
      <c r="D21" s="168" t="n">
        <v>450</v>
      </c>
      <c r="E21" s="168" t="n">
        <v>1.07</v>
      </c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customFormat="false" ht="15.75" hidden="false" customHeight="true" outlineLevel="0" collapsed="false">
      <c r="A22" s="117" t="s">
        <v>266</v>
      </c>
      <c r="B22" s="168" t="n">
        <v>350</v>
      </c>
      <c r="C22" s="168" t="n">
        <v>270</v>
      </c>
      <c r="D22" s="168" t="n">
        <v>250</v>
      </c>
      <c r="E22" s="168" t="n">
        <v>1.07</v>
      </c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customFormat="false" ht="15.75" hidden="false" customHeight="true" outlineLevel="0" collapsed="false">
      <c r="A23" s="115" t="s">
        <v>90</v>
      </c>
      <c r="B23" s="115"/>
      <c r="C23" s="115"/>
      <c r="D23" s="115"/>
      <c r="E23" s="115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customFormat="false" ht="15.75" hidden="false" customHeight="true" outlineLevel="0" collapsed="false">
      <c r="A24" s="117" t="s">
        <v>265</v>
      </c>
      <c r="B24" s="168" t="n">
        <v>600</v>
      </c>
      <c r="C24" s="168" t="n">
        <v>550</v>
      </c>
      <c r="D24" s="168" t="n">
        <v>450</v>
      </c>
      <c r="E24" s="168" t="n">
        <v>1.07</v>
      </c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customFormat="false" ht="15.75" hidden="false" customHeight="true" outlineLevel="0" collapsed="false">
      <c r="A25" s="117" t="s">
        <v>266</v>
      </c>
      <c r="B25" s="168" t="n">
        <v>350</v>
      </c>
      <c r="C25" s="168" t="n">
        <v>270</v>
      </c>
      <c r="D25" s="168" t="n">
        <v>250</v>
      </c>
      <c r="E25" s="168" t="n">
        <v>1.07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customFormat="false" ht="15.75" hidden="false" customHeight="true" outlineLevel="0" collapsed="false">
      <c r="A26" s="115" t="s">
        <v>90</v>
      </c>
      <c r="B26" s="115"/>
      <c r="C26" s="115"/>
      <c r="D26" s="115"/>
      <c r="E26" s="115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customFormat="false" ht="15.75" hidden="false" customHeight="true" outlineLevel="0" collapsed="false">
      <c r="A27" s="117" t="s">
        <v>267</v>
      </c>
      <c r="B27" s="168" t="n">
        <v>1000</v>
      </c>
      <c r="C27" s="168" t="n">
        <v>750</v>
      </c>
      <c r="D27" s="168" t="n">
        <v>700</v>
      </c>
      <c r="E27" s="117" t="s">
        <v>273</v>
      </c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customFormat="false" ht="15.75" hidden="false" customHeight="true" outlineLevel="0" collapsed="false">
      <c r="A28" s="117" t="s">
        <v>268</v>
      </c>
      <c r="B28" s="168" t="n">
        <v>500</v>
      </c>
      <c r="C28" s="168" t="n">
        <v>450</v>
      </c>
      <c r="D28" s="168" t="n">
        <v>400</v>
      </c>
      <c r="E28" s="117" t="s">
        <v>273</v>
      </c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customFormat="false" ht="15.75" hidden="false" customHeight="true" outlineLevel="0" collapsed="false">
      <c r="A29" s="117" t="s">
        <v>274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customFormat="false" ht="15.75" hidden="false" customHeight="true" outlineLevel="0" collapsed="false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customFormat="false" ht="15.75" hidden="false" customHeight="true" outlineLevel="0" collapsed="false">
      <c r="A31" s="115" t="s">
        <v>275</v>
      </c>
      <c r="B31" s="115"/>
      <c r="C31" s="115"/>
      <c r="D31" s="115"/>
      <c r="E31" s="115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customFormat="false" ht="15.75" hidden="false" customHeight="true" outlineLevel="0" collapsed="false">
      <c r="A32" s="51" t="s">
        <v>260</v>
      </c>
      <c r="B32" s="51" t="s">
        <v>271</v>
      </c>
      <c r="C32" s="51" t="s">
        <v>262</v>
      </c>
      <c r="D32" s="51" t="s">
        <v>272</v>
      </c>
      <c r="E32" s="51" t="s">
        <v>264</v>
      </c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customFormat="false" ht="15.75" hidden="false" customHeight="true" outlineLevel="0" collapsed="false">
      <c r="A33" s="117" t="s">
        <v>265</v>
      </c>
      <c r="B33" s="168" t="n">
        <v>700</v>
      </c>
      <c r="C33" s="168" t="n">
        <v>600</v>
      </c>
      <c r="D33" s="168" t="n">
        <v>450</v>
      </c>
      <c r="E33" s="168" t="n">
        <v>1.07</v>
      </c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customFormat="false" ht="15.75" hidden="false" customHeight="true" outlineLevel="0" collapsed="false">
      <c r="A34" s="117" t="s">
        <v>266</v>
      </c>
      <c r="B34" s="168" t="n">
        <v>350</v>
      </c>
      <c r="C34" s="168" t="n">
        <v>350</v>
      </c>
      <c r="D34" s="168" t="n">
        <v>250</v>
      </c>
      <c r="E34" s="168" t="n">
        <v>1.07</v>
      </c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customFormat="false" ht="15.75" hidden="false" customHeight="true" outlineLevel="0" collapsed="false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customFormat="false" ht="15.75" hidden="false" customHeight="true" outlineLevel="0" collapsed="false">
      <c r="A36" s="117" t="s">
        <v>267</v>
      </c>
      <c r="B36" s="168" t="n">
        <v>1000</v>
      </c>
      <c r="C36" s="117" t="s">
        <v>273</v>
      </c>
      <c r="D36" s="117" t="s">
        <v>273</v>
      </c>
      <c r="E36" s="117" t="s">
        <v>273</v>
      </c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customFormat="false" ht="15.75" hidden="false" customHeight="true" outlineLevel="0" collapsed="false">
      <c r="A37" s="117" t="s">
        <v>268</v>
      </c>
      <c r="B37" s="168" t="n">
        <v>500</v>
      </c>
      <c r="C37" s="117" t="s">
        <v>273</v>
      </c>
      <c r="D37" s="117" t="s">
        <v>273</v>
      </c>
      <c r="E37" s="117" t="s">
        <v>273</v>
      </c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customFormat="false" ht="15.75" hidden="false" customHeight="true" outlineLevel="0" collapsed="false">
      <c r="A38" s="117" t="s">
        <v>276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customFormat="false" ht="15.75" hidden="false" customHeight="true" outlineLevel="0" collapsed="false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customFormat="false" ht="15.75" hidden="false" customHeight="true" outlineLevel="0" collapsed="false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customFormat="false" ht="15.75" hidden="false" customHeight="true" outlineLevel="0" collapsed="false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customFormat="false" ht="15.75" hidden="false" customHeight="true" outlineLevel="0" collapsed="false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customFormat="false" ht="15.75" hidden="false" customHeight="true" outlineLevel="0" collapsed="false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customFormat="false" ht="15.75" hidden="false" customHeight="true" outlineLevel="0" collapsed="false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customFormat="false" ht="15.75" hidden="false" customHeight="true" outlineLevel="0" collapsed="false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customFormat="false" ht="15.75" hidden="false" customHeight="true" outlineLevel="0" collapsed="false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customFormat="false" ht="15.75" hidden="false" customHeight="true" outlineLevel="0" collapsed="false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customFormat="false" ht="15.75" hidden="false" customHeight="true" outlineLevel="0" collapsed="false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customFormat="false" ht="15.75" hidden="false" customHeight="true" outlineLevel="0" collapsed="false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customFormat="false" ht="15.75" hidden="false" customHeight="true" outlineLevel="0" collapsed="false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customFormat="false" ht="15.75" hidden="false" customHeight="true" outlineLevel="0" collapsed="false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customFormat="false" ht="15.75" hidden="false" customHeight="true" outlineLevel="0" collapsed="false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customFormat="false" ht="15.75" hidden="false" customHeight="true" outlineLevel="0" collapsed="false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customFormat="false" ht="15.75" hidden="false" customHeight="true" outlineLevel="0" collapsed="false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customFormat="false" ht="15.75" hidden="false" customHeight="true" outlineLevel="0" collapsed="false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customFormat="false" ht="15.75" hidden="false" customHeight="true" outlineLevel="0" collapsed="false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customFormat="false" ht="15.75" hidden="false" customHeight="true" outlineLevel="0" collapsed="false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customFormat="false" ht="15.75" hidden="false" customHeight="true" outlineLevel="0" collapsed="false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customFormat="false" ht="15.75" hidden="false" customHeight="true" outlineLevel="0" collapsed="false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customFormat="false" ht="15.75" hidden="false" customHeight="true" outlineLevel="0" collapsed="false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customFormat="false" ht="15.75" hidden="false" customHeight="true" outlineLevel="0" collapsed="false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customFormat="false" ht="15.75" hidden="false" customHeight="true" outlineLevel="0" collapsed="false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customFormat="false" ht="15.75" hidden="false" customHeight="true" outlineLevel="0" collapsed="false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customFormat="false" ht="15.75" hidden="false" customHeight="true" outlineLevel="0" collapsed="false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customFormat="false" ht="15.75" hidden="false" customHeight="true" outlineLevel="0" collapsed="false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customFormat="false" ht="15.75" hidden="false" customHeight="true" outlineLevel="0" collapsed="false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customFormat="false" ht="15.75" hidden="false" customHeight="true" outlineLevel="0" collapsed="false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customFormat="false" ht="15.75" hidden="false" customHeight="true" outlineLevel="0" collapsed="false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customFormat="false" ht="15.75" hidden="false" customHeight="true" outlineLevel="0" collapsed="false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customFormat="false" ht="15.75" hidden="false" customHeight="true" outlineLevel="0" collapsed="false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customFormat="false" ht="15.75" hidden="false" customHeight="true" outlineLevel="0" collapsed="false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customFormat="false" ht="15.75" hidden="false" customHeight="true" outlineLevel="0" collapsed="false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customFormat="false" ht="15.75" hidden="false" customHeight="true" outlineLevel="0" collapsed="false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customFormat="false" ht="15.75" hidden="false" customHeight="true" outlineLevel="0" collapsed="false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customFormat="false" ht="15.75" hidden="false" customHeight="true" outlineLevel="0" collapsed="false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customFormat="false" ht="15.75" hidden="false" customHeight="true" outlineLevel="0" collapsed="false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customFormat="false" ht="15.75" hidden="false" customHeight="true" outlineLevel="0" collapsed="false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customFormat="false" ht="15.75" hidden="false" customHeight="true" outlineLevel="0" collapsed="false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customFormat="false" ht="15.75" hidden="false" customHeight="true" outlineLevel="0" collapsed="false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customFormat="false" ht="15.75" hidden="false" customHeight="true" outlineLevel="0" collapsed="false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customFormat="false" ht="15.75" hidden="false" customHeight="true" outlineLevel="0" collapsed="false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customFormat="false" ht="15.75" hidden="false" customHeight="true" outlineLevel="0" collapsed="false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customFormat="false" ht="15.75" hidden="false" customHeight="true" outlineLevel="0" collapsed="false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customFormat="false" ht="15.75" hidden="false" customHeight="true" outlineLevel="0" collapsed="false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customFormat="false" ht="15.75" hidden="false" customHeight="true" outlineLevel="0" collapsed="false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customFormat="false" ht="15.75" hidden="false" customHeight="true" outlineLevel="0" collapsed="false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customFormat="false" ht="15.75" hidden="false" customHeight="true" outlineLevel="0" collapsed="false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customFormat="false" ht="15.75" hidden="false" customHeight="true" outlineLevel="0" collapsed="false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customFormat="false" ht="15.75" hidden="false" customHeight="true" outlineLevel="0" collapsed="false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customFormat="false" ht="15.75" hidden="false" customHeight="true" outlineLevel="0" collapsed="false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customFormat="false" ht="15.75" hidden="false" customHeight="true" outlineLevel="0" collapsed="false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customFormat="false" ht="15.75" hidden="false" customHeight="true" outlineLevel="0" collapsed="false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customFormat="false" ht="15.75" hidden="false" customHeight="true" outlineLevel="0" collapsed="false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customFormat="false" ht="15.75" hidden="false" customHeight="true" outlineLevel="0" collapsed="false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customFormat="false" ht="15.75" hidden="false" customHeight="true" outlineLevel="0" collapsed="false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customFormat="false" ht="15.75" hidden="false" customHeight="true" outlineLevel="0" collapsed="false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customFormat="false" ht="15.75" hidden="false" customHeight="true" outlineLevel="0" collapsed="false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customFormat="false" ht="15.75" hidden="false" customHeight="true" outlineLevel="0" collapsed="false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customFormat="false" ht="15.75" hidden="false" customHeight="true" outlineLevel="0" collapsed="false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customFormat="false" ht="15.75" hidden="false" customHeight="true" outlineLevel="0" collapsed="false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customFormat="false" ht="15.75" hidden="false" customHeight="true" outlineLevel="0" collapsed="false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customFormat="false" ht="15.75" hidden="false" customHeight="true" outlineLevel="0" collapsed="false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customFormat="false" ht="15.75" hidden="false" customHeight="true" outlineLevel="0" collapsed="false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customFormat="false" ht="15.75" hidden="false" customHeight="true" outlineLevel="0" collapsed="false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customFormat="false" ht="15.75" hidden="false" customHeight="true" outlineLevel="0" collapsed="false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customFormat="false" ht="15.75" hidden="false" customHeight="true" outlineLevel="0" collapsed="false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customFormat="false" ht="15.75" hidden="false" customHeight="true" outlineLevel="0" collapsed="false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customFormat="false" ht="15.75" hidden="false" customHeight="true" outlineLevel="0" collapsed="false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customFormat="false" ht="15.75" hidden="false" customHeight="true" outlineLevel="0" collapsed="false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customFormat="false" ht="15.75" hidden="false" customHeight="true" outlineLevel="0" collapsed="false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customFormat="false" ht="15.75" hidden="false" customHeight="true" outlineLevel="0" collapsed="false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customFormat="false" ht="15.75" hidden="false" customHeight="true" outlineLevel="0" collapsed="false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customFormat="false" ht="15.75" hidden="false" customHeight="true" outlineLevel="0" collapsed="false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customFormat="false" ht="15.75" hidden="false" customHeight="true" outlineLevel="0" collapsed="false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customFormat="false" ht="15.75" hidden="false" customHeight="true" outlineLevel="0" collapsed="false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customFormat="false" ht="15.75" hidden="false" customHeight="true" outlineLevel="0" collapsed="false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customFormat="false" ht="15.75" hidden="false" customHeight="true" outlineLevel="0" collapsed="false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customFormat="false" ht="15.75" hidden="false" customHeight="true" outlineLevel="0" collapsed="false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customFormat="false" ht="15.75" hidden="false" customHeight="true" outlineLevel="0" collapsed="false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customFormat="false" ht="15.75" hidden="false" customHeight="true" outlineLevel="0" collapsed="false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customFormat="false" ht="15.75" hidden="false" customHeight="true" outlineLevel="0" collapsed="false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customFormat="false" ht="15.75" hidden="false" customHeight="true" outlineLevel="0" collapsed="false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customFormat="false" ht="15.75" hidden="false" customHeight="true" outlineLevel="0" collapsed="false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customFormat="false" ht="15.75" hidden="false" customHeight="true" outlineLevel="0" collapsed="false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customFormat="false" ht="15.75" hidden="false" customHeight="true" outlineLevel="0" collapsed="false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customFormat="false" ht="15.75" hidden="false" customHeight="true" outlineLevel="0" collapsed="false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customFormat="false" ht="15.75" hidden="false" customHeight="true" outlineLevel="0" collapsed="false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customFormat="false" ht="15.75" hidden="false" customHeight="true" outlineLevel="0" collapsed="false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customFormat="false" ht="15.75" hidden="false" customHeight="true" outlineLevel="0" collapsed="false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customFormat="false" ht="15.75" hidden="false" customHeight="true" outlineLevel="0" collapsed="false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customFormat="false" ht="15.75" hidden="false" customHeight="true" outlineLevel="0" collapsed="false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customFormat="false" ht="15.75" hidden="false" customHeight="true" outlineLevel="0" collapsed="false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customFormat="false" ht="15.75" hidden="false" customHeight="true" outlineLevel="0" collapsed="false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customFormat="false" ht="15.75" hidden="false" customHeight="true" outlineLevel="0" collapsed="false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customFormat="false" ht="15.75" hidden="false" customHeight="true" outlineLevel="0" collapsed="false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customFormat="false" ht="15.75" hidden="false" customHeight="true" outlineLevel="0" collapsed="false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customFormat="false" ht="15.75" hidden="false" customHeight="true" outlineLevel="0" collapsed="false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customFormat="false" ht="15.75" hidden="false" customHeight="true" outlineLevel="0" collapsed="false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customFormat="false" ht="15.75" hidden="false" customHeight="true" outlineLevel="0" collapsed="false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customFormat="false" ht="15.75" hidden="false" customHeight="true" outlineLevel="0" collapsed="false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customFormat="false" ht="15.75" hidden="false" customHeight="true" outlineLevel="0" collapsed="false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customFormat="false" ht="15.75" hidden="false" customHeight="true" outlineLevel="0" collapsed="false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customFormat="false" ht="15.75" hidden="false" customHeight="true" outlineLevel="0" collapsed="false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customFormat="false" ht="15.75" hidden="false" customHeight="true" outlineLevel="0" collapsed="false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customFormat="false" ht="15.75" hidden="false" customHeight="true" outlineLevel="0" collapsed="false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customFormat="false" ht="15.75" hidden="false" customHeight="true" outlineLevel="0" collapsed="false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customFormat="false" ht="15.75" hidden="false" customHeight="true" outlineLevel="0" collapsed="false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customFormat="false" ht="15.75" hidden="false" customHeight="true" outlineLevel="0" collapsed="false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customFormat="false" ht="15.75" hidden="false" customHeight="true" outlineLevel="0" collapsed="false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customFormat="false" ht="15.75" hidden="false" customHeight="true" outlineLevel="0" collapsed="false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customFormat="false" ht="15.75" hidden="false" customHeight="true" outlineLevel="0" collapsed="false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customFormat="false" ht="15.75" hidden="false" customHeight="true" outlineLevel="0" collapsed="false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customFormat="false" ht="15.75" hidden="false" customHeight="true" outlineLevel="0" collapsed="false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customFormat="false" ht="15.75" hidden="false" customHeight="true" outlineLevel="0" collapsed="false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customFormat="false" ht="15.75" hidden="false" customHeight="true" outlineLevel="0" collapsed="false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customFormat="false" ht="15.75" hidden="false" customHeight="true" outlineLevel="0" collapsed="false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customFormat="false" ht="15.75" hidden="false" customHeight="true" outlineLevel="0" collapsed="false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customFormat="false" ht="15.75" hidden="false" customHeight="true" outlineLevel="0" collapsed="false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customFormat="false" ht="15.75" hidden="false" customHeight="true" outlineLevel="0" collapsed="false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customFormat="false" ht="15.75" hidden="false" customHeight="true" outlineLevel="0" collapsed="false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customFormat="false" ht="15.75" hidden="false" customHeight="true" outlineLevel="0" collapsed="false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customFormat="false" ht="15.75" hidden="false" customHeight="true" outlineLevel="0" collapsed="false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customFormat="false" ht="15.75" hidden="false" customHeight="true" outlineLevel="0" collapsed="false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customFormat="false" ht="15.75" hidden="false" customHeight="true" outlineLevel="0" collapsed="false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customFormat="false" ht="15.75" hidden="false" customHeight="true" outlineLevel="0" collapsed="false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customFormat="false" ht="15.75" hidden="false" customHeight="true" outlineLevel="0" collapsed="false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customFormat="false" ht="15.75" hidden="false" customHeight="true" outlineLevel="0" collapsed="false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customFormat="false" ht="15.75" hidden="false" customHeight="true" outlineLevel="0" collapsed="false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customFormat="false" ht="15.75" hidden="false" customHeight="true" outlineLevel="0" collapsed="false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customFormat="false" ht="15.75" hidden="false" customHeight="true" outlineLevel="0" collapsed="false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customFormat="false" ht="15.75" hidden="false" customHeight="true" outlineLevel="0" collapsed="false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customFormat="false" ht="15.75" hidden="false" customHeight="true" outlineLevel="0" collapsed="false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customFormat="false" ht="15.75" hidden="false" customHeight="true" outlineLevel="0" collapsed="false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customFormat="false" ht="15.75" hidden="false" customHeight="true" outlineLevel="0" collapsed="false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customFormat="false" ht="15.75" hidden="false" customHeight="true" outlineLevel="0" collapsed="false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customFormat="false" ht="15.75" hidden="false" customHeight="true" outlineLevel="0" collapsed="false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customFormat="false" ht="15.75" hidden="false" customHeight="true" outlineLevel="0" collapsed="false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customFormat="false" ht="15.75" hidden="false" customHeight="true" outlineLevel="0" collapsed="false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customFormat="false" ht="15.75" hidden="false" customHeight="true" outlineLevel="0" collapsed="false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customFormat="false" ht="15.75" hidden="false" customHeight="true" outlineLevel="0" collapsed="false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customFormat="false" ht="15.75" hidden="false" customHeight="true" outlineLevel="0" collapsed="false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customFormat="false" ht="15.75" hidden="false" customHeight="true" outlineLevel="0" collapsed="false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customFormat="false" ht="15.75" hidden="false" customHeight="true" outlineLevel="0" collapsed="false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customFormat="false" ht="15.75" hidden="false" customHeight="true" outlineLevel="0" collapsed="false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customFormat="false" ht="15.75" hidden="false" customHeight="true" outlineLevel="0" collapsed="false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customFormat="false" ht="15.75" hidden="false" customHeight="true" outlineLevel="0" collapsed="false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customFormat="false" ht="15.75" hidden="false" customHeight="true" outlineLevel="0" collapsed="false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customFormat="false" ht="15.75" hidden="false" customHeight="true" outlineLevel="0" collapsed="false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customFormat="false" ht="15.75" hidden="false" customHeight="true" outlineLevel="0" collapsed="false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customFormat="false" ht="15.75" hidden="false" customHeight="true" outlineLevel="0" collapsed="false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customFormat="false" ht="15.75" hidden="false" customHeight="true" outlineLevel="0" collapsed="false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customFormat="false" ht="15.75" hidden="false" customHeight="true" outlineLevel="0" collapsed="false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customFormat="false" ht="15.75" hidden="false" customHeight="true" outlineLevel="0" collapsed="false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customFormat="false" ht="15.75" hidden="false" customHeight="true" outlineLevel="0" collapsed="false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customFormat="false" ht="15.75" hidden="false" customHeight="true" outlineLevel="0" collapsed="false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customFormat="false" ht="15.75" hidden="false" customHeight="true" outlineLevel="0" collapsed="false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customFormat="false" ht="15.75" hidden="false" customHeight="true" outlineLevel="0" collapsed="false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customFormat="false" ht="15.75" hidden="false" customHeight="true" outlineLevel="0" collapsed="false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customFormat="false" ht="15.75" hidden="false" customHeight="true" outlineLevel="0" collapsed="false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customFormat="false" ht="15.75" hidden="false" customHeight="true" outlineLevel="0" collapsed="false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customFormat="false" ht="15.75" hidden="false" customHeight="true" outlineLevel="0" collapsed="false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customFormat="false" ht="15.75" hidden="false" customHeight="true" outlineLevel="0" collapsed="false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customFormat="false" ht="15.75" hidden="false" customHeight="true" outlineLevel="0" collapsed="false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customFormat="false" ht="15.75" hidden="false" customHeight="true" outlineLevel="0" collapsed="false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customFormat="false" ht="15.75" hidden="false" customHeight="true" outlineLevel="0" collapsed="false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customFormat="false" ht="15.75" hidden="false" customHeight="true" outlineLevel="0" collapsed="false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customFormat="false" ht="15.75" hidden="false" customHeight="true" outlineLevel="0" collapsed="false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customFormat="false" ht="15.75" hidden="false" customHeight="true" outlineLevel="0" collapsed="false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customFormat="false" ht="15.75" hidden="false" customHeight="true" outlineLevel="0" collapsed="false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customFormat="false" ht="15.75" hidden="false" customHeight="true" outlineLevel="0" collapsed="false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customFormat="false" ht="15.75" hidden="false" customHeight="true" outlineLevel="0" collapsed="false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customFormat="false" ht="15.75" hidden="false" customHeight="true" outlineLevel="0" collapsed="false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customFormat="false" ht="15.75" hidden="false" customHeight="true" outlineLevel="0" collapsed="false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customFormat="false" ht="15.75" hidden="false" customHeight="true" outlineLevel="0" collapsed="false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customFormat="false" ht="15.75" hidden="false" customHeight="true" outlineLevel="0" collapsed="false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customFormat="false" ht="15.75" hidden="false" customHeight="true" outlineLevel="0" collapsed="false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customFormat="false" ht="15.75" hidden="false" customHeight="true" outlineLevel="0" collapsed="false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customFormat="false" ht="15.75" hidden="false" customHeight="true" outlineLevel="0" collapsed="false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customFormat="false" ht="15.75" hidden="false" customHeight="true" outlineLevel="0" collapsed="false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customFormat="false" ht="15.75" hidden="false" customHeight="true" outlineLevel="0" collapsed="false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customFormat="false" ht="15.75" hidden="false" customHeight="true" outlineLevel="0" collapsed="false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customFormat="false" ht="15.75" hidden="false" customHeight="true" outlineLevel="0" collapsed="false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customFormat="false" ht="15.75" hidden="false" customHeight="true" outlineLevel="0" collapsed="false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customFormat="false" ht="15.75" hidden="false" customHeight="true" outlineLevel="0" collapsed="false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customFormat="false" ht="15.75" hidden="false" customHeight="true" outlineLevel="0" collapsed="false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customFormat="false" ht="15.75" hidden="false" customHeight="true" outlineLevel="0" collapsed="false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customFormat="false" ht="15.75" hidden="false" customHeight="true" outlineLevel="0" collapsed="false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customFormat="false" ht="15.75" hidden="false" customHeight="true" outlineLevel="0" collapsed="false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customFormat="false" ht="15.75" hidden="false" customHeight="true" outlineLevel="0" collapsed="false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customFormat="false" ht="15.75" hidden="false" customHeight="true" outlineLevel="0" collapsed="false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customFormat="false" ht="15.75" hidden="false" customHeight="true" outlineLevel="0" collapsed="false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customFormat="false" ht="15.75" hidden="false" customHeight="true" outlineLevel="0" collapsed="false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customFormat="false" ht="15.75" hidden="false" customHeight="true" outlineLevel="0" collapsed="false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customFormat="false" ht="15.75" hidden="false" customHeight="true" outlineLevel="0" collapsed="false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customFormat="false" ht="15.75" hidden="false" customHeight="true" outlineLevel="0" collapsed="false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customFormat="false" ht="15.75" hidden="false" customHeight="true" outlineLevel="0" collapsed="false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customFormat="false" ht="15.75" hidden="false" customHeight="true" outlineLevel="0" collapsed="false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customFormat="false" ht="15.75" hidden="false" customHeight="true" outlineLevel="0" collapsed="false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customFormat="false" ht="15.75" hidden="false" customHeight="true" outlineLevel="0" collapsed="false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customFormat="false" ht="15.75" hidden="false" customHeight="true" outlineLevel="0" collapsed="false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customFormat="false" ht="15.75" hidden="false" customHeight="true" outlineLevel="0" collapsed="false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customFormat="false" ht="15.75" hidden="false" customHeight="true" outlineLevel="0" collapsed="false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customFormat="false" ht="15.75" hidden="false" customHeight="true" outlineLevel="0" collapsed="false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customFormat="false" ht="15.75" hidden="false" customHeight="true" outlineLevel="0" collapsed="false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customFormat="false" ht="15.75" hidden="false" customHeight="true" outlineLevel="0" collapsed="false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customFormat="false" ht="15.75" hidden="false" customHeight="true" outlineLevel="0" collapsed="false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customFormat="false" ht="15.75" hidden="false" customHeight="true" outlineLevel="0" collapsed="false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customFormat="false" ht="15.75" hidden="false" customHeight="true" outlineLevel="0" collapsed="false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customFormat="false" ht="15.75" hidden="false" customHeight="true" outlineLevel="0" collapsed="false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customFormat="false" ht="15.75" hidden="false" customHeight="true" outlineLevel="0" collapsed="false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customFormat="false" ht="15.75" hidden="false" customHeight="true" outlineLevel="0" collapsed="false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customFormat="false" ht="15.75" hidden="false" customHeight="true" outlineLevel="0" collapsed="false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customFormat="false" ht="15.75" hidden="false" customHeight="true" outlineLevel="0" collapsed="false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customFormat="false" ht="15.75" hidden="false" customHeight="true" outlineLevel="0" collapsed="false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customFormat="false" ht="15.75" hidden="false" customHeight="true" outlineLevel="0" collapsed="false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customFormat="false" ht="15.75" hidden="false" customHeight="true" outlineLevel="0" collapsed="false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customFormat="false" ht="15.75" hidden="false" customHeight="true" outlineLevel="0" collapsed="false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customFormat="false" ht="15.75" hidden="false" customHeight="true" outlineLevel="0" collapsed="false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customFormat="false" ht="15.75" hidden="false" customHeight="true" outlineLevel="0" collapsed="false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customFormat="false" ht="15.75" hidden="false" customHeight="true" outlineLevel="0" collapsed="false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customFormat="false" ht="15.75" hidden="false" customHeight="true" outlineLevel="0" collapsed="false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customFormat="false" ht="15.75" hidden="false" customHeight="true" outlineLevel="0" collapsed="false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customFormat="false" ht="15.75" hidden="false" customHeight="true" outlineLevel="0" collapsed="false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customFormat="false" ht="15.75" hidden="false" customHeight="true" outlineLevel="0" collapsed="false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customFormat="false" ht="15.75" hidden="false" customHeight="true" outlineLevel="0" collapsed="false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customFormat="false" ht="15.75" hidden="false" customHeight="true" outlineLevel="0" collapsed="false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customFormat="false" ht="15.75" hidden="false" customHeight="true" outlineLevel="0" collapsed="false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customFormat="false" ht="15.75" hidden="false" customHeight="true" outlineLevel="0" collapsed="false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customFormat="false" ht="15.75" hidden="false" customHeight="true" outlineLevel="0" collapsed="false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customFormat="false" ht="15.75" hidden="false" customHeight="true" outlineLevel="0" collapsed="false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customFormat="false" ht="15.75" hidden="false" customHeight="true" outlineLevel="0" collapsed="false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customFormat="false" ht="15.75" hidden="false" customHeight="true" outlineLevel="0" collapsed="false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customFormat="false" ht="15.75" hidden="false" customHeight="true" outlineLevel="0" collapsed="false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customFormat="false" ht="15.75" hidden="false" customHeight="true" outlineLevel="0" collapsed="false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customFormat="false" ht="15.75" hidden="false" customHeight="true" outlineLevel="0" collapsed="false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customFormat="false" ht="15.75" hidden="false" customHeight="true" outlineLevel="0" collapsed="false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customFormat="false" ht="15.75" hidden="false" customHeight="true" outlineLevel="0" collapsed="false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customFormat="false" ht="15.75" hidden="false" customHeight="true" outlineLevel="0" collapsed="false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customFormat="false" ht="15.75" hidden="false" customHeight="true" outlineLevel="0" collapsed="false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customFormat="false" ht="15.75" hidden="false" customHeight="true" outlineLevel="0" collapsed="false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customFormat="false" ht="15.75" hidden="false" customHeight="true" outlineLevel="0" collapsed="false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customFormat="false" ht="15.75" hidden="false" customHeight="true" outlineLevel="0" collapsed="false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customFormat="false" ht="15.75" hidden="false" customHeight="true" outlineLevel="0" collapsed="false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customFormat="false" ht="15.75" hidden="false" customHeight="true" outlineLevel="0" collapsed="false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customFormat="false" ht="15.75" hidden="false" customHeight="true" outlineLevel="0" collapsed="false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customFormat="false" ht="15.75" hidden="false" customHeight="true" outlineLevel="0" collapsed="false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customFormat="false" ht="15.75" hidden="false" customHeight="true" outlineLevel="0" collapsed="false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customFormat="false" ht="15.75" hidden="false" customHeight="true" outlineLevel="0" collapsed="false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customFormat="false" ht="15.75" hidden="false" customHeight="true" outlineLevel="0" collapsed="false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customFormat="false" ht="15.75" hidden="false" customHeight="true" outlineLevel="0" collapsed="false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customFormat="false" ht="15.75" hidden="false" customHeight="true" outlineLevel="0" collapsed="false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customFormat="false" ht="15.75" hidden="false" customHeight="true" outlineLevel="0" collapsed="false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customFormat="false" ht="15.75" hidden="false" customHeight="true" outlineLevel="0" collapsed="false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customFormat="false" ht="15.75" hidden="false" customHeight="true" outlineLevel="0" collapsed="false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customFormat="false" ht="15.75" hidden="false" customHeight="true" outlineLevel="0" collapsed="false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customFormat="false" ht="15.75" hidden="false" customHeight="true" outlineLevel="0" collapsed="false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customFormat="false" ht="15.75" hidden="false" customHeight="true" outlineLevel="0" collapsed="false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customFormat="false" ht="15.75" hidden="false" customHeight="true" outlineLevel="0" collapsed="false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customFormat="false" ht="15.75" hidden="false" customHeight="true" outlineLevel="0" collapsed="false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customFormat="false" ht="15.75" hidden="false" customHeight="true" outlineLevel="0" collapsed="false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customFormat="false" ht="15.75" hidden="false" customHeight="true" outlineLevel="0" collapsed="false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customFormat="false" ht="15.75" hidden="false" customHeight="true" outlineLevel="0" collapsed="false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customFormat="false" ht="15.75" hidden="false" customHeight="true" outlineLevel="0" collapsed="false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customFormat="false" ht="15.75" hidden="false" customHeight="true" outlineLevel="0" collapsed="false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customFormat="false" ht="15.75" hidden="false" customHeight="true" outlineLevel="0" collapsed="false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customFormat="false" ht="15.75" hidden="false" customHeight="true" outlineLevel="0" collapsed="false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customFormat="false" ht="15.75" hidden="false" customHeight="true" outlineLevel="0" collapsed="false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customFormat="false" ht="15.75" hidden="false" customHeight="true" outlineLevel="0" collapsed="false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customFormat="false" ht="15.75" hidden="false" customHeight="true" outlineLevel="0" collapsed="false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customFormat="false" ht="15.75" hidden="false" customHeight="true" outlineLevel="0" collapsed="false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customFormat="false" ht="15.75" hidden="false" customHeight="true" outlineLevel="0" collapsed="false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customFormat="false" ht="15.75" hidden="false" customHeight="true" outlineLevel="0" collapsed="false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customFormat="false" ht="15.75" hidden="false" customHeight="true" outlineLevel="0" collapsed="false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customFormat="false" ht="15.75" hidden="false" customHeight="true" outlineLevel="0" collapsed="false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customFormat="false" ht="15.75" hidden="false" customHeight="true" outlineLevel="0" collapsed="false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customFormat="false" ht="15.75" hidden="false" customHeight="true" outlineLevel="0" collapsed="false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customFormat="false" ht="15.75" hidden="false" customHeight="true" outlineLevel="0" collapsed="false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customFormat="false" ht="15.75" hidden="false" customHeight="true" outlineLevel="0" collapsed="false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customFormat="false" ht="15.75" hidden="false" customHeight="true" outlineLevel="0" collapsed="false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customFormat="false" ht="15.75" hidden="false" customHeight="true" outlineLevel="0" collapsed="false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customFormat="false" ht="15.75" hidden="false" customHeight="true" outlineLevel="0" collapsed="false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customFormat="false" ht="15.75" hidden="false" customHeight="true" outlineLevel="0" collapsed="false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customFormat="false" ht="15.75" hidden="false" customHeight="true" outlineLevel="0" collapsed="false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customFormat="false" ht="15.75" hidden="false" customHeight="true" outlineLevel="0" collapsed="false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customFormat="false" ht="15.75" hidden="false" customHeight="true" outlineLevel="0" collapsed="false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customFormat="false" ht="15.75" hidden="false" customHeight="true" outlineLevel="0" collapsed="false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customFormat="false" ht="15.75" hidden="false" customHeight="true" outlineLevel="0" collapsed="false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customFormat="false" ht="15.75" hidden="false" customHeight="true" outlineLevel="0" collapsed="false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customFormat="false" ht="15.75" hidden="false" customHeight="true" outlineLevel="0" collapsed="false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customFormat="false" ht="15.75" hidden="false" customHeight="true" outlineLevel="0" collapsed="false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customFormat="false" ht="15.75" hidden="false" customHeight="true" outlineLevel="0" collapsed="false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customFormat="false" ht="15.75" hidden="false" customHeight="true" outlineLevel="0" collapsed="false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customFormat="false" ht="15.75" hidden="false" customHeight="true" outlineLevel="0" collapsed="false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customFormat="false" ht="15.75" hidden="false" customHeight="true" outlineLevel="0" collapsed="false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customFormat="false" ht="15.75" hidden="false" customHeight="true" outlineLevel="0" collapsed="false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customFormat="false" ht="15.75" hidden="false" customHeight="true" outlineLevel="0" collapsed="false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customFormat="false" ht="15.75" hidden="false" customHeight="true" outlineLevel="0" collapsed="false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customFormat="false" ht="15.75" hidden="false" customHeight="true" outlineLevel="0" collapsed="false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customFormat="false" ht="15.75" hidden="false" customHeight="true" outlineLevel="0" collapsed="false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customFormat="false" ht="15.75" hidden="false" customHeight="true" outlineLevel="0" collapsed="false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customFormat="false" ht="15.75" hidden="false" customHeight="true" outlineLevel="0" collapsed="false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customFormat="false" ht="15.75" hidden="false" customHeight="true" outlineLevel="0" collapsed="false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customFormat="false" ht="15.75" hidden="false" customHeight="true" outlineLevel="0" collapsed="false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customFormat="false" ht="15.75" hidden="false" customHeight="true" outlineLevel="0" collapsed="false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customFormat="false" ht="15.75" hidden="false" customHeight="true" outlineLevel="0" collapsed="false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customFormat="false" ht="15.75" hidden="false" customHeight="true" outlineLevel="0" collapsed="false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customFormat="false" ht="15.75" hidden="false" customHeight="true" outlineLevel="0" collapsed="false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customFormat="false" ht="15.75" hidden="false" customHeight="true" outlineLevel="0" collapsed="false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customFormat="false" ht="15.75" hidden="false" customHeight="true" outlineLevel="0" collapsed="false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customFormat="false" ht="15.75" hidden="false" customHeight="true" outlineLevel="0" collapsed="false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customFormat="false" ht="15.75" hidden="false" customHeight="true" outlineLevel="0" collapsed="false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customFormat="false" ht="15.75" hidden="false" customHeight="true" outlineLevel="0" collapsed="false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customFormat="false" ht="15.75" hidden="false" customHeight="true" outlineLevel="0" collapsed="false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customFormat="false" ht="15.75" hidden="false" customHeight="true" outlineLevel="0" collapsed="false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customFormat="false" ht="15.75" hidden="false" customHeight="true" outlineLevel="0" collapsed="false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customFormat="false" ht="15.75" hidden="false" customHeight="true" outlineLevel="0" collapsed="false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customFormat="false" ht="15.75" hidden="false" customHeight="true" outlineLevel="0" collapsed="false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customFormat="false" ht="15.75" hidden="false" customHeight="true" outlineLevel="0" collapsed="false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customFormat="false" ht="15.75" hidden="false" customHeight="true" outlineLevel="0" collapsed="false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customFormat="false" ht="15.75" hidden="false" customHeight="true" outlineLevel="0" collapsed="false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customFormat="false" ht="15.75" hidden="false" customHeight="true" outlineLevel="0" collapsed="false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customFormat="false" ht="15.75" hidden="false" customHeight="true" outlineLevel="0" collapsed="false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customFormat="false" ht="15.75" hidden="false" customHeight="true" outlineLevel="0" collapsed="false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customFormat="false" ht="15.75" hidden="false" customHeight="true" outlineLevel="0" collapsed="false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customFormat="false" ht="15.75" hidden="false" customHeight="true" outlineLevel="0" collapsed="false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customFormat="false" ht="15.75" hidden="false" customHeight="true" outlineLevel="0" collapsed="false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customFormat="false" ht="15.75" hidden="false" customHeight="true" outlineLevel="0" collapsed="false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customFormat="false" ht="15.75" hidden="false" customHeight="true" outlineLevel="0" collapsed="false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customFormat="false" ht="15.75" hidden="false" customHeight="true" outlineLevel="0" collapsed="false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customFormat="false" ht="15.75" hidden="false" customHeight="true" outlineLevel="0" collapsed="false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customFormat="false" ht="15.75" hidden="false" customHeight="true" outlineLevel="0" collapsed="false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customFormat="false" ht="15.75" hidden="false" customHeight="true" outlineLevel="0" collapsed="false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customFormat="false" ht="15.75" hidden="false" customHeight="true" outlineLevel="0" collapsed="false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customFormat="false" ht="15.75" hidden="false" customHeight="true" outlineLevel="0" collapsed="false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customFormat="false" ht="15.75" hidden="false" customHeight="true" outlineLevel="0" collapsed="false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customFormat="false" ht="15.75" hidden="false" customHeight="true" outlineLevel="0" collapsed="false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customFormat="false" ht="15.75" hidden="false" customHeight="true" outlineLevel="0" collapsed="false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customFormat="false" ht="15.75" hidden="false" customHeight="true" outlineLevel="0" collapsed="false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customFormat="false" ht="15.75" hidden="false" customHeight="true" outlineLevel="0" collapsed="false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customFormat="false" ht="15.75" hidden="false" customHeight="true" outlineLevel="0" collapsed="false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customFormat="false" ht="15.75" hidden="false" customHeight="true" outlineLevel="0" collapsed="false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customFormat="false" ht="15.75" hidden="false" customHeight="true" outlineLevel="0" collapsed="false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customFormat="false" ht="15.75" hidden="false" customHeight="true" outlineLevel="0" collapsed="false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customFormat="false" ht="15.75" hidden="false" customHeight="true" outlineLevel="0" collapsed="false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customFormat="false" ht="15.75" hidden="false" customHeight="true" outlineLevel="0" collapsed="false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customFormat="false" ht="15.75" hidden="false" customHeight="true" outlineLevel="0" collapsed="false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customFormat="false" ht="15.75" hidden="false" customHeight="true" outlineLevel="0" collapsed="false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customFormat="false" ht="15.75" hidden="false" customHeight="true" outlineLevel="0" collapsed="false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customFormat="false" ht="15.75" hidden="false" customHeight="true" outlineLevel="0" collapsed="false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customFormat="false" ht="15.75" hidden="false" customHeight="true" outlineLevel="0" collapsed="false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customFormat="false" ht="15.75" hidden="false" customHeight="true" outlineLevel="0" collapsed="false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customFormat="false" ht="15.75" hidden="false" customHeight="true" outlineLevel="0" collapsed="false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customFormat="false" ht="15.75" hidden="false" customHeight="true" outlineLevel="0" collapsed="false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customFormat="false" ht="15.75" hidden="false" customHeight="true" outlineLevel="0" collapsed="false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customFormat="false" ht="15.75" hidden="false" customHeight="true" outlineLevel="0" collapsed="false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customFormat="false" ht="15.75" hidden="false" customHeight="true" outlineLevel="0" collapsed="false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customFormat="false" ht="15.75" hidden="false" customHeight="true" outlineLevel="0" collapsed="false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customFormat="false" ht="15.75" hidden="false" customHeight="true" outlineLevel="0" collapsed="false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customFormat="false" ht="15.75" hidden="false" customHeight="true" outlineLevel="0" collapsed="false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customFormat="false" ht="15.75" hidden="false" customHeight="true" outlineLevel="0" collapsed="false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customFormat="false" ht="15.75" hidden="false" customHeight="true" outlineLevel="0" collapsed="false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customFormat="false" ht="15.75" hidden="false" customHeight="true" outlineLevel="0" collapsed="false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customFormat="false" ht="15.75" hidden="false" customHeight="true" outlineLevel="0" collapsed="false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customFormat="false" ht="15.75" hidden="false" customHeight="true" outlineLevel="0" collapsed="false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customFormat="false" ht="15.75" hidden="false" customHeight="true" outlineLevel="0" collapsed="false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customFormat="false" ht="15.75" hidden="false" customHeight="true" outlineLevel="0" collapsed="false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customFormat="false" ht="15.75" hidden="false" customHeight="true" outlineLevel="0" collapsed="false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customFormat="false" ht="15.75" hidden="false" customHeight="true" outlineLevel="0" collapsed="false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customFormat="false" ht="15.75" hidden="false" customHeight="true" outlineLevel="0" collapsed="false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customFormat="false" ht="15.75" hidden="false" customHeight="true" outlineLevel="0" collapsed="false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customFormat="false" ht="15.75" hidden="false" customHeight="true" outlineLevel="0" collapsed="false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customFormat="false" ht="15.75" hidden="false" customHeight="true" outlineLevel="0" collapsed="false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customFormat="false" ht="15.75" hidden="false" customHeight="true" outlineLevel="0" collapsed="false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customFormat="false" ht="15.75" hidden="false" customHeight="true" outlineLevel="0" collapsed="false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customFormat="false" ht="15.75" hidden="false" customHeight="true" outlineLevel="0" collapsed="false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customFormat="false" ht="15.75" hidden="false" customHeight="true" outlineLevel="0" collapsed="false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customFormat="false" ht="15.75" hidden="false" customHeight="true" outlineLevel="0" collapsed="false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customFormat="false" ht="15.75" hidden="false" customHeight="true" outlineLevel="0" collapsed="false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customFormat="false" ht="15.75" hidden="false" customHeight="true" outlineLevel="0" collapsed="false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customFormat="false" ht="15.75" hidden="false" customHeight="true" outlineLevel="0" collapsed="false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customFormat="false" ht="15.75" hidden="false" customHeight="true" outlineLevel="0" collapsed="false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customFormat="false" ht="15.75" hidden="false" customHeight="true" outlineLevel="0" collapsed="false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customFormat="false" ht="15.75" hidden="false" customHeight="true" outlineLevel="0" collapsed="false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customFormat="false" ht="15.75" hidden="false" customHeight="true" outlineLevel="0" collapsed="false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customFormat="false" ht="15.75" hidden="false" customHeight="true" outlineLevel="0" collapsed="false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customFormat="false" ht="15.75" hidden="false" customHeight="true" outlineLevel="0" collapsed="false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customFormat="false" ht="15.75" hidden="false" customHeight="true" outlineLevel="0" collapsed="false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customFormat="false" ht="15.75" hidden="false" customHeight="true" outlineLevel="0" collapsed="false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customFormat="false" ht="15.75" hidden="false" customHeight="true" outlineLevel="0" collapsed="false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customFormat="false" ht="15.75" hidden="false" customHeight="true" outlineLevel="0" collapsed="false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customFormat="false" ht="15.75" hidden="false" customHeight="true" outlineLevel="0" collapsed="false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customFormat="false" ht="15.75" hidden="false" customHeight="true" outlineLevel="0" collapsed="false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customFormat="false" ht="15.75" hidden="false" customHeight="true" outlineLevel="0" collapsed="false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customFormat="false" ht="15.75" hidden="false" customHeight="true" outlineLevel="0" collapsed="false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customFormat="false" ht="15.75" hidden="false" customHeight="true" outlineLevel="0" collapsed="false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customFormat="false" ht="15.75" hidden="false" customHeight="true" outlineLevel="0" collapsed="false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customFormat="false" ht="15.75" hidden="false" customHeight="true" outlineLevel="0" collapsed="false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customFormat="false" ht="15.75" hidden="false" customHeight="true" outlineLevel="0" collapsed="false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customFormat="false" ht="15.75" hidden="false" customHeight="true" outlineLevel="0" collapsed="false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customFormat="false" ht="15.75" hidden="false" customHeight="true" outlineLevel="0" collapsed="false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customFormat="false" ht="15.75" hidden="false" customHeight="true" outlineLevel="0" collapsed="false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customFormat="false" ht="15.75" hidden="false" customHeight="true" outlineLevel="0" collapsed="false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customFormat="false" ht="15.75" hidden="false" customHeight="true" outlineLevel="0" collapsed="false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customFormat="false" ht="15.75" hidden="false" customHeight="true" outlineLevel="0" collapsed="false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customFormat="false" ht="15.75" hidden="false" customHeight="true" outlineLevel="0" collapsed="false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customFormat="false" ht="15.75" hidden="false" customHeight="true" outlineLevel="0" collapsed="false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customFormat="false" ht="15.75" hidden="false" customHeight="true" outlineLevel="0" collapsed="false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customFormat="false" ht="15.75" hidden="false" customHeight="true" outlineLevel="0" collapsed="false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customFormat="false" ht="15.75" hidden="false" customHeight="true" outlineLevel="0" collapsed="false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customFormat="false" ht="15.75" hidden="false" customHeight="true" outlineLevel="0" collapsed="false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customFormat="false" ht="15.75" hidden="false" customHeight="true" outlineLevel="0" collapsed="false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customFormat="false" ht="15.75" hidden="false" customHeight="true" outlineLevel="0" collapsed="false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customFormat="false" ht="15.75" hidden="false" customHeight="true" outlineLevel="0" collapsed="false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customFormat="false" ht="15.75" hidden="false" customHeight="true" outlineLevel="0" collapsed="false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customFormat="false" ht="15.75" hidden="false" customHeight="true" outlineLevel="0" collapsed="false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customFormat="false" ht="15.75" hidden="false" customHeight="true" outlineLevel="0" collapsed="false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customFormat="false" ht="15.75" hidden="false" customHeight="true" outlineLevel="0" collapsed="false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customFormat="false" ht="15.75" hidden="false" customHeight="true" outlineLevel="0" collapsed="false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customFormat="false" ht="15.75" hidden="false" customHeight="true" outlineLevel="0" collapsed="false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customFormat="false" ht="15.75" hidden="false" customHeight="true" outlineLevel="0" collapsed="false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customFormat="false" ht="15.75" hidden="false" customHeight="true" outlineLevel="0" collapsed="false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customFormat="false" ht="15.75" hidden="false" customHeight="true" outlineLevel="0" collapsed="false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customFormat="false" ht="15.75" hidden="false" customHeight="true" outlineLevel="0" collapsed="false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customFormat="false" ht="15.75" hidden="false" customHeight="true" outlineLevel="0" collapsed="false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customFormat="false" ht="15.75" hidden="false" customHeight="true" outlineLevel="0" collapsed="false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customFormat="false" ht="15.75" hidden="false" customHeight="true" outlineLevel="0" collapsed="false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customFormat="false" ht="15.75" hidden="false" customHeight="true" outlineLevel="0" collapsed="false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customFormat="false" ht="15.75" hidden="false" customHeight="true" outlineLevel="0" collapsed="false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customFormat="false" ht="15.75" hidden="false" customHeight="true" outlineLevel="0" collapsed="false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customFormat="false" ht="15.75" hidden="false" customHeight="true" outlineLevel="0" collapsed="false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customFormat="false" ht="15.75" hidden="false" customHeight="true" outlineLevel="0" collapsed="false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customFormat="false" ht="15.75" hidden="false" customHeight="true" outlineLevel="0" collapsed="false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customFormat="false" ht="15.75" hidden="false" customHeight="true" outlineLevel="0" collapsed="false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customFormat="false" ht="15.75" hidden="false" customHeight="true" outlineLevel="0" collapsed="false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customFormat="false" ht="15.75" hidden="false" customHeight="true" outlineLevel="0" collapsed="false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customFormat="false" ht="15.75" hidden="false" customHeight="true" outlineLevel="0" collapsed="false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customFormat="false" ht="15.75" hidden="false" customHeight="true" outlineLevel="0" collapsed="false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customFormat="false" ht="15.75" hidden="false" customHeight="true" outlineLevel="0" collapsed="false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customFormat="false" ht="15.75" hidden="false" customHeight="true" outlineLevel="0" collapsed="false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customFormat="false" ht="15.75" hidden="false" customHeight="true" outlineLevel="0" collapsed="false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customFormat="false" ht="15.75" hidden="false" customHeight="true" outlineLevel="0" collapsed="false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customFormat="false" ht="15.75" hidden="false" customHeight="true" outlineLevel="0" collapsed="false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customFormat="false" ht="15.75" hidden="false" customHeight="true" outlineLevel="0" collapsed="false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customFormat="false" ht="15.75" hidden="false" customHeight="true" outlineLevel="0" collapsed="false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customFormat="false" ht="15.75" hidden="false" customHeight="true" outlineLevel="0" collapsed="false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customFormat="false" ht="15.75" hidden="false" customHeight="true" outlineLevel="0" collapsed="false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customFormat="false" ht="15.75" hidden="false" customHeight="true" outlineLevel="0" collapsed="false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customFormat="false" ht="15.75" hidden="false" customHeight="true" outlineLevel="0" collapsed="false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customFormat="false" ht="15.75" hidden="false" customHeight="true" outlineLevel="0" collapsed="false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customFormat="false" ht="15.75" hidden="false" customHeight="true" outlineLevel="0" collapsed="false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customFormat="false" ht="15.75" hidden="false" customHeight="true" outlineLevel="0" collapsed="false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customFormat="false" ht="15.75" hidden="false" customHeight="true" outlineLevel="0" collapsed="false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customFormat="false" ht="15.75" hidden="false" customHeight="true" outlineLevel="0" collapsed="false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customFormat="false" ht="15.75" hidden="false" customHeight="true" outlineLevel="0" collapsed="false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customFormat="false" ht="15.75" hidden="false" customHeight="true" outlineLevel="0" collapsed="false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customFormat="false" ht="15.75" hidden="false" customHeight="true" outlineLevel="0" collapsed="false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customFormat="false" ht="15.75" hidden="false" customHeight="true" outlineLevel="0" collapsed="false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customFormat="false" ht="15.75" hidden="false" customHeight="true" outlineLevel="0" collapsed="false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customFormat="false" ht="15.75" hidden="false" customHeight="true" outlineLevel="0" collapsed="false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customFormat="false" ht="15.75" hidden="false" customHeight="true" outlineLevel="0" collapsed="false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customFormat="false" ht="15.75" hidden="false" customHeight="true" outlineLevel="0" collapsed="false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customFormat="false" ht="15.75" hidden="false" customHeight="true" outlineLevel="0" collapsed="false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customFormat="false" ht="15.75" hidden="false" customHeight="true" outlineLevel="0" collapsed="false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customFormat="false" ht="15.75" hidden="false" customHeight="true" outlineLevel="0" collapsed="false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customFormat="false" ht="15.75" hidden="false" customHeight="true" outlineLevel="0" collapsed="false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customFormat="false" ht="15.75" hidden="false" customHeight="true" outlineLevel="0" collapsed="false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customFormat="false" ht="15.75" hidden="false" customHeight="true" outlineLevel="0" collapsed="false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customFormat="false" ht="15.75" hidden="false" customHeight="true" outlineLevel="0" collapsed="false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customFormat="false" ht="15.75" hidden="false" customHeight="true" outlineLevel="0" collapsed="false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customFormat="false" ht="15.75" hidden="false" customHeight="true" outlineLevel="0" collapsed="false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customFormat="false" ht="15.75" hidden="false" customHeight="true" outlineLevel="0" collapsed="false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customFormat="false" ht="15.75" hidden="false" customHeight="true" outlineLevel="0" collapsed="false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customFormat="false" ht="15.75" hidden="false" customHeight="true" outlineLevel="0" collapsed="false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customFormat="false" ht="15.75" hidden="false" customHeight="true" outlineLevel="0" collapsed="false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customFormat="false" ht="15.75" hidden="false" customHeight="true" outlineLevel="0" collapsed="false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customFormat="false" ht="15.75" hidden="false" customHeight="true" outlineLevel="0" collapsed="false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customFormat="false" ht="15.75" hidden="false" customHeight="true" outlineLevel="0" collapsed="false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customFormat="false" ht="15.75" hidden="false" customHeight="true" outlineLevel="0" collapsed="false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customFormat="false" ht="15.75" hidden="false" customHeight="true" outlineLevel="0" collapsed="false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customFormat="false" ht="15.75" hidden="false" customHeight="true" outlineLevel="0" collapsed="false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customFormat="false" ht="15.75" hidden="false" customHeight="true" outlineLevel="0" collapsed="false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customFormat="false" ht="15.75" hidden="false" customHeight="true" outlineLevel="0" collapsed="false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customFormat="false" ht="15.75" hidden="false" customHeight="true" outlineLevel="0" collapsed="false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customFormat="false" ht="15.75" hidden="false" customHeight="true" outlineLevel="0" collapsed="false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customFormat="false" ht="15.75" hidden="false" customHeight="true" outlineLevel="0" collapsed="false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customFormat="false" ht="15.75" hidden="false" customHeight="true" outlineLevel="0" collapsed="false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customFormat="false" ht="15.75" hidden="false" customHeight="true" outlineLevel="0" collapsed="false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customFormat="false" ht="15.75" hidden="false" customHeight="true" outlineLevel="0" collapsed="false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customFormat="false" ht="15.75" hidden="false" customHeight="true" outlineLevel="0" collapsed="false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customFormat="false" ht="15.75" hidden="false" customHeight="true" outlineLevel="0" collapsed="false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customFormat="false" ht="15.75" hidden="false" customHeight="true" outlineLevel="0" collapsed="false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customFormat="false" ht="15.75" hidden="false" customHeight="true" outlineLevel="0" collapsed="false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customFormat="false" ht="15.75" hidden="false" customHeight="true" outlineLevel="0" collapsed="false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customFormat="false" ht="15.75" hidden="false" customHeight="true" outlineLevel="0" collapsed="false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customFormat="false" ht="15.75" hidden="false" customHeight="true" outlineLevel="0" collapsed="false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customFormat="false" ht="15.75" hidden="false" customHeight="true" outlineLevel="0" collapsed="false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customFormat="false" ht="15.75" hidden="false" customHeight="true" outlineLevel="0" collapsed="false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customFormat="false" ht="15.75" hidden="false" customHeight="true" outlineLevel="0" collapsed="false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customFormat="false" ht="15.75" hidden="false" customHeight="true" outlineLevel="0" collapsed="false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customFormat="false" ht="15.75" hidden="false" customHeight="true" outlineLevel="0" collapsed="false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customFormat="false" ht="15.75" hidden="false" customHeight="true" outlineLevel="0" collapsed="false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customFormat="false" ht="15.75" hidden="false" customHeight="true" outlineLevel="0" collapsed="false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customFormat="false" ht="15.75" hidden="false" customHeight="true" outlineLevel="0" collapsed="false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customFormat="false" ht="15.75" hidden="false" customHeight="true" outlineLevel="0" collapsed="false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customFormat="false" ht="15.75" hidden="false" customHeight="true" outlineLevel="0" collapsed="false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customFormat="false" ht="15.75" hidden="false" customHeight="true" outlineLevel="0" collapsed="false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customFormat="false" ht="15.75" hidden="false" customHeight="true" outlineLevel="0" collapsed="false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customFormat="false" ht="15.75" hidden="false" customHeight="true" outlineLevel="0" collapsed="false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customFormat="false" ht="15.75" hidden="false" customHeight="true" outlineLevel="0" collapsed="false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customFormat="false" ht="15.75" hidden="false" customHeight="true" outlineLevel="0" collapsed="false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customFormat="false" ht="15.75" hidden="false" customHeight="true" outlineLevel="0" collapsed="false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customFormat="false" ht="15.75" hidden="false" customHeight="true" outlineLevel="0" collapsed="false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customFormat="false" ht="15.75" hidden="false" customHeight="true" outlineLevel="0" collapsed="false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customFormat="false" ht="15.75" hidden="false" customHeight="true" outlineLevel="0" collapsed="false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customFormat="false" ht="15.75" hidden="false" customHeight="true" outlineLevel="0" collapsed="false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customFormat="false" ht="15.75" hidden="false" customHeight="true" outlineLevel="0" collapsed="false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customFormat="false" ht="15.75" hidden="false" customHeight="true" outlineLevel="0" collapsed="false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customFormat="false" ht="15.75" hidden="false" customHeight="true" outlineLevel="0" collapsed="false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customFormat="false" ht="15.75" hidden="false" customHeight="true" outlineLevel="0" collapsed="false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customFormat="false" ht="15.75" hidden="false" customHeight="true" outlineLevel="0" collapsed="false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customFormat="false" ht="15.75" hidden="false" customHeight="true" outlineLevel="0" collapsed="false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customFormat="false" ht="15.75" hidden="false" customHeight="true" outlineLevel="0" collapsed="false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customFormat="false" ht="15.75" hidden="false" customHeight="true" outlineLevel="0" collapsed="false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customFormat="false" ht="15.75" hidden="false" customHeight="true" outlineLevel="0" collapsed="false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customFormat="false" ht="15.75" hidden="false" customHeight="true" outlineLevel="0" collapsed="false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customFormat="false" ht="15.75" hidden="false" customHeight="true" outlineLevel="0" collapsed="false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customFormat="false" ht="15.75" hidden="false" customHeight="true" outlineLevel="0" collapsed="false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customFormat="false" ht="15.75" hidden="false" customHeight="true" outlineLevel="0" collapsed="false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customFormat="false" ht="15.75" hidden="false" customHeight="true" outlineLevel="0" collapsed="false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customFormat="false" ht="15.75" hidden="false" customHeight="true" outlineLevel="0" collapsed="false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customFormat="false" ht="15.75" hidden="false" customHeight="true" outlineLevel="0" collapsed="false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customFormat="false" ht="15.75" hidden="false" customHeight="true" outlineLevel="0" collapsed="false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customFormat="false" ht="15.75" hidden="false" customHeight="true" outlineLevel="0" collapsed="false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customFormat="false" ht="15.75" hidden="false" customHeight="true" outlineLevel="0" collapsed="false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customFormat="false" ht="15.75" hidden="false" customHeight="true" outlineLevel="0" collapsed="false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customFormat="false" ht="15.75" hidden="false" customHeight="true" outlineLevel="0" collapsed="false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customFormat="false" ht="15.75" hidden="false" customHeight="true" outlineLevel="0" collapsed="false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customFormat="false" ht="15.75" hidden="false" customHeight="true" outlineLevel="0" collapsed="false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customFormat="false" ht="15.75" hidden="false" customHeight="true" outlineLevel="0" collapsed="false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customFormat="false" ht="15.75" hidden="false" customHeight="true" outlineLevel="0" collapsed="false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customFormat="false" ht="15.75" hidden="false" customHeight="true" outlineLevel="0" collapsed="false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customFormat="false" ht="15.75" hidden="false" customHeight="true" outlineLevel="0" collapsed="false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customFormat="false" ht="15.75" hidden="false" customHeight="true" outlineLevel="0" collapsed="false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customFormat="false" ht="15.75" hidden="false" customHeight="true" outlineLevel="0" collapsed="false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customFormat="false" ht="15.75" hidden="false" customHeight="true" outlineLevel="0" collapsed="false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customFormat="false" ht="15.75" hidden="false" customHeight="true" outlineLevel="0" collapsed="false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customFormat="false" ht="15.75" hidden="false" customHeight="true" outlineLevel="0" collapsed="false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customFormat="false" ht="15.75" hidden="false" customHeight="true" outlineLevel="0" collapsed="false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customFormat="false" ht="15.75" hidden="false" customHeight="true" outlineLevel="0" collapsed="false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customFormat="false" ht="15.75" hidden="false" customHeight="true" outlineLevel="0" collapsed="false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customFormat="false" ht="15.75" hidden="false" customHeight="true" outlineLevel="0" collapsed="false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customFormat="false" ht="15.75" hidden="false" customHeight="true" outlineLevel="0" collapsed="false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customFormat="false" ht="15.75" hidden="false" customHeight="true" outlineLevel="0" collapsed="false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customFormat="false" ht="15.75" hidden="false" customHeight="true" outlineLevel="0" collapsed="false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customFormat="false" ht="15.75" hidden="false" customHeight="true" outlineLevel="0" collapsed="false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customFormat="false" ht="15.75" hidden="false" customHeight="true" outlineLevel="0" collapsed="false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customFormat="false" ht="15.75" hidden="false" customHeight="true" outlineLevel="0" collapsed="false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customFormat="false" ht="15.75" hidden="false" customHeight="true" outlineLevel="0" collapsed="false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customFormat="false" ht="15.75" hidden="false" customHeight="true" outlineLevel="0" collapsed="false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customFormat="false" ht="15.75" hidden="false" customHeight="true" outlineLevel="0" collapsed="false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customFormat="false" ht="15.75" hidden="false" customHeight="true" outlineLevel="0" collapsed="false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customFormat="false" ht="15.75" hidden="false" customHeight="true" outlineLevel="0" collapsed="false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customFormat="false" ht="15.75" hidden="false" customHeight="true" outlineLevel="0" collapsed="false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customFormat="false" ht="15.75" hidden="false" customHeight="true" outlineLevel="0" collapsed="false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customFormat="false" ht="15.75" hidden="false" customHeight="true" outlineLevel="0" collapsed="false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customFormat="false" ht="15.75" hidden="false" customHeight="true" outlineLevel="0" collapsed="false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customFormat="false" ht="15.75" hidden="false" customHeight="true" outlineLevel="0" collapsed="false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customFormat="false" ht="15.75" hidden="false" customHeight="true" outlineLevel="0" collapsed="false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customFormat="false" ht="15.75" hidden="false" customHeight="true" outlineLevel="0" collapsed="false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customFormat="false" ht="15.75" hidden="false" customHeight="true" outlineLevel="0" collapsed="false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customFormat="false" ht="15.75" hidden="false" customHeight="true" outlineLevel="0" collapsed="false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customFormat="false" ht="15.75" hidden="false" customHeight="true" outlineLevel="0" collapsed="false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customFormat="false" ht="15.75" hidden="false" customHeight="true" outlineLevel="0" collapsed="false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customFormat="false" ht="15.75" hidden="false" customHeight="true" outlineLevel="0" collapsed="false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customFormat="false" ht="15.75" hidden="false" customHeight="true" outlineLevel="0" collapsed="false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customFormat="false" ht="15.75" hidden="false" customHeight="true" outlineLevel="0" collapsed="false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customFormat="false" ht="15.75" hidden="false" customHeight="true" outlineLevel="0" collapsed="false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customFormat="false" ht="15.75" hidden="false" customHeight="true" outlineLevel="0" collapsed="false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customFormat="false" ht="15.75" hidden="false" customHeight="true" outlineLevel="0" collapsed="false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customFormat="false" ht="15.75" hidden="false" customHeight="true" outlineLevel="0" collapsed="false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customFormat="false" ht="15.75" hidden="false" customHeight="true" outlineLevel="0" collapsed="false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customFormat="false" ht="15.75" hidden="false" customHeight="true" outlineLevel="0" collapsed="false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customFormat="false" ht="15.75" hidden="false" customHeight="true" outlineLevel="0" collapsed="false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customFormat="false" ht="15.75" hidden="false" customHeight="true" outlineLevel="0" collapsed="false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customFormat="false" ht="15.75" hidden="false" customHeight="true" outlineLevel="0" collapsed="false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customFormat="false" ht="15.75" hidden="false" customHeight="true" outlineLevel="0" collapsed="false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customFormat="false" ht="15.75" hidden="false" customHeight="true" outlineLevel="0" collapsed="false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customFormat="false" ht="15.75" hidden="false" customHeight="true" outlineLevel="0" collapsed="false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customFormat="false" ht="15.75" hidden="false" customHeight="true" outlineLevel="0" collapsed="false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customFormat="false" ht="15.75" hidden="false" customHeight="true" outlineLevel="0" collapsed="false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customFormat="false" ht="15.75" hidden="false" customHeight="true" outlineLevel="0" collapsed="false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customFormat="false" ht="15.75" hidden="false" customHeight="true" outlineLevel="0" collapsed="false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customFormat="false" ht="15.75" hidden="false" customHeight="true" outlineLevel="0" collapsed="false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customFormat="false" ht="15.75" hidden="false" customHeight="true" outlineLevel="0" collapsed="false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customFormat="false" ht="15.75" hidden="false" customHeight="true" outlineLevel="0" collapsed="false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customFormat="false" ht="15.75" hidden="false" customHeight="true" outlineLevel="0" collapsed="false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customFormat="false" ht="15.75" hidden="false" customHeight="true" outlineLevel="0" collapsed="false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customFormat="false" ht="15.75" hidden="false" customHeight="true" outlineLevel="0" collapsed="false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customFormat="false" ht="15.75" hidden="false" customHeight="true" outlineLevel="0" collapsed="false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customFormat="false" ht="15.75" hidden="false" customHeight="true" outlineLevel="0" collapsed="false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customFormat="false" ht="15.75" hidden="false" customHeight="true" outlineLevel="0" collapsed="false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customFormat="false" ht="15.75" hidden="false" customHeight="true" outlineLevel="0" collapsed="false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customFormat="false" ht="15.75" hidden="false" customHeight="true" outlineLevel="0" collapsed="false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customFormat="false" ht="15.75" hidden="false" customHeight="true" outlineLevel="0" collapsed="false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customFormat="false" ht="15.75" hidden="false" customHeight="true" outlineLevel="0" collapsed="false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customFormat="false" ht="15.75" hidden="false" customHeight="true" outlineLevel="0" collapsed="false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customFormat="false" ht="15.75" hidden="false" customHeight="true" outlineLevel="0" collapsed="false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customFormat="false" ht="15.75" hidden="false" customHeight="true" outlineLevel="0" collapsed="false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customFormat="false" ht="15.75" hidden="false" customHeight="true" outlineLevel="0" collapsed="false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customFormat="false" ht="15.75" hidden="false" customHeight="true" outlineLevel="0" collapsed="false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customFormat="false" ht="15.75" hidden="false" customHeight="true" outlineLevel="0" collapsed="false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customFormat="false" ht="15.75" hidden="false" customHeight="true" outlineLevel="0" collapsed="false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customFormat="false" ht="15.75" hidden="false" customHeight="true" outlineLevel="0" collapsed="false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customFormat="false" ht="15.75" hidden="false" customHeight="true" outlineLevel="0" collapsed="false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customFormat="false" ht="15.75" hidden="false" customHeight="true" outlineLevel="0" collapsed="false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customFormat="false" ht="15.75" hidden="false" customHeight="true" outlineLevel="0" collapsed="false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customFormat="false" ht="15.75" hidden="false" customHeight="true" outlineLevel="0" collapsed="false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customFormat="false" ht="15.75" hidden="false" customHeight="true" outlineLevel="0" collapsed="false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customFormat="false" ht="15.75" hidden="false" customHeight="true" outlineLevel="0" collapsed="false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customFormat="false" ht="15.75" hidden="false" customHeight="true" outlineLevel="0" collapsed="false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customFormat="false" ht="15.75" hidden="false" customHeight="true" outlineLevel="0" collapsed="false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customFormat="false" ht="15.75" hidden="false" customHeight="true" outlineLevel="0" collapsed="false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customFormat="false" ht="15.75" hidden="false" customHeight="true" outlineLevel="0" collapsed="false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customFormat="false" ht="15.75" hidden="false" customHeight="true" outlineLevel="0" collapsed="false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customFormat="false" ht="15.75" hidden="false" customHeight="true" outlineLevel="0" collapsed="false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customFormat="false" ht="15.75" hidden="false" customHeight="true" outlineLevel="0" collapsed="false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customFormat="false" ht="15.75" hidden="false" customHeight="true" outlineLevel="0" collapsed="false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customFormat="false" ht="15.75" hidden="false" customHeight="true" outlineLevel="0" collapsed="false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customFormat="false" ht="15.75" hidden="false" customHeight="true" outlineLevel="0" collapsed="false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customFormat="false" ht="15.75" hidden="false" customHeight="true" outlineLevel="0" collapsed="false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customFormat="false" ht="15.75" hidden="false" customHeight="true" outlineLevel="0" collapsed="false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customFormat="false" ht="15.75" hidden="false" customHeight="true" outlineLevel="0" collapsed="false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customFormat="false" ht="15.75" hidden="false" customHeight="true" outlineLevel="0" collapsed="false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customFormat="false" ht="15.75" hidden="false" customHeight="true" outlineLevel="0" collapsed="false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customFormat="false" ht="15.75" hidden="false" customHeight="true" outlineLevel="0" collapsed="false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customFormat="false" ht="15.75" hidden="false" customHeight="true" outlineLevel="0" collapsed="false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customFormat="false" ht="15.75" hidden="false" customHeight="true" outlineLevel="0" collapsed="false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customFormat="false" ht="15.75" hidden="false" customHeight="true" outlineLevel="0" collapsed="false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customFormat="false" ht="15.75" hidden="false" customHeight="true" outlineLevel="0" collapsed="false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customFormat="false" ht="15.75" hidden="false" customHeight="true" outlineLevel="0" collapsed="false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customFormat="false" ht="15.75" hidden="false" customHeight="true" outlineLevel="0" collapsed="false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customFormat="false" ht="15.75" hidden="false" customHeight="true" outlineLevel="0" collapsed="false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customFormat="false" ht="15.75" hidden="false" customHeight="true" outlineLevel="0" collapsed="false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customFormat="false" ht="15.75" hidden="false" customHeight="true" outlineLevel="0" collapsed="false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customFormat="false" ht="15.75" hidden="false" customHeight="true" outlineLevel="0" collapsed="false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customFormat="false" ht="15.75" hidden="false" customHeight="true" outlineLevel="0" collapsed="false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customFormat="false" ht="15.75" hidden="false" customHeight="true" outlineLevel="0" collapsed="false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customFormat="false" ht="15.75" hidden="false" customHeight="true" outlineLevel="0" collapsed="false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customFormat="false" ht="15.75" hidden="false" customHeight="true" outlineLevel="0" collapsed="false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customFormat="false" ht="15.75" hidden="false" customHeight="true" outlineLevel="0" collapsed="false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customFormat="false" ht="15.75" hidden="false" customHeight="true" outlineLevel="0" collapsed="false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customFormat="false" ht="15.75" hidden="false" customHeight="true" outlineLevel="0" collapsed="false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customFormat="false" ht="15.75" hidden="false" customHeight="true" outlineLevel="0" collapsed="false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customFormat="false" ht="15.75" hidden="false" customHeight="true" outlineLevel="0" collapsed="false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customFormat="false" ht="15.75" hidden="false" customHeight="true" outlineLevel="0" collapsed="false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customFormat="false" ht="15.75" hidden="false" customHeight="true" outlineLevel="0" collapsed="false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customFormat="false" ht="15.75" hidden="false" customHeight="true" outlineLevel="0" collapsed="false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customFormat="false" ht="15.75" hidden="false" customHeight="true" outlineLevel="0" collapsed="false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customFormat="false" ht="15.75" hidden="false" customHeight="true" outlineLevel="0" collapsed="false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customFormat="false" ht="15.75" hidden="false" customHeight="true" outlineLevel="0" collapsed="false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customFormat="false" ht="15.75" hidden="false" customHeight="true" outlineLevel="0" collapsed="false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customFormat="false" ht="15.75" hidden="false" customHeight="true" outlineLevel="0" collapsed="false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customFormat="false" ht="15.75" hidden="false" customHeight="true" outlineLevel="0" collapsed="false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customFormat="false" ht="15.75" hidden="false" customHeight="true" outlineLevel="0" collapsed="false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customFormat="false" ht="15.75" hidden="false" customHeight="true" outlineLevel="0" collapsed="false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customFormat="false" ht="15.75" hidden="false" customHeight="true" outlineLevel="0" collapsed="false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customFormat="false" ht="15.75" hidden="false" customHeight="true" outlineLevel="0" collapsed="false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customFormat="false" ht="15.75" hidden="false" customHeight="true" outlineLevel="0" collapsed="false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customFormat="false" ht="15.75" hidden="false" customHeight="true" outlineLevel="0" collapsed="false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customFormat="false" ht="15.75" hidden="false" customHeight="true" outlineLevel="0" collapsed="false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customFormat="false" ht="15.75" hidden="false" customHeight="true" outlineLevel="0" collapsed="false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customFormat="false" ht="15.75" hidden="false" customHeight="true" outlineLevel="0" collapsed="false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customFormat="false" ht="15.75" hidden="false" customHeight="true" outlineLevel="0" collapsed="false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customFormat="false" ht="15.75" hidden="false" customHeight="true" outlineLevel="0" collapsed="false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customFormat="false" ht="15.75" hidden="false" customHeight="true" outlineLevel="0" collapsed="false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customFormat="false" ht="15.75" hidden="false" customHeight="true" outlineLevel="0" collapsed="false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customFormat="false" ht="15.75" hidden="false" customHeight="true" outlineLevel="0" collapsed="false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customFormat="false" ht="15.75" hidden="false" customHeight="true" outlineLevel="0" collapsed="false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customFormat="false" ht="15.75" hidden="false" customHeight="true" outlineLevel="0" collapsed="false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customFormat="false" ht="15.75" hidden="false" customHeight="true" outlineLevel="0" collapsed="false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customFormat="false" ht="15.75" hidden="false" customHeight="true" outlineLevel="0" collapsed="false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customFormat="false" ht="15.75" hidden="false" customHeight="true" outlineLevel="0" collapsed="false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customFormat="false" ht="15.75" hidden="false" customHeight="true" outlineLevel="0" collapsed="false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customFormat="false" ht="15.75" hidden="false" customHeight="true" outlineLevel="0" collapsed="false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customFormat="false" ht="15.75" hidden="false" customHeight="true" outlineLevel="0" collapsed="false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customFormat="false" ht="15.75" hidden="false" customHeight="true" outlineLevel="0" collapsed="false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customFormat="false" ht="15.75" hidden="false" customHeight="true" outlineLevel="0" collapsed="false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customFormat="false" ht="15.75" hidden="false" customHeight="true" outlineLevel="0" collapsed="false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customFormat="false" ht="15.75" hidden="false" customHeight="true" outlineLevel="0" collapsed="false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customFormat="false" ht="15.75" hidden="false" customHeight="true" outlineLevel="0" collapsed="false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customFormat="false" ht="15.75" hidden="false" customHeight="true" outlineLevel="0" collapsed="false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customFormat="false" ht="15.75" hidden="false" customHeight="true" outlineLevel="0" collapsed="false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customFormat="false" ht="15.75" hidden="false" customHeight="true" outlineLevel="0" collapsed="false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customFormat="false" ht="15.75" hidden="false" customHeight="true" outlineLevel="0" collapsed="false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customFormat="false" ht="15.75" hidden="false" customHeight="true" outlineLevel="0" collapsed="false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customFormat="false" ht="15.75" hidden="false" customHeight="true" outlineLevel="0" collapsed="false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customFormat="false" ht="15.75" hidden="false" customHeight="true" outlineLevel="0" collapsed="false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customFormat="false" ht="15.75" hidden="false" customHeight="true" outlineLevel="0" collapsed="false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customFormat="false" ht="15.75" hidden="false" customHeight="true" outlineLevel="0" collapsed="false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customFormat="false" ht="15.75" hidden="false" customHeight="true" outlineLevel="0" collapsed="false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customFormat="false" ht="15.75" hidden="false" customHeight="true" outlineLevel="0" collapsed="false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customFormat="false" ht="15.75" hidden="false" customHeight="true" outlineLevel="0" collapsed="false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customFormat="false" ht="15.75" hidden="false" customHeight="true" outlineLevel="0" collapsed="false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customFormat="false" ht="15.75" hidden="false" customHeight="true" outlineLevel="0" collapsed="false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customFormat="false" ht="15.75" hidden="false" customHeight="true" outlineLevel="0" collapsed="false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customFormat="false" ht="15.75" hidden="false" customHeight="true" outlineLevel="0" collapsed="false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customFormat="false" ht="15.75" hidden="false" customHeight="true" outlineLevel="0" collapsed="false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customFormat="false" ht="15.75" hidden="false" customHeight="true" outlineLevel="0" collapsed="false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customFormat="false" ht="15.75" hidden="false" customHeight="true" outlineLevel="0" collapsed="false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customFormat="false" ht="15.75" hidden="false" customHeight="true" outlineLevel="0" collapsed="false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customFormat="false" ht="15.75" hidden="false" customHeight="true" outlineLevel="0" collapsed="false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customFormat="false" ht="15.75" hidden="false" customHeight="true" outlineLevel="0" collapsed="false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customFormat="false" ht="15.75" hidden="false" customHeight="true" outlineLevel="0" collapsed="false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customFormat="false" ht="15.75" hidden="false" customHeight="true" outlineLevel="0" collapsed="false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customFormat="false" ht="15.75" hidden="false" customHeight="true" outlineLevel="0" collapsed="false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customFormat="false" ht="15.75" hidden="false" customHeight="true" outlineLevel="0" collapsed="false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customFormat="false" ht="15.75" hidden="false" customHeight="true" outlineLevel="0" collapsed="false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customFormat="false" ht="15.75" hidden="false" customHeight="true" outlineLevel="0" collapsed="false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customFormat="false" ht="15.75" hidden="false" customHeight="true" outlineLevel="0" collapsed="false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customFormat="false" ht="15.75" hidden="false" customHeight="true" outlineLevel="0" collapsed="false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customFormat="false" ht="15.75" hidden="false" customHeight="true" outlineLevel="0" collapsed="false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customFormat="false" ht="15.75" hidden="false" customHeight="true" outlineLevel="0" collapsed="false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customFormat="false" ht="15.75" hidden="false" customHeight="true" outlineLevel="0" collapsed="false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customFormat="false" ht="15.75" hidden="false" customHeight="true" outlineLevel="0" collapsed="false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customFormat="false" ht="15.75" hidden="false" customHeight="true" outlineLevel="0" collapsed="false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customFormat="false" ht="15.75" hidden="false" customHeight="true" outlineLevel="0" collapsed="false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customFormat="false" ht="15.75" hidden="false" customHeight="true" outlineLevel="0" collapsed="false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customFormat="false" ht="15.75" hidden="false" customHeight="true" outlineLevel="0" collapsed="false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customFormat="false" ht="15.75" hidden="false" customHeight="true" outlineLevel="0" collapsed="false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customFormat="false" ht="15.75" hidden="false" customHeight="true" outlineLevel="0" collapsed="false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customFormat="false" ht="15.75" hidden="false" customHeight="true" outlineLevel="0" collapsed="false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customFormat="false" ht="15.75" hidden="false" customHeight="true" outlineLevel="0" collapsed="false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customFormat="false" ht="15.75" hidden="false" customHeight="true" outlineLevel="0" collapsed="false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customFormat="false" ht="15.75" hidden="false" customHeight="true" outlineLevel="0" collapsed="false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customFormat="false" ht="15.75" hidden="false" customHeight="true" outlineLevel="0" collapsed="false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customFormat="false" ht="15.75" hidden="false" customHeight="true" outlineLevel="0" collapsed="false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customFormat="false" ht="15.75" hidden="false" customHeight="true" outlineLevel="0" collapsed="false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customFormat="false" ht="15.75" hidden="false" customHeight="true" outlineLevel="0" collapsed="false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customFormat="false" ht="15.75" hidden="false" customHeight="true" outlineLevel="0" collapsed="false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customFormat="false" ht="15.75" hidden="false" customHeight="true" outlineLevel="0" collapsed="false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customFormat="false" ht="15.75" hidden="false" customHeight="true" outlineLevel="0" collapsed="false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customFormat="false" ht="15.75" hidden="false" customHeight="true" outlineLevel="0" collapsed="false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customFormat="false" ht="15.75" hidden="false" customHeight="true" outlineLevel="0" collapsed="false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customFormat="false" ht="15.75" hidden="false" customHeight="true" outlineLevel="0" collapsed="false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customFormat="false" ht="15.75" hidden="false" customHeight="true" outlineLevel="0" collapsed="false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customFormat="false" ht="15.75" hidden="false" customHeight="true" outlineLevel="0" collapsed="false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customFormat="false" ht="15.75" hidden="false" customHeight="true" outlineLevel="0" collapsed="false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customFormat="false" ht="15.75" hidden="false" customHeight="true" outlineLevel="0" collapsed="false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customFormat="false" ht="15.75" hidden="false" customHeight="true" outlineLevel="0" collapsed="false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customFormat="false" ht="15.75" hidden="false" customHeight="true" outlineLevel="0" collapsed="false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customFormat="false" ht="15.75" hidden="false" customHeight="true" outlineLevel="0" collapsed="false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customFormat="false" ht="15.75" hidden="false" customHeight="true" outlineLevel="0" collapsed="false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customFormat="false" ht="15.75" hidden="false" customHeight="true" outlineLevel="0" collapsed="false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customFormat="false" ht="15.75" hidden="false" customHeight="true" outlineLevel="0" collapsed="false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customFormat="false" ht="15.75" hidden="false" customHeight="true" outlineLevel="0" collapsed="false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customFormat="false" ht="15.75" hidden="false" customHeight="true" outlineLevel="0" collapsed="false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customFormat="false" ht="15.75" hidden="false" customHeight="true" outlineLevel="0" collapsed="false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customFormat="false" ht="15.75" hidden="false" customHeight="true" outlineLevel="0" collapsed="false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customFormat="false" ht="15.75" hidden="false" customHeight="true" outlineLevel="0" collapsed="false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customFormat="false" ht="15.75" hidden="false" customHeight="true" outlineLevel="0" collapsed="false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customFormat="false" ht="15.75" hidden="false" customHeight="true" outlineLevel="0" collapsed="false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customFormat="false" ht="15.75" hidden="false" customHeight="true" outlineLevel="0" collapsed="false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customFormat="false" ht="15.75" hidden="false" customHeight="true" outlineLevel="0" collapsed="false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customFormat="false" ht="15.75" hidden="false" customHeight="true" outlineLevel="0" collapsed="false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customFormat="false" ht="15.75" hidden="false" customHeight="true" outlineLevel="0" collapsed="false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customFormat="false" ht="15.75" hidden="false" customHeight="true" outlineLevel="0" collapsed="false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customFormat="false" ht="15.75" hidden="false" customHeight="true" outlineLevel="0" collapsed="false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customFormat="false" ht="15.75" hidden="false" customHeight="true" outlineLevel="0" collapsed="false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customFormat="false" ht="15.75" hidden="false" customHeight="true" outlineLevel="0" collapsed="false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customFormat="false" ht="15.75" hidden="false" customHeight="true" outlineLevel="0" collapsed="false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customFormat="false" ht="15.75" hidden="false" customHeight="true" outlineLevel="0" collapsed="false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customFormat="false" ht="15.75" hidden="false" customHeight="true" outlineLevel="0" collapsed="false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customFormat="false" ht="15.75" hidden="false" customHeight="true" outlineLevel="0" collapsed="false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customFormat="false" ht="15.75" hidden="false" customHeight="true" outlineLevel="0" collapsed="false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customFormat="false" ht="15.75" hidden="false" customHeight="true" outlineLevel="0" collapsed="false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customFormat="false" ht="15.75" hidden="false" customHeight="true" outlineLevel="0" collapsed="false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customFormat="false" ht="15.75" hidden="false" customHeight="true" outlineLevel="0" collapsed="false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customFormat="false" ht="15.75" hidden="false" customHeight="true" outlineLevel="0" collapsed="false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customFormat="false" ht="15.75" hidden="false" customHeight="true" outlineLevel="0" collapsed="false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customFormat="false" ht="15.75" hidden="false" customHeight="true" outlineLevel="0" collapsed="false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customFormat="false" ht="15.75" hidden="false" customHeight="true" outlineLevel="0" collapsed="false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customFormat="false" ht="15.75" hidden="false" customHeight="true" outlineLevel="0" collapsed="false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customFormat="false" ht="15.75" hidden="false" customHeight="true" outlineLevel="0" collapsed="false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customFormat="false" ht="15.75" hidden="false" customHeight="true" outlineLevel="0" collapsed="false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customFormat="false" ht="15.75" hidden="false" customHeight="true" outlineLevel="0" collapsed="false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customFormat="false" ht="15.75" hidden="false" customHeight="true" outlineLevel="0" collapsed="false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customFormat="false" ht="15.75" hidden="false" customHeight="true" outlineLevel="0" collapsed="false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customFormat="false" ht="15.75" hidden="false" customHeight="true" outlineLevel="0" collapsed="false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customFormat="false" ht="15.75" hidden="false" customHeight="true" outlineLevel="0" collapsed="false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customFormat="false" ht="15.75" hidden="false" customHeight="true" outlineLevel="0" collapsed="false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customFormat="false" ht="15.75" hidden="false" customHeight="true" outlineLevel="0" collapsed="false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customFormat="false" ht="15.75" hidden="false" customHeight="true" outlineLevel="0" collapsed="false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customFormat="false" ht="15.75" hidden="false" customHeight="true" outlineLevel="0" collapsed="false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customFormat="false" ht="15.75" hidden="false" customHeight="true" outlineLevel="0" collapsed="false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customFormat="false" ht="15.75" hidden="false" customHeight="true" outlineLevel="0" collapsed="false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customFormat="false" ht="15.75" hidden="false" customHeight="true" outlineLevel="0" collapsed="false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customFormat="false" ht="15.75" hidden="false" customHeight="true" outlineLevel="0" collapsed="false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customFormat="false" ht="15.75" hidden="false" customHeight="true" outlineLevel="0" collapsed="false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customFormat="false" ht="15.75" hidden="false" customHeight="true" outlineLevel="0" collapsed="false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customFormat="false" ht="15.75" hidden="false" customHeight="true" outlineLevel="0" collapsed="false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customFormat="false" ht="15.75" hidden="false" customHeight="true" outlineLevel="0" collapsed="false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customFormat="false" ht="15.75" hidden="false" customHeight="true" outlineLevel="0" collapsed="false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customFormat="false" ht="15.75" hidden="false" customHeight="true" outlineLevel="0" collapsed="false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customFormat="false" ht="15.75" hidden="false" customHeight="true" outlineLevel="0" collapsed="false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customFormat="false" ht="15.75" hidden="false" customHeight="true" outlineLevel="0" collapsed="false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customFormat="false" ht="15.75" hidden="false" customHeight="true" outlineLevel="0" collapsed="false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customFormat="false" ht="15.75" hidden="false" customHeight="true" outlineLevel="0" collapsed="false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customFormat="false" ht="15.75" hidden="false" customHeight="true" outlineLevel="0" collapsed="false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customFormat="false" ht="15.75" hidden="false" customHeight="true" outlineLevel="0" collapsed="false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customFormat="false" ht="15.75" hidden="false" customHeight="true" outlineLevel="0" collapsed="false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customFormat="false" ht="15.75" hidden="false" customHeight="true" outlineLevel="0" collapsed="false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customFormat="false" ht="15.75" hidden="false" customHeight="true" outlineLevel="0" collapsed="false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customFormat="false" ht="15.75" hidden="false" customHeight="true" outlineLevel="0" collapsed="false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customFormat="false" ht="15.75" hidden="false" customHeight="true" outlineLevel="0" collapsed="false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customFormat="false" ht="15.75" hidden="false" customHeight="true" outlineLevel="0" collapsed="false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customFormat="false" ht="15.75" hidden="false" customHeight="true" outlineLevel="0" collapsed="false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customFormat="false" ht="15.75" hidden="false" customHeight="true" outlineLevel="0" collapsed="false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customFormat="false" ht="15.75" hidden="false" customHeight="true" outlineLevel="0" collapsed="false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customFormat="false" ht="15.75" hidden="false" customHeight="true" outlineLevel="0" collapsed="false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customFormat="false" ht="15.75" hidden="false" customHeight="true" outlineLevel="0" collapsed="false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customFormat="false" ht="15.75" hidden="false" customHeight="true" outlineLevel="0" collapsed="false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customFormat="false" ht="15.75" hidden="false" customHeight="true" outlineLevel="0" collapsed="false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customFormat="false" ht="15.75" hidden="false" customHeight="true" outlineLevel="0" collapsed="false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customFormat="false" ht="15.75" hidden="false" customHeight="true" outlineLevel="0" collapsed="false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customFormat="false" ht="15.75" hidden="false" customHeight="true" outlineLevel="0" collapsed="false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customFormat="false" ht="15.75" hidden="false" customHeight="true" outlineLevel="0" collapsed="false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customFormat="false" ht="15.75" hidden="false" customHeight="true" outlineLevel="0" collapsed="false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customFormat="false" ht="15.75" hidden="false" customHeight="true" outlineLevel="0" collapsed="false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customFormat="false" ht="15.75" hidden="false" customHeight="true" outlineLevel="0" collapsed="false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customFormat="false" ht="15.75" hidden="false" customHeight="true" outlineLevel="0" collapsed="false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customFormat="false" ht="15.75" hidden="false" customHeight="true" outlineLevel="0" collapsed="false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customFormat="false" ht="15.75" hidden="false" customHeight="true" outlineLevel="0" collapsed="false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customFormat="false" ht="15.75" hidden="false" customHeight="true" outlineLevel="0" collapsed="false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customFormat="false" ht="15.75" hidden="false" customHeight="true" outlineLevel="0" collapsed="false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customFormat="false" ht="15.75" hidden="false" customHeight="true" outlineLevel="0" collapsed="false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customFormat="false" ht="15.75" hidden="false" customHeight="true" outlineLevel="0" collapsed="false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customFormat="false" ht="15.75" hidden="false" customHeight="true" outlineLevel="0" collapsed="false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customFormat="false" ht="15.75" hidden="false" customHeight="true" outlineLevel="0" collapsed="false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customFormat="false" ht="15.75" hidden="false" customHeight="true" outlineLevel="0" collapsed="false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customFormat="false" ht="15.75" hidden="false" customHeight="true" outlineLevel="0" collapsed="false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customFormat="false" ht="15.75" hidden="false" customHeight="true" outlineLevel="0" collapsed="false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customFormat="false" ht="15.75" hidden="false" customHeight="true" outlineLevel="0" collapsed="false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customFormat="false" ht="15.75" hidden="false" customHeight="true" outlineLevel="0" collapsed="false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customFormat="false" ht="15.75" hidden="false" customHeight="true" outlineLevel="0" collapsed="false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customFormat="false" ht="15.75" hidden="false" customHeight="true" outlineLevel="0" collapsed="false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customFormat="false" ht="15.75" hidden="false" customHeight="true" outlineLevel="0" collapsed="false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customFormat="false" ht="15.75" hidden="false" customHeight="true" outlineLevel="0" collapsed="false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customFormat="false" ht="15.75" hidden="false" customHeight="true" outlineLevel="0" collapsed="false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customFormat="false" ht="15.75" hidden="false" customHeight="true" outlineLevel="0" collapsed="false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customFormat="false" ht="15.75" hidden="false" customHeight="true" outlineLevel="0" collapsed="false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customFormat="false" ht="15.75" hidden="false" customHeight="true" outlineLevel="0" collapsed="false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customFormat="false" ht="15.75" hidden="false" customHeight="true" outlineLevel="0" collapsed="false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customFormat="false" ht="15.75" hidden="false" customHeight="true" outlineLevel="0" collapsed="false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customFormat="false" ht="15.75" hidden="false" customHeight="true" outlineLevel="0" collapsed="false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customFormat="false" ht="15.75" hidden="false" customHeight="true" outlineLevel="0" collapsed="false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customFormat="false" ht="15.75" hidden="false" customHeight="true" outlineLevel="0" collapsed="false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customFormat="false" ht="15.75" hidden="false" customHeight="true" outlineLevel="0" collapsed="false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customFormat="false" ht="15.75" hidden="false" customHeight="true" outlineLevel="0" collapsed="false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customFormat="false" ht="15.75" hidden="false" customHeight="true" outlineLevel="0" collapsed="false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customFormat="false" ht="15.75" hidden="false" customHeight="true" outlineLevel="0" collapsed="false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customFormat="false" ht="15.75" hidden="false" customHeight="true" outlineLevel="0" collapsed="false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customFormat="false" ht="15.75" hidden="false" customHeight="true" outlineLevel="0" collapsed="false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customFormat="false" ht="15.75" hidden="false" customHeight="true" outlineLevel="0" collapsed="false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customFormat="false" ht="15.75" hidden="false" customHeight="true" outlineLevel="0" collapsed="false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customFormat="false" ht="15.75" hidden="false" customHeight="true" outlineLevel="0" collapsed="false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customFormat="false" ht="15.75" hidden="false" customHeight="true" outlineLevel="0" collapsed="false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customFormat="false" ht="15.75" hidden="false" customHeight="true" outlineLevel="0" collapsed="false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customFormat="false" ht="15.75" hidden="false" customHeight="true" outlineLevel="0" collapsed="false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customFormat="false" ht="15.75" hidden="false" customHeight="true" outlineLevel="0" collapsed="false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customFormat="false" ht="15.75" hidden="false" customHeight="true" outlineLevel="0" collapsed="false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customFormat="false" ht="15.75" hidden="false" customHeight="true" outlineLevel="0" collapsed="false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customFormat="false" ht="15.75" hidden="false" customHeight="true" outlineLevel="0" collapsed="false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customFormat="false" ht="15.75" hidden="false" customHeight="true" outlineLevel="0" collapsed="false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customFormat="false" ht="15.75" hidden="false" customHeight="true" outlineLevel="0" collapsed="false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customFormat="false" ht="15.75" hidden="false" customHeight="true" outlineLevel="0" collapsed="false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customFormat="false" ht="15.75" hidden="false" customHeight="true" outlineLevel="0" collapsed="false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customFormat="false" ht="15.75" hidden="false" customHeight="true" outlineLevel="0" collapsed="false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customFormat="false" ht="15.75" hidden="false" customHeight="true" outlineLevel="0" collapsed="false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customFormat="false" ht="15.75" hidden="false" customHeight="true" outlineLevel="0" collapsed="false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customFormat="false" ht="15.75" hidden="false" customHeight="true" outlineLevel="0" collapsed="false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customFormat="false" ht="15.75" hidden="false" customHeight="true" outlineLevel="0" collapsed="false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customFormat="false" ht="15.75" hidden="false" customHeight="true" outlineLevel="0" collapsed="false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customFormat="false" ht="15.75" hidden="false" customHeight="true" outlineLevel="0" collapsed="false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customFormat="false" ht="15.75" hidden="false" customHeight="true" outlineLevel="0" collapsed="false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customFormat="false" ht="15.75" hidden="false" customHeight="true" outlineLevel="0" collapsed="false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customFormat="false" ht="15.75" hidden="false" customHeight="true" outlineLevel="0" collapsed="false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customFormat="false" ht="15.75" hidden="false" customHeight="true" outlineLevel="0" collapsed="false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customFormat="false" ht="15.75" hidden="false" customHeight="true" outlineLevel="0" collapsed="false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customFormat="false" ht="15.75" hidden="false" customHeight="true" outlineLevel="0" collapsed="false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customFormat="false" ht="15.75" hidden="false" customHeight="true" outlineLevel="0" collapsed="false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customFormat="false" ht="15.75" hidden="false" customHeight="true" outlineLevel="0" collapsed="false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customFormat="false" ht="15.75" hidden="false" customHeight="true" outlineLevel="0" collapsed="false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customFormat="false" ht="15.75" hidden="false" customHeight="true" outlineLevel="0" collapsed="false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customFormat="false" ht="15.75" hidden="false" customHeight="true" outlineLevel="0" collapsed="false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customFormat="false" ht="15.75" hidden="false" customHeight="true" outlineLevel="0" collapsed="false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customFormat="false" ht="15.75" hidden="false" customHeight="true" outlineLevel="0" collapsed="false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customFormat="false" ht="15.75" hidden="false" customHeight="true" outlineLevel="0" collapsed="false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customFormat="false" ht="15.75" hidden="false" customHeight="true" outlineLevel="0" collapsed="false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customFormat="false" ht="15.75" hidden="false" customHeight="true" outlineLevel="0" collapsed="false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customFormat="false" ht="15.75" hidden="false" customHeight="true" outlineLevel="0" collapsed="false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customFormat="false" ht="15.75" hidden="false" customHeight="true" outlineLevel="0" collapsed="false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customFormat="false" ht="15.75" hidden="false" customHeight="true" outlineLevel="0" collapsed="false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customFormat="false" ht="15.75" hidden="false" customHeight="true" outlineLevel="0" collapsed="false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customFormat="false" ht="15.75" hidden="false" customHeight="true" outlineLevel="0" collapsed="false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customFormat="false" ht="15.75" hidden="false" customHeight="true" outlineLevel="0" collapsed="false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customFormat="false" ht="15.75" hidden="false" customHeight="true" outlineLevel="0" collapsed="false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customFormat="false" ht="15.75" hidden="false" customHeight="true" outlineLevel="0" collapsed="false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customFormat="false" ht="15.75" hidden="false" customHeight="true" outlineLevel="0" collapsed="false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customFormat="false" ht="15.75" hidden="false" customHeight="true" outlineLevel="0" collapsed="false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customFormat="false" ht="15.75" hidden="false" customHeight="true" outlineLevel="0" collapsed="false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customFormat="false" ht="15.75" hidden="false" customHeight="true" outlineLevel="0" collapsed="false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customFormat="false" ht="15.75" hidden="false" customHeight="true" outlineLevel="0" collapsed="false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customFormat="false" ht="15.75" hidden="false" customHeight="true" outlineLevel="0" collapsed="false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customFormat="false" ht="15.75" hidden="false" customHeight="true" outlineLevel="0" collapsed="false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customFormat="false" ht="15.75" hidden="false" customHeight="true" outlineLevel="0" collapsed="false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customFormat="false" ht="15.75" hidden="false" customHeight="true" outlineLevel="0" collapsed="false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customFormat="false" ht="15.75" hidden="false" customHeight="true" outlineLevel="0" collapsed="false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customFormat="false" ht="15.75" hidden="false" customHeight="true" outlineLevel="0" collapsed="false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customFormat="false" ht="15.75" hidden="false" customHeight="true" outlineLevel="0" collapsed="false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customFormat="false" ht="15.75" hidden="false" customHeight="true" outlineLevel="0" collapsed="false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customFormat="false" ht="15.75" hidden="false" customHeight="true" outlineLevel="0" collapsed="false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customFormat="false" ht="15.75" hidden="false" customHeight="true" outlineLevel="0" collapsed="false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customFormat="false" ht="15.75" hidden="false" customHeight="true" outlineLevel="0" collapsed="false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customFormat="false" ht="15.75" hidden="false" customHeight="true" outlineLevel="0" collapsed="false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customFormat="false" ht="15.75" hidden="false" customHeight="true" outlineLevel="0" collapsed="false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customFormat="false" ht="15.75" hidden="false" customHeight="true" outlineLevel="0" collapsed="false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customFormat="false" ht="15.75" hidden="false" customHeight="true" outlineLevel="0" collapsed="false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customFormat="false" ht="15.75" hidden="false" customHeight="true" outlineLevel="0" collapsed="false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customFormat="false" ht="15.75" hidden="false" customHeight="true" outlineLevel="0" collapsed="false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customFormat="false" ht="15.75" hidden="false" customHeight="true" outlineLevel="0" collapsed="false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customFormat="false" ht="15.75" hidden="false" customHeight="true" outlineLevel="0" collapsed="false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customFormat="false" ht="15.75" hidden="false" customHeight="true" outlineLevel="0" collapsed="false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customFormat="false" ht="15.75" hidden="false" customHeight="true" outlineLevel="0" collapsed="false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customFormat="false" ht="15.75" hidden="false" customHeight="true" outlineLevel="0" collapsed="false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customFormat="false" ht="15.75" hidden="false" customHeight="true" outlineLevel="0" collapsed="false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customFormat="false" ht="15.75" hidden="false" customHeight="true" outlineLevel="0" collapsed="false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customFormat="false" ht="15.75" hidden="false" customHeight="true" outlineLevel="0" collapsed="false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customFormat="false" ht="15.75" hidden="false" customHeight="true" outlineLevel="0" collapsed="false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customFormat="false" ht="15.75" hidden="false" customHeight="true" outlineLevel="0" collapsed="false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customFormat="false" ht="15.75" hidden="false" customHeight="true" outlineLevel="0" collapsed="false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customFormat="false" ht="15.75" hidden="false" customHeight="true" outlineLevel="0" collapsed="false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customFormat="false" ht="15.75" hidden="false" customHeight="true" outlineLevel="0" collapsed="false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customFormat="false" ht="15.75" hidden="false" customHeight="true" outlineLevel="0" collapsed="false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customFormat="false" ht="15.75" hidden="false" customHeight="true" outlineLevel="0" collapsed="false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customFormat="false" ht="15.75" hidden="false" customHeight="true" outlineLevel="0" collapsed="false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customFormat="false" ht="15.75" hidden="false" customHeight="true" outlineLevel="0" collapsed="false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customFormat="false" ht="15.75" hidden="false" customHeight="true" outlineLevel="0" collapsed="false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customFormat="false" ht="15.75" hidden="false" customHeight="true" outlineLevel="0" collapsed="false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customFormat="false" ht="15.75" hidden="false" customHeight="true" outlineLevel="0" collapsed="false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customFormat="false" ht="15.75" hidden="false" customHeight="true" outlineLevel="0" collapsed="false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customFormat="false" ht="15.75" hidden="false" customHeight="true" outlineLevel="0" collapsed="false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customFormat="false" ht="15.75" hidden="false" customHeight="true" outlineLevel="0" collapsed="false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customFormat="false" ht="15.75" hidden="false" customHeight="true" outlineLevel="0" collapsed="false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customFormat="false" ht="15.75" hidden="false" customHeight="true" outlineLevel="0" collapsed="false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customFormat="false" ht="15.75" hidden="false" customHeight="true" outlineLevel="0" collapsed="false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customFormat="false" ht="15.75" hidden="false" customHeight="true" outlineLevel="0" collapsed="false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customFormat="false" ht="15.75" hidden="false" customHeight="true" outlineLevel="0" collapsed="false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customFormat="false" ht="15.75" hidden="false" customHeight="true" outlineLevel="0" collapsed="false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customFormat="false" ht="15.75" hidden="false" customHeight="true" outlineLevel="0" collapsed="false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customFormat="false" ht="15.75" hidden="false" customHeight="true" outlineLevel="0" collapsed="false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8">
    <mergeCell ref="A1:E1"/>
    <mergeCell ref="A2:E2"/>
    <mergeCell ref="A9:E9"/>
    <mergeCell ref="A10:E10"/>
    <mergeCell ref="A19:E19"/>
    <mergeCell ref="A23:E23"/>
    <mergeCell ref="A26:E26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46"/>
    <col collapsed="false" customWidth="true" hidden="false" outlineLevel="0" max="6" min="5" style="1" width="20"/>
    <col collapsed="false" customWidth="true" hidden="false" outlineLevel="0" max="26" min="7" style="1" width="8.57"/>
  </cols>
  <sheetData>
    <row r="1" customFormat="false" ht="27.75" hidden="false" customHeight="true" outlineLevel="0" collapsed="false">
      <c r="A1" s="152" t="s">
        <v>277</v>
      </c>
      <c r="B1" s="152"/>
      <c r="C1" s="152"/>
      <c r="D1" s="152"/>
      <c r="E1" s="152"/>
      <c r="F1" s="152"/>
    </row>
    <row r="2" customFormat="false" ht="30" hidden="false" customHeight="true" outlineLevel="0" collapsed="false">
      <c r="A2" s="157" t="s">
        <v>278</v>
      </c>
      <c r="B2" s="157"/>
      <c r="C2" s="157"/>
      <c r="D2" s="157"/>
      <c r="E2" s="157"/>
      <c r="F2" s="157"/>
    </row>
    <row r="4" customFormat="false" ht="15" hidden="false" customHeight="true" outlineLevel="0" collapsed="false">
      <c r="A4" s="51" t="s">
        <v>279</v>
      </c>
      <c r="B4" s="51" t="s">
        <v>280</v>
      </c>
      <c r="C4" s="51" t="s">
        <v>281</v>
      </c>
      <c r="D4" s="51" t="s">
        <v>282</v>
      </c>
      <c r="E4" s="51" t="s">
        <v>283</v>
      </c>
      <c r="F4" s="51" t="s">
        <v>284</v>
      </c>
    </row>
    <row r="5" customFormat="false" ht="15" hidden="false" customHeight="true" outlineLevel="0" collapsed="false">
      <c r="A5" s="169" t="n">
        <v>46280</v>
      </c>
      <c r="B5" s="170" t="s">
        <v>285</v>
      </c>
      <c r="C5" s="170" t="s">
        <v>286</v>
      </c>
      <c r="D5" s="170" t="s">
        <v>287</v>
      </c>
      <c r="E5" s="170" t="s">
        <v>288</v>
      </c>
      <c r="F5" s="170" t="s">
        <v>289</v>
      </c>
    </row>
    <row r="6" customFormat="false" ht="27.75" hidden="false" customHeight="true" outlineLevel="0" collapsed="false">
      <c r="A6" s="171" t="n">
        <v>46280</v>
      </c>
      <c r="B6" s="172" t="s">
        <v>285</v>
      </c>
      <c r="C6" s="172" t="s">
        <v>290</v>
      </c>
      <c r="D6" s="172" t="s">
        <v>291</v>
      </c>
      <c r="E6" s="172" t="s">
        <v>130</v>
      </c>
      <c r="F6" s="172" t="s">
        <v>292</v>
      </c>
    </row>
    <row r="7" customFormat="false" ht="27.75" hidden="false" customHeight="true" outlineLevel="0" collapsed="false">
      <c r="A7" s="169" t="n">
        <v>46280</v>
      </c>
      <c r="B7" s="170" t="s">
        <v>285</v>
      </c>
      <c r="C7" s="170" t="s">
        <v>293</v>
      </c>
      <c r="D7" s="170" t="s">
        <v>294</v>
      </c>
      <c r="E7" s="170" t="s">
        <v>295</v>
      </c>
      <c r="F7" s="170" t="s">
        <v>296</v>
      </c>
    </row>
    <row r="8" customFormat="false" ht="15" hidden="false" customHeight="true" outlineLevel="0" collapsed="false">
      <c r="A8" s="173" t="n">
        <v>46280</v>
      </c>
      <c r="B8" s="174" t="s">
        <v>297</v>
      </c>
      <c r="C8" s="174" t="s">
        <v>298</v>
      </c>
      <c r="D8" s="174" t="s">
        <v>299</v>
      </c>
      <c r="E8" s="174" t="s">
        <v>300</v>
      </c>
      <c r="F8" s="174" t="s">
        <v>301</v>
      </c>
    </row>
    <row r="9" customFormat="false" ht="15" hidden="false" customHeight="true" outlineLevel="0" collapsed="false">
      <c r="A9" s="173" t="n">
        <v>46280</v>
      </c>
      <c r="B9" s="174" t="s">
        <v>297</v>
      </c>
      <c r="C9" s="174" t="s">
        <v>302</v>
      </c>
      <c r="D9" s="174" t="s">
        <v>303</v>
      </c>
      <c r="E9" s="174" t="s">
        <v>304</v>
      </c>
      <c r="F9" s="174" t="s">
        <v>305</v>
      </c>
    </row>
    <row r="10" customFormat="false" ht="15" hidden="false" customHeight="true" outlineLevel="0" collapsed="false">
      <c r="A10" s="175"/>
      <c r="B10" s="176"/>
      <c r="C10" s="176"/>
      <c r="D10" s="176"/>
      <c r="E10" s="176"/>
      <c r="F10" s="176"/>
    </row>
    <row r="11" customFormat="false" ht="15" hidden="false" customHeight="true" outlineLevel="0" collapsed="false">
      <c r="A11" s="175"/>
      <c r="B11" s="176"/>
      <c r="C11" s="176"/>
      <c r="D11" s="176"/>
      <c r="E11" s="176"/>
      <c r="F11" s="176"/>
    </row>
    <row r="12" customFormat="false" ht="15" hidden="false" customHeight="true" outlineLevel="0" collapsed="false">
      <c r="A12" s="175"/>
      <c r="B12" s="176"/>
      <c r="C12" s="176"/>
      <c r="D12" s="176"/>
      <c r="E12" s="176"/>
      <c r="F12" s="176"/>
    </row>
    <row r="13" customFormat="false" ht="15" hidden="false" customHeight="true" outlineLevel="0" collapsed="false">
      <c r="A13" s="175"/>
      <c r="B13" s="176"/>
      <c r="C13" s="176"/>
      <c r="D13" s="176"/>
      <c r="E13" s="176"/>
      <c r="F13" s="176"/>
    </row>
    <row r="14" customFormat="false" ht="15" hidden="false" customHeight="true" outlineLevel="0" collapsed="false">
      <c r="A14" s="175"/>
      <c r="B14" s="176"/>
      <c r="C14" s="176"/>
      <c r="D14" s="176"/>
      <c r="E14" s="176"/>
      <c r="F14" s="176"/>
    </row>
    <row r="15" customFormat="false" ht="15" hidden="false" customHeight="true" outlineLevel="0" collapsed="false">
      <c r="A15" s="175"/>
      <c r="B15" s="176"/>
      <c r="C15" s="176"/>
      <c r="D15" s="176"/>
      <c r="E15" s="176"/>
      <c r="F15" s="176"/>
    </row>
    <row r="16" customFormat="false" ht="15" hidden="false" customHeight="true" outlineLevel="0" collapsed="false">
      <c r="A16" s="175"/>
      <c r="B16" s="176"/>
      <c r="C16" s="176"/>
      <c r="D16" s="176"/>
      <c r="E16" s="176"/>
      <c r="F16" s="176"/>
    </row>
    <row r="17" customFormat="false" ht="15" hidden="false" customHeight="true" outlineLevel="0" collapsed="false">
      <c r="A17" s="175"/>
      <c r="B17" s="176"/>
      <c r="C17" s="176"/>
      <c r="D17" s="176"/>
      <c r="E17" s="176"/>
      <c r="F17" s="176"/>
    </row>
    <row r="18" customFormat="false" ht="15" hidden="false" customHeight="true" outlineLevel="0" collapsed="false">
      <c r="A18" s="175"/>
      <c r="B18" s="176"/>
      <c r="C18" s="176"/>
      <c r="D18" s="176"/>
      <c r="E18" s="176"/>
      <c r="F18" s="176"/>
    </row>
    <row r="19" customFormat="false" ht="15" hidden="false" customHeight="true" outlineLevel="0" collapsed="false">
      <c r="A19" s="175"/>
      <c r="B19" s="176"/>
      <c r="C19" s="176"/>
      <c r="D19" s="176"/>
      <c r="E19" s="176"/>
      <c r="F19" s="176"/>
    </row>
    <row r="20" customFormat="false" ht="15" hidden="false" customHeight="true" outlineLevel="0" collapsed="false">
      <c r="A20" s="175"/>
      <c r="B20" s="176"/>
      <c r="C20" s="176"/>
      <c r="D20" s="176"/>
      <c r="E20" s="176"/>
      <c r="F20" s="176"/>
    </row>
    <row r="21" customFormat="false" ht="15.75" hidden="false" customHeight="true" outlineLevel="0" collapsed="false">
      <c r="A21" s="175"/>
      <c r="B21" s="176"/>
      <c r="C21" s="176"/>
      <c r="D21" s="176"/>
      <c r="E21" s="176"/>
      <c r="F21" s="176"/>
    </row>
    <row r="22" customFormat="false" ht="15.75" hidden="false" customHeight="true" outlineLevel="0" collapsed="false">
      <c r="A22" s="175"/>
      <c r="B22" s="176"/>
      <c r="C22" s="176"/>
      <c r="D22" s="176"/>
      <c r="E22" s="176"/>
      <c r="F22" s="176"/>
    </row>
    <row r="23" customFormat="false" ht="15.75" hidden="false" customHeight="true" outlineLevel="0" collapsed="false">
      <c r="A23" s="175"/>
      <c r="B23" s="176"/>
      <c r="C23" s="176"/>
      <c r="D23" s="176"/>
      <c r="E23" s="176"/>
      <c r="F23" s="176"/>
    </row>
    <row r="24" customFormat="false" ht="15.75" hidden="false" customHeight="true" outlineLevel="0" collapsed="false">
      <c r="A24" s="175"/>
      <c r="B24" s="176"/>
      <c r="C24" s="176"/>
      <c r="D24" s="176"/>
      <c r="E24" s="176"/>
      <c r="F24" s="176"/>
    </row>
    <row r="25" customFormat="false" ht="15.75" hidden="false" customHeight="true" outlineLevel="0" collapsed="false">
      <c r="A25" s="175"/>
      <c r="B25" s="176"/>
      <c r="C25" s="176"/>
      <c r="D25" s="176"/>
      <c r="E25" s="176"/>
      <c r="F25" s="176"/>
    </row>
    <row r="26" customFormat="false" ht="15.75" hidden="false" customHeight="true" outlineLevel="0" collapsed="false">
      <c r="A26" s="175"/>
      <c r="B26" s="176"/>
      <c r="C26" s="176"/>
      <c r="D26" s="176"/>
      <c r="E26" s="176"/>
      <c r="F26" s="176"/>
    </row>
    <row r="27" customFormat="false" ht="15.75" hidden="false" customHeight="true" outlineLevel="0" collapsed="false">
      <c r="A27" s="175"/>
      <c r="B27" s="176"/>
      <c r="C27" s="176"/>
      <c r="D27" s="176"/>
      <c r="E27" s="176"/>
      <c r="F27" s="176"/>
    </row>
    <row r="28" customFormat="false" ht="15.75" hidden="false" customHeight="true" outlineLevel="0" collapsed="false">
      <c r="A28" s="175"/>
      <c r="B28" s="176"/>
      <c r="C28" s="176"/>
      <c r="D28" s="176"/>
      <c r="E28" s="176"/>
      <c r="F28" s="176"/>
    </row>
    <row r="29" customFormat="false" ht="15.75" hidden="false" customHeight="true" outlineLevel="0" collapsed="false">
      <c r="A29" s="175"/>
      <c r="B29" s="176"/>
      <c r="C29" s="176"/>
      <c r="D29" s="176"/>
      <c r="E29" s="176"/>
      <c r="F29" s="176"/>
    </row>
    <row r="30" customFormat="false" ht="15.75" hidden="false" customHeight="true" outlineLevel="0" collapsed="false">
      <c r="A30" s="175"/>
      <c r="B30" s="176"/>
      <c r="C30" s="176"/>
      <c r="D30" s="176"/>
      <c r="E30" s="176"/>
      <c r="F30" s="176"/>
    </row>
    <row r="31" customFormat="false" ht="15.75" hidden="false" customHeight="true" outlineLevel="0" collapsed="false">
      <c r="A31" s="175"/>
      <c r="B31" s="176"/>
      <c r="C31" s="176"/>
      <c r="D31" s="176"/>
      <c r="E31" s="176"/>
      <c r="F31" s="176"/>
    </row>
    <row r="32" customFormat="false" ht="15.75" hidden="false" customHeight="true" outlineLevel="0" collapsed="false">
      <c r="A32" s="175"/>
      <c r="B32" s="176"/>
      <c r="C32" s="176"/>
      <c r="D32" s="176"/>
      <c r="E32" s="176"/>
      <c r="F32" s="176"/>
    </row>
    <row r="33" customFormat="false" ht="15.75" hidden="false" customHeight="true" outlineLevel="0" collapsed="false">
      <c r="A33" s="175"/>
      <c r="B33" s="176"/>
      <c r="C33" s="176"/>
      <c r="D33" s="176"/>
      <c r="E33" s="176"/>
      <c r="F33" s="176"/>
    </row>
    <row r="34" customFormat="false" ht="15.75" hidden="false" customHeight="true" outlineLevel="0" collapsed="false">
      <c r="A34" s="175"/>
      <c r="B34" s="176"/>
      <c r="C34" s="176"/>
      <c r="D34" s="176"/>
      <c r="E34" s="176"/>
      <c r="F34" s="176"/>
    </row>
    <row r="35" customFormat="false" ht="15.75" hidden="false" customHeight="true" outlineLevel="0" collapsed="false">
      <c r="A35" s="175"/>
      <c r="B35" s="176"/>
      <c r="C35" s="176"/>
      <c r="D35" s="176"/>
      <c r="E35" s="176"/>
      <c r="F35" s="176"/>
    </row>
    <row r="36" customFormat="false" ht="15.75" hidden="false" customHeight="true" outlineLevel="0" collapsed="false">
      <c r="A36" s="175"/>
      <c r="B36" s="176"/>
      <c r="C36" s="176"/>
      <c r="D36" s="176"/>
      <c r="E36" s="176"/>
      <c r="F36" s="176"/>
    </row>
    <row r="37" customFormat="false" ht="15.75" hidden="false" customHeight="true" outlineLevel="0" collapsed="false">
      <c r="A37" s="175"/>
      <c r="B37" s="176"/>
      <c r="C37" s="176"/>
      <c r="D37" s="176"/>
      <c r="E37" s="176"/>
      <c r="F37" s="176"/>
    </row>
    <row r="38" customFormat="false" ht="15.75" hidden="false" customHeight="true" outlineLevel="0" collapsed="false">
      <c r="A38" s="175"/>
      <c r="B38" s="176"/>
      <c r="C38" s="176"/>
      <c r="D38" s="176"/>
      <c r="E38" s="176"/>
      <c r="F38" s="176"/>
    </row>
    <row r="39" customFormat="false" ht="15.75" hidden="false" customHeight="true" outlineLevel="0" collapsed="false">
      <c r="A39" s="175"/>
      <c r="B39" s="176"/>
      <c r="C39" s="176"/>
      <c r="D39" s="176"/>
      <c r="E39" s="176"/>
      <c r="F39" s="176"/>
    </row>
    <row r="40" customFormat="false" ht="15.75" hidden="false" customHeight="true" outlineLevel="0" collapsed="false">
      <c r="A40" s="175"/>
      <c r="B40" s="176"/>
      <c r="C40" s="176"/>
      <c r="D40" s="176"/>
      <c r="E40" s="176"/>
      <c r="F40" s="176"/>
    </row>
    <row r="41" customFormat="false" ht="15.75" hidden="false" customHeight="true" outlineLevel="0" collapsed="false">
      <c r="A41" s="175"/>
      <c r="B41" s="176"/>
      <c r="C41" s="176"/>
      <c r="D41" s="176"/>
      <c r="E41" s="176"/>
      <c r="F41" s="176"/>
    </row>
    <row r="42" customFormat="false" ht="15.75" hidden="false" customHeight="true" outlineLevel="0" collapsed="false">
      <c r="A42" s="175"/>
      <c r="B42" s="176"/>
      <c r="C42" s="176"/>
      <c r="D42" s="176"/>
      <c r="E42" s="176"/>
      <c r="F42" s="176"/>
    </row>
    <row r="43" customFormat="false" ht="15.75" hidden="false" customHeight="true" outlineLevel="0" collapsed="false">
      <c r="A43" s="175"/>
      <c r="B43" s="176"/>
      <c r="C43" s="176"/>
      <c r="D43" s="176"/>
      <c r="E43" s="176"/>
      <c r="F43" s="176"/>
    </row>
    <row r="44" customFormat="false" ht="15.75" hidden="false" customHeight="true" outlineLevel="0" collapsed="false">
      <c r="A44" s="175"/>
      <c r="B44" s="176"/>
      <c r="C44" s="176"/>
      <c r="D44" s="176"/>
      <c r="E44" s="176"/>
      <c r="F44" s="176"/>
    </row>
    <row r="45" customFormat="false" ht="15.75" hidden="false" customHeight="true" outlineLevel="0" collapsed="false">
      <c r="A45" s="175"/>
      <c r="B45" s="176"/>
      <c r="C45" s="176"/>
      <c r="D45" s="176"/>
      <c r="E45" s="176"/>
      <c r="F45" s="176"/>
    </row>
    <row r="46" customFormat="false" ht="15.75" hidden="false" customHeight="true" outlineLevel="0" collapsed="false">
      <c r="A46" s="175"/>
      <c r="B46" s="176"/>
      <c r="C46" s="176"/>
      <c r="D46" s="176"/>
      <c r="E46" s="176"/>
      <c r="F46" s="176"/>
    </row>
    <row r="47" customFormat="false" ht="15.75" hidden="false" customHeight="true" outlineLevel="0" collapsed="false">
      <c r="A47" s="175"/>
      <c r="B47" s="176"/>
      <c r="C47" s="176"/>
      <c r="D47" s="176"/>
      <c r="E47" s="176"/>
      <c r="F47" s="176"/>
    </row>
    <row r="48" customFormat="false" ht="15.75" hidden="false" customHeight="true" outlineLevel="0" collapsed="false">
      <c r="A48" s="175"/>
      <c r="B48" s="176"/>
      <c r="C48" s="176"/>
      <c r="D48" s="176"/>
      <c r="E48" s="176"/>
      <c r="F48" s="176"/>
    </row>
    <row r="49" customFormat="false" ht="15.75" hidden="false" customHeight="true" outlineLevel="0" collapsed="false">
      <c r="A49" s="175"/>
      <c r="B49" s="176"/>
      <c r="C49" s="176"/>
      <c r="D49" s="176"/>
      <c r="E49" s="176"/>
      <c r="F49" s="176"/>
    </row>
    <row r="50" customFormat="false" ht="15.75" hidden="false" customHeight="true" outlineLevel="0" collapsed="false">
      <c r="A50" s="175"/>
      <c r="B50" s="176"/>
      <c r="C50" s="176"/>
      <c r="D50" s="176"/>
      <c r="E50" s="176"/>
      <c r="F50" s="176"/>
    </row>
    <row r="51" customFormat="false" ht="15.75" hidden="false" customHeight="true" outlineLevel="0" collapsed="false">
      <c r="A51" s="175"/>
      <c r="B51" s="176"/>
      <c r="C51" s="176"/>
      <c r="D51" s="176"/>
      <c r="E51" s="176"/>
      <c r="F51" s="176"/>
    </row>
    <row r="52" customFormat="false" ht="15.75" hidden="false" customHeight="true" outlineLevel="0" collapsed="false">
      <c r="A52" s="175"/>
      <c r="B52" s="176"/>
      <c r="C52" s="176"/>
      <c r="D52" s="176"/>
      <c r="E52" s="176"/>
      <c r="F52" s="176"/>
    </row>
    <row r="53" customFormat="false" ht="15.75" hidden="false" customHeight="true" outlineLevel="0" collapsed="false">
      <c r="A53" s="175"/>
      <c r="B53" s="176"/>
      <c r="C53" s="176"/>
      <c r="D53" s="176"/>
      <c r="E53" s="176"/>
      <c r="F53" s="176"/>
    </row>
    <row r="54" customFormat="false" ht="15.75" hidden="false" customHeight="true" outlineLevel="0" collapsed="false">
      <c r="A54" s="175"/>
      <c r="B54" s="176"/>
      <c r="C54" s="176"/>
      <c r="D54" s="176"/>
      <c r="E54" s="176"/>
      <c r="F54" s="176"/>
    </row>
    <row r="55" customFormat="false" ht="15.75" hidden="false" customHeight="true" outlineLevel="0" collapsed="false">
      <c r="A55" s="175"/>
      <c r="B55" s="176"/>
      <c r="C55" s="176"/>
      <c r="D55" s="176"/>
      <c r="E55" s="176"/>
      <c r="F55" s="176"/>
    </row>
    <row r="56" customFormat="false" ht="15.75" hidden="false" customHeight="true" outlineLevel="0" collapsed="false">
      <c r="A56" s="175"/>
      <c r="B56" s="176"/>
      <c r="C56" s="176"/>
      <c r="D56" s="176"/>
      <c r="E56" s="176"/>
      <c r="F56" s="176"/>
    </row>
    <row r="57" customFormat="false" ht="15.75" hidden="false" customHeight="true" outlineLevel="0" collapsed="false">
      <c r="A57" s="175"/>
      <c r="B57" s="176"/>
      <c r="C57" s="176"/>
      <c r="D57" s="176"/>
      <c r="E57" s="176"/>
      <c r="F57" s="176"/>
    </row>
    <row r="58" customFormat="false" ht="15.75" hidden="false" customHeight="true" outlineLevel="0" collapsed="false">
      <c r="A58" s="175"/>
      <c r="B58" s="176"/>
      <c r="C58" s="176"/>
      <c r="D58" s="176"/>
      <c r="E58" s="176"/>
      <c r="F58" s="176"/>
    </row>
    <row r="59" customFormat="false" ht="15.75" hidden="false" customHeight="true" outlineLevel="0" collapsed="false">
      <c r="A59" s="175"/>
      <c r="B59" s="176"/>
      <c r="C59" s="176"/>
      <c r="D59" s="176"/>
      <c r="E59" s="176"/>
      <c r="F59" s="176"/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2026-09-15T15:21:49Z</dcterms:created>
  <dc:creator>openpyxl</dc:creator>
  <dc:description/>
  <dc:language>en-US</dc:language>
  <cp:lastModifiedBy/>
  <dcterms:modified xsi:type="dcterms:W3CDTF">2026-09-15T15:23:01Z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