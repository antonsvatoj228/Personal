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" sheetId="1" state="visible" r:id="rId3"/>
    <sheet name="Калькулятор" sheetId="2" state="visible" r:id="rId4"/>
    <sheet name="Керування прайсом" sheetId="3" state="visible" r:id="rId5"/>
    <sheet name="Контроль і порівняння" sheetId="4" state="visible" r:id="rId6"/>
    <sheet name="Моделювання" sheetId="5" state="visible" r:id="rId7"/>
    <sheet name="Матриця категорій" sheetId="6" state="visible" r:id="rId8"/>
    <sheet name="Базові ціни" sheetId="7" state="visible" r:id="rId9"/>
    <sheet name="Довідник категорій" sheetId="8" state="visible" r:id="rId10"/>
    <sheet name="Додаткові послуги" sheetId="9" state="visible" r:id="rId11"/>
    <sheet name="Журнал змін" sheetId="10" state="visible" r:id="rId12"/>
  </sheets>
  <definedNames>
    <definedName function="false" hidden="false" localSheetId="1" name="_xlnm.Print_Area" vbProcedure="false">Калькулятор!$A$1:$F$29</definedName>
    <definedName function="false" hidden="false" localSheetId="3" name="_xlnm.Print_Area" vbProcedure="false">'Контроль і порівняння'!$A$1:$I$24</definedName>
    <definedName function="false" hidden="false" localSheetId="3" name="_xlnm.Print_Titles" vbProcedure="false">'Контроль і порівняння'!$1:$6</definedName>
    <definedName function="false" hidden="false" localSheetId="0" name="_xlnm.Print_Area" vbProcedure="false">Прайс!$A$1:$S$26</definedName>
    <definedName function="false" hidden="false" localSheetId="0" name="_xlnm.Print_Titles" vbProcedure="false">Прайс!$1:$8</definedName>
    <definedName function="false" hidden="false" name="SPA_РОЛЬ" vbProcedure="false">'Керування прайсом'!$H$61:$H$62</definedName>
    <definedName function="false" hidden="false" name="SPA_ЦІНИ" vbProcedure="false">'Керування прайсом'!$I$61:$DX$62</definedName>
    <definedName function="false" hidden="false" name="БАЗА_RO" vbProcedure="false">'Керування прайсом'!$I$12:$DX$15</definedName>
    <definedName function="false" hidden="false" name="БАЗА_КАТ" vbProcedure="false">'Керування прайсом'!$H$12:$H$15</definedName>
    <definedName function="false" hidden="false" name="ДОВ_BOOKING" vbProcedure="false">'Довідник категорій'!$B$5:$B$22</definedName>
    <definedName function="false" hidden="false" name="ДОВ_SPA" vbProcedure="false">'Довідник категорій'!$I$5:$I$22</definedName>
    <definedName function="false" hidden="false" name="ДОВ_ВКЛ" vbProcedure="false">'Довідник категорій'!$F$5:$F$22</definedName>
    <definedName function="false" hidden="false" name="ДОВ_ГРУПА" vbProcedure="false">'Довідник категорій'!$C$5:$C$22</definedName>
    <definedName function="false" hidden="false" name="ДОВ_МІН" vbProcedure="false">'Довідник категорій'!$E$5:$E$22</definedName>
    <definedName function="false" hidden="false" name="ДОВ_МАКС" vbProcedure="false">'Довідник категорій'!$G$5:$G$22</definedName>
    <definedName function="false" hidden="false" name="ДОВ_ОПОРА" vbProcedure="false">'Довідник категорій'!$D$5:$D$22</definedName>
    <definedName function="false" hidden="false" name="ДОВ_РОЛЬ" vbProcedure="false">'Довідник категорій'!$H$5:$H$22</definedName>
    <definedName function="false" hidden="false" name="ЕТАЛОН_ПЛ" vbProcedure="false">'Керування прайсом'!$G$10</definedName>
    <definedName function="false" hidden="false" name="ЗНИЖКА_BBSPA" vbProcedure="false">'Керування прайсом'!$G$8</definedName>
    <definedName function="false" hidden="false" name="КАТЕГОРІЇ" vbProcedure="false">'Довідник категорій'!$A$5:$A$22</definedName>
    <definedName function="false" hidden="false" name="КРОК_ГОСТЯ" vbProcedure="false">'Керування прайсом'!$G$6</definedName>
    <definedName function="false" hidden="false" name="МНОЖ_КАТ" vbProcedure="false">'Керування прайсом'!$H$33:$H$50</definedName>
    <definedName function="false" hidden="false" name="МНОЖНИКИ" vbProcedure="false">'Керування прайсом'!$I$33:$DX$50</definedName>
    <definedName function="false" hidden="false" name="ОКРУГЛЕННЯ" vbProcedure="false">'Керування прайсом'!$G$7</definedName>
    <definedName function="false" hidden="false" name="ПАКЕТИ_КЛЮЧ" vbProcedure="false">'Керування прайсом'!$H$54:$H$57</definedName>
    <definedName function="false" hidden="false" name="ПАКЕТИ_ЦІНИ" vbProcedure="false">'Керування прайсом'!$I$54:$DX$57</definedName>
    <definedName function="false" hidden="false" name="ПЕРЕМИКАЧІ" vbProcedure="false">'Керування прайсом'!$I$66:$DX$68</definedName>
    <definedName function="false" hidden="false" name="ПЕРШИЙ_ВИХІДНИЙ" vbProcedure="false">'Керування прайсом'!$G$11</definedName>
    <definedName function="false" hidden="false" name="ПЛ_ДАТА_З" vbProcedure="false">'Керування прайсом'!$B$6:$B$65</definedName>
    <definedName function="false" hidden="false" name="ПЛ_ДАТА_ПО" vbProcedure="false">'Керування прайсом'!$C$6:$C$65</definedName>
    <definedName function="false" hidden="false" name="ПЛ_РЯДОК" vbProcedure="false">'Керування прайсом'!$I$2:$DX$2</definedName>
    <definedName function="false" hidden="false" name="ПЛ_СТАТУС" vbProcedure="false">'Керування прайсом'!$D$6:$D$65</definedName>
    <definedName function="false" hidden="false" name="ПРАЙС_ЛИСТИ" vbProcedure="false">'Керування прайсом'!$A$6:$A$65</definedName>
    <definedName function="false" hidden="false" name="СПИСОК_ДНІВ" vbProcedure="false">'Керування прайсом'!$F$32:$F$33</definedName>
    <definedName function="false" hidden="false" name="СПИСОК_ПАКЕТІВ" vbProcedure="false">'Керування прайсом'!$F$25:$F$29</definedName>
    <definedName function="false" hidden="false" name="СПИСОК_СТАТУСІВ" vbProcedure="false">'Керування прайсом'!$F$36:$F$38</definedName>
    <definedName function="false" hidden="false" name="ТАРИФИ_ЗНИЖКИ" vbProcedure="false">'Керування прайсом'!$G$14:$G$21</definedName>
    <definedName function="false" hidden="false" name="ТАРИФИ_НАЗВИ" vbProcedure="false">'Керування прайсом'!$F$14:$F$21</definedName>
    <definedName function="false" hidden="false" name="ТВАРИНИ" vbProcedure="false">'Керування прайсом'!$G$9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<sst xmlns="http://schemas.openxmlformats.org/spreadsheetml/2006/main" count="1330" uniqueCount="287">
  <si>
    <t xml:space="preserve">ТЕХНІЧНІ ДАНІ — НЕ РЕДАГУВАТИ</t>
  </si>
  <si>
    <t xml:space="preserve">Активний прайс-лист</t>
  </si>
  <si>
    <t xml:space="preserve">Осінь 2026 (00-10%)</t>
  </si>
  <si>
    <t xml:space="preserve">колонка прайс-листа</t>
  </si>
  <si>
    <t xml:space="preserve">Тариф (знижка)</t>
  </si>
  <si>
    <t xml:space="preserve">Rack Rate</t>
  </si>
  <si>
    <t xml:space="preserve">знижка тарифу</t>
  </si>
  <si>
    <t xml:space="preserve">Пакет</t>
  </si>
  <si>
    <t xml:space="preserve">ROSPA</t>
  </si>
  <si>
    <t xml:space="preserve">знижка на проживання</t>
  </si>
  <si>
    <t xml:space="preserve">перемикач: пакет</t>
  </si>
  <si>
    <t xml:space="preserve">БУДНІ — кількість гостей</t>
  </si>
  <si>
    <t xml:space="preserve">ВИХІДНІ — кількість гостей</t>
  </si>
  <si>
    <t xml:space="preserve">перемикач: SPA</t>
  </si>
  <si>
    <t xml:space="preserve">Категорія</t>
  </si>
  <si>
    <t xml:space="preserve">Назва на Booking</t>
  </si>
  <si>
    <t xml:space="preserve">Група</t>
  </si>
  <si>
    <t xml:space="preserve">потрібен пакет</t>
  </si>
  <si>
    <t xml:space="preserve">потрібен SPA</t>
  </si>
  <si>
    <t xml:space="preserve">ключ пакета</t>
  </si>
  <si>
    <t xml:space="preserve">період (текст)</t>
  </si>
  <si>
    <t xml:space="preserve">рядок прайс-листа</t>
  </si>
  <si>
    <t xml:space="preserve">заповнених баз RO</t>
  </si>
  <si>
    <t xml:space="preserve">КАЛЬКУЛЯТОР ВАРТОСТІ БРОНЮВАННЯ — BUKOVEL</t>
  </si>
  <si>
    <t xml:space="preserve">Заповнюйте лише жовті клітинки. Калькулятор рахує тією самою формулою, що й лист «Прайс» (одне округлення в кінці), але додатково розділяє дорослих і дітей. Поле «Дата заїзду» необовʼязкове — воно лише підказує прайс-лист і тип дня.</t>
  </si>
  <si>
    <t xml:space="preserve">ВХІДНІ ПАРАМЕТРИ</t>
  </si>
  <si>
    <t xml:space="preserve">РОЗРАХУНОК</t>
  </si>
  <si>
    <t xml:space="preserve">Статус</t>
  </si>
  <si>
    <t xml:space="preserve">Усього гостей</t>
  </si>
  <si>
    <t xml:space="preserve">Шале преміум</t>
  </si>
  <si>
    <t xml:space="preserve">Мін. гостей</t>
  </si>
  <si>
    <t xml:space="preserve">Тип дня</t>
  </si>
  <si>
    <t xml:space="preserve">Будні</t>
  </si>
  <si>
    <t xml:space="preserve">Включено в базову ціну</t>
  </si>
  <si>
    <t xml:space="preserve">Дорослих</t>
  </si>
  <si>
    <t xml:space="preserve">Макс. гостей</t>
  </si>
  <si>
    <t xml:space="preserve">Дітей</t>
  </si>
  <si>
    <t xml:space="preserve">RO будні 1–2, грн (без округлення)</t>
  </si>
  <si>
    <t xml:space="preserve">RO</t>
  </si>
  <si>
    <t xml:space="preserve">Множник ціни</t>
  </si>
  <si>
    <t xml:space="preserve">Кількість тварин</t>
  </si>
  <si>
    <t xml:space="preserve">Множник вихідних</t>
  </si>
  <si>
    <t xml:space="preserve">Кількість ночей</t>
  </si>
  <si>
    <t xml:space="preserve">Додаткових гостей (понад включених)</t>
  </si>
  <si>
    <t xml:space="preserve">Дата заїзду (необовʼязково)</t>
  </si>
  <si>
    <t xml:space="preserve">Знижка на проживання</t>
  </si>
  <si>
    <t xml:space="preserve">Перемикач: знижка на пакет</t>
  </si>
  <si>
    <t xml:space="preserve">Перемикач: знижка на SPA</t>
  </si>
  <si>
    <t xml:space="preserve">Пакет, дорослий, грн</t>
  </si>
  <si>
    <t xml:space="preserve">Пакет, дитина, грн</t>
  </si>
  <si>
    <t xml:space="preserve">Фіксований SPA-візит, грн</t>
  </si>
  <si>
    <t xml:space="preserve">Проживання з тваринами, грн</t>
  </si>
  <si>
    <t xml:space="preserve">Проживання до знижки, грн</t>
  </si>
  <si>
    <t xml:space="preserve">ЦІНА ЗА НІЧ, грн</t>
  </si>
  <si>
    <t xml:space="preserve">ВАРТІСТЬ ПРОЖИВАННЯ, грн</t>
  </si>
  <si>
    <t xml:space="preserve">ПІДКАЗКА ЗА ДАТОЮ ЗАЇЗДУ</t>
  </si>
  <si>
    <t xml:space="preserve">Прайс-лист, що покриває дату</t>
  </si>
  <si>
    <t xml:space="preserve">Тип дня за датою</t>
  </si>
  <si>
    <t xml:space="preserve">Підказка не змінює розрахунок — прайс-лист і тип дня обираються вручну вище.</t>
  </si>
  <si>
    <t xml:space="preserve">КЕРУВАННЯ ПРАЙСОМ — PHOENIX RELAX PARK BUKOVEL</t>
  </si>
  <si>
    <t xml:space="preserve">Три кроки: 1) додайте прайс-лист у наступному вільному рядку зліва; 2) заповніть його блок праворуч; 3) перевірте результат у листі «Прайс». Жовті клітинки — ввід, решта рахується автоматично.</t>
  </si>
  <si>
    <t xml:space="preserve">1. ПРАЙС-ЛИСТИ / ПЕРІОДИ</t>
  </si>
  <si>
    <t xml:space="preserve">2. ГЛОБАЛЬНІ ПАРАМЕТРИ</t>
  </si>
  <si>
    <t xml:space="preserve">Прайс-лист</t>
  </si>
  <si>
    <t xml:space="preserve">Дата з</t>
  </si>
  <si>
    <t xml:space="preserve">Дата по</t>
  </si>
  <si>
    <t xml:space="preserve">Примітка / оновлено</t>
  </si>
  <si>
    <t xml:space="preserve">Активний прайс-лист (показується у «Прайс»)</t>
  </si>
  <si>
    <t xml:space="preserve">ПРАЙС-ЛИСТ</t>
  </si>
  <si>
    <t xml:space="preserve">Осінь 2025</t>
  </si>
  <si>
    <t xml:space="preserve">Чернетка</t>
  </si>
  <si>
    <t xml:space="preserve">Крок за 3-го й кожного наступного гостя, грн</t>
  </si>
  <si>
    <t xml:space="preserve">Період дії</t>
  </si>
  <si>
    <t xml:space="preserve">Осінь 2026 База</t>
  </si>
  <si>
    <t xml:space="preserve">Крок округлення, грн</t>
  </si>
  <si>
    <t xml:space="preserve">Активний</t>
  </si>
  <si>
    <t xml:space="preserve">Знижка на проживання для пакета BBSPA</t>
  </si>
  <si>
    <t xml:space="preserve">Оновлено</t>
  </si>
  <si>
    <t xml:space="preserve">Осінь 2026 (Канікули) 0-10%</t>
  </si>
  <si>
    <t xml:space="preserve">Проживання з тваринами, грн / ніч</t>
  </si>
  <si>
    <t xml:space="preserve">Осінь 2026 (10-20%)</t>
  </si>
  <si>
    <t xml:space="preserve">Еталонний прайс-лист для Δ (варіант B)</t>
  </si>
  <si>
    <t xml:space="preserve">БАЗОВІ RO-ЦІНИ — 1–2 ОСОБИ</t>
  </si>
  <si>
    <t xml:space="preserve">Осінь 2026 (Канікули) 10%-20%</t>
  </si>
  <si>
    <t xml:space="preserve">Вихідні починаються з дня тижня (1=Пн … 7=Нд)</t>
  </si>
  <si>
    <t xml:space="preserve">Базова категорія</t>
  </si>
  <si>
    <t xml:space="preserve">RO 1–2 ос.</t>
  </si>
  <si>
    <t xml:space="preserve">Вихідні 1–2
(авто)</t>
  </si>
  <si>
    <t xml:space="preserve">Осінь 2026 (20-30%)</t>
  </si>
  <si>
    <t xml:space="preserve">3. ТАРИФИ — ЗНИЖКИ НА ПРОЖИВАННЯ</t>
  </si>
  <si>
    <t xml:space="preserve">Міні-котедж</t>
  </si>
  <si>
    <t xml:space="preserve">Осінь 2026 (Канікули) 20-30%</t>
  </si>
  <si>
    <t xml:space="preserve">Тариф</t>
  </si>
  <si>
    <t xml:space="preserve">Знижка</t>
  </si>
  <si>
    <t xml:space="preserve">Котедж комфорт класу</t>
  </si>
  <si>
    <t xml:space="preserve">Осінь 2026 (30-40%)</t>
  </si>
  <si>
    <t xml:space="preserve">Апартаменти стандартні 20 м²</t>
  </si>
  <si>
    <t xml:space="preserve">Осінь 2026 (Канікули) 30-40%</t>
  </si>
  <si>
    <t xml:space="preserve">Раннє бронювання -10%</t>
  </si>
  <si>
    <t xml:space="preserve">Апартаменти 1-й поверх 45 м²</t>
  </si>
  <si>
    <t xml:space="preserve">Осінь 2026 (40-50%)</t>
  </si>
  <si>
    <t xml:space="preserve">NON REF -20%</t>
  </si>
  <si>
    <t xml:space="preserve">Осінь 2026 (Канікули) 40-50%</t>
  </si>
  <si>
    <t xml:space="preserve">HAPPY -15%</t>
  </si>
  <si>
    <t xml:space="preserve">Δ МІЖ ОПОРНИМИ КАТЕГОРІЯМИ  (варіант A)</t>
  </si>
  <si>
    <t xml:space="preserve">Осінь 2026 (50-60%)</t>
  </si>
  <si>
    <t xml:space="preserve">Військовий -30%</t>
  </si>
  <si>
    <t xml:space="preserve">Порівняння</t>
  </si>
  <si>
    <t xml:space="preserve">Δ грн</t>
  </si>
  <si>
    <t xml:space="preserve">Δ %</t>
  </si>
  <si>
    <t xml:space="preserve">Осінь 2026 (Канікули) 50-60%</t>
  </si>
  <si>
    <t xml:space="preserve">Інвестор -70%</t>
  </si>
  <si>
    <t xml:space="preserve">Котедж комфорт класу  ↔  Міні-котедж</t>
  </si>
  <si>
    <t xml:space="preserve">Апартаменти стандартні 20 м²  ↔  Міні-котедж</t>
  </si>
  <si>
    <t xml:space="preserve">Апартаменти 1-й поверх 45 м²  ↔  Апартаменти стандартні 20 м²</t>
  </si>
  <si>
    <t xml:space="preserve">4. ДОВІДНИКИ ДЛЯ ВИПАДАЮЧИХ СПИСКІВ</t>
  </si>
  <si>
    <t xml:space="preserve">Δ ДО ЕТАЛОННОГО ПРАЙС-ЛИСТА  (варіант B)</t>
  </si>
  <si>
    <t xml:space="preserve">Пакети</t>
  </si>
  <si>
    <t xml:space="preserve">BB</t>
  </si>
  <si>
    <t xml:space="preserve">BBSPA</t>
  </si>
  <si>
    <t xml:space="preserve">ROSPABB</t>
  </si>
  <si>
    <t xml:space="preserve">Типи дня</t>
  </si>
  <si>
    <t xml:space="preserve">МАТРИЦЯ КАТЕГОРІЙ — МНОЖНИКИ</t>
  </si>
  <si>
    <t xml:space="preserve">Вихідні</t>
  </si>
  <si>
    <t xml:space="preserve">Міні-котедж East Hill</t>
  </si>
  <si>
    <t xml:space="preserve">Статуси</t>
  </si>
  <si>
    <t xml:space="preserve">Шале преміум збільшене</t>
  </si>
  <si>
    <t xml:space="preserve">Архів</t>
  </si>
  <si>
    <t xml:space="preserve">Шале преміум збільшене East Hill</t>
  </si>
  <si>
    <t xml:space="preserve">Президентське шале</t>
  </si>
  <si>
    <t xml:space="preserve">Апартаменти покращені 28 м²</t>
  </si>
  <si>
    <t xml:space="preserve">Апартаменти Люкс 25 м²</t>
  </si>
  <si>
    <t xml:space="preserve">Люкс зі спальнею та вітальнею</t>
  </si>
  <si>
    <t xml:space="preserve">Люкс з видом на гори (з 2-ма спальнями) 61 м²</t>
  </si>
  <si>
    <t xml:space="preserve">Апартаменти 2-кімнатні 1-й поверх</t>
  </si>
  <si>
    <t xml:space="preserve">Апартаменти з ванною 2-й поверх</t>
  </si>
  <si>
    <t xml:space="preserve">Апартаменти 2-х місні стандартні</t>
  </si>
  <si>
    <t xml:space="preserve">Апартаменти 3-й поверх</t>
  </si>
  <si>
    <t xml:space="preserve">Апартаменти президентські</t>
  </si>
  <si>
    <t xml:space="preserve">ПАКЕТИ BB / BBSPA — ЗА 1 ГОСТЯ</t>
  </si>
  <si>
    <t xml:space="preserve">Пакет / тип дня</t>
  </si>
  <si>
    <t xml:space="preserve">Дорослий, грн</t>
  </si>
  <si>
    <t xml:space="preserve">Дитина, грн</t>
  </si>
  <si>
    <t xml:space="preserve">BB|Будні</t>
  </si>
  <si>
    <t xml:space="preserve">BB|Вихідні</t>
  </si>
  <si>
    <t xml:space="preserve">BBSPA|Будні</t>
  </si>
  <si>
    <t xml:space="preserve">BBSPA|Вихідні</t>
  </si>
  <si>
    <t xml:space="preserve">ФІКСОВАНИЙ SPA-ВІЗИТ ДЛЯ ROSPA / ROSPABB — 1 ОД. НА ОБ'ЄКТ</t>
  </si>
  <si>
    <t xml:space="preserve">SPA-рівень / категорії</t>
  </si>
  <si>
    <t xml:space="preserve">Фіксовано, грн</t>
  </si>
  <si>
    <t xml:space="preserve">—</t>
  </si>
  <si>
    <t xml:space="preserve">Малий об'єкт</t>
  </si>
  <si>
    <t xml:space="preserve">Великий котедж / шале</t>
  </si>
  <si>
    <t xml:space="preserve">ПЕРЕМИКАЧІ ЗНИЖКИ   (1 = знижка тарифу діє, 0 = не діє)</t>
  </si>
  <si>
    <t xml:space="preserve">На що діє знижка тарифу</t>
  </si>
  <si>
    <t xml:space="preserve">1 / 0</t>
  </si>
  <si>
    <t xml:space="preserve">Знижка на пакет BB (сніданки)</t>
  </si>
  <si>
    <t xml:space="preserve">Знижка на пакет BBSPA</t>
  </si>
  <si>
    <t xml:space="preserve">Знижка на фіксований SPA-візит (ROSPA / ROSPABB)</t>
  </si>
  <si>
    <t xml:space="preserve">Логіка: RO-ціна задається лише для 4 опорних категорій, решта формуються множниками. З 3-го гостя додається фіксований крок (G6). BB / BBSPA додають пакет за кожного гостя, ROSPA — один SPA-візит на об'єкт, ROSPABB — сніданки за кількістю гостей + один SPA-візит.</t>
  </si>
  <si>
    <t xml:space="preserve">ПОРІВНЯННЯ ТА КОНТРОЛЬ ПРАЙС-ЛИСТІВ — BUKOVEL</t>
  </si>
  <si>
    <t xml:space="preserve">K: службові</t>
  </si>
  <si>
    <t xml:space="preserve">L: службові</t>
  </si>
  <si>
    <t xml:space="preserve">Прайс-лист 1</t>
  </si>
  <si>
    <t xml:space="preserve">Тариф 1</t>
  </si>
  <si>
    <t xml:space="preserve">Прайс-лист 2</t>
  </si>
  <si>
    <t xml:space="preserve">Тариф 2</t>
  </si>
  <si>
    <t xml:space="preserve">КОНТРОЛЬ АКТИВНОГО ПРАЙС-ЛИСТА</t>
  </si>
  <si>
    <t xml:space="preserve">колонка активного прайсу</t>
  </si>
  <si>
    <t xml:space="preserve">Незаповнені базові RO-ціни</t>
  </si>
  <si>
    <t xml:space="preserve">Порівняння показує ціну за одну ніч без тварин — для буднього і вихідного дня одночасно. Базові (опорні) категорії виділені червоним: саме вони задають ціну решті через множники. Значення поза місткістю категорії не показуються.</t>
  </si>
  <si>
    <t xml:space="preserve">Незаповнені множники</t>
  </si>
  <si>
    <t xml:space="preserve">Прайс 1
будні</t>
  </si>
  <si>
    <t xml:space="preserve">Прайс 1
вихідні</t>
  </si>
  <si>
    <t xml:space="preserve">Прайс 2
будні</t>
  </si>
  <si>
    <t xml:space="preserve">Прайс 2
вихідні</t>
  </si>
  <si>
    <t xml:space="preserve">Δ грн
будні</t>
  </si>
  <si>
    <t xml:space="preserve">Δ грн
вихідні</t>
  </si>
  <si>
    <t xml:space="preserve">Δ %
будні</t>
  </si>
  <si>
    <t xml:space="preserve">Δ %
вихідні</t>
  </si>
  <si>
    <t xml:space="preserve">Незаповнені пакети BB</t>
  </si>
  <si>
    <t xml:space="preserve">Незаповнений фіксований SPA-візит</t>
  </si>
  <si>
    <t xml:space="preserve">Дублікати назв прайс-листів</t>
  </si>
  <si>
    <t xml:space="preserve">Пакет BBSPA заповнено?</t>
  </si>
  <si>
    <t xml:space="preserve">Прайс-листів у моделі</t>
  </si>
  <si>
    <t xml:space="preserve">Категорій у моделі</t>
  </si>
  <si>
    <t xml:space="preserve">Крок за 3-го гостя, грн</t>
  </si>
  <si>
    <t xml:space="preserve">BBSPA не входить до чек-листа: пакет може бути свідомо не задіяний у сезоні. Його стан показано окремим рядком вище.</t>
  </si>
  <si>
    <t xml:space="preserve">МОДЕЛЮВАННЯ ЦІН — ДВА СЦЕНАРІЇ У ПОРІВНЯННІ</t>
  </si>
  <si>
    <t xml:space="preserve">ТЕХНІЧНІ ДАНІ</t>
  </si>
  <si>
    <t xml:space="preserve">Прайс-лист-основа</t>
  </si>
  <si>
    <t xml:space="preserve">Жовті колонки — ввід множників. Сценарії нічого не змінюють у діючому прайсі: щоб застосувати сценарій, скопіюйте його множники у блок відповідного прайс-листа на листі «Керування прайсом». Ціни рахуються для RO 1–2 особи — це чистий важіль сходинки між категоріями.</t>
  </si>
  <si>
    <t xml:space="preserve">ПОТОЧНО</t>
  </si>
  <si>
    <t xml:space="preserve">СЦЕНАРІЙ 1</t>
  </si>
  <si>
    <t xml:space="preserve">СЦЕНАРІЙ 2</t>
  </si>
  <si>
    <t xml:space="preserve">СЦЕНАРІЙ 2 vs 1</t>
  </si>
  <si>
    <t xml:space="preserve">Опорна базова</t>
  </si>
  <si>
    <t xml:space="preserve">RO база, грн</t>
  </si>
  <si>
    <t xml:space="preserve">Множник</t>
  </si>
  <si>
    <t xml:space="preserve">Множник вих.</t>
  </si>
  <si>
    <t xml:space="preserve">Будні, грн</t>
  </si>
  <si>
    <t xml:space="preserve">Вихідні, грн</t>
  </si>
  <si>
    <t xml:space="preserve">Δ грн буд.</t>
  </si>
  <si>
    <t xml:space="preserve">Δ % буд.</t>
  </si>
  <si>
    <t xml:space="preserve">ПІДСУМОК — середня зміна до поточного прайсу</t>
  </si>
  <si>
    <t xml:space="preserve">МАТРИЦЯ КАТЕГОРІЙ — ПЕРЕГЛЯД АКТИВНОГО ПРАЙСУ</t>
  </si>
  <si>
    <t xml:space="preserve">Лист лише показує результат — редагування множників і цін виконується на «Керування прайсом», моделювання — на листі «Моделювання». Вихідні 1–2 ос. = RO будні × множник вихідних; з 3-го гостя у прайсі додається фіксований крок без множника.</t>
  </si>
  <si>
    <t xml:space="preserve">Опорна базова категорія</t>
  </si>
  <si>
    <t xml:space="preserve">RO будні 1–2, грн</t>
  </si>
  <si>
    <t xml:space="preserve">RO вихідні 1–2, грн</t>
  </si>
  <si>
    <t xml:space="preserve">Δ грн до попередньої</t>
  </si>
  <si>
    <t xml:space="preserve">Δ грн буд.→вих.</t>
  </si>
  <si>
    <t xml:space="preserve">БАЗОВІ ЦІНИ — ПЕРЕГЛЯД АКТИВНОГО ПРАЙСУ</t>
  </si>
  <si>
    <t xml:space="preserve">Чотири опорні категорії, з яких множниками формуються всі інші. Редагування — на «Керування прайсом».</t>
  </si>
  <si>
    <t xml:space="preserve">RO 1–2, грн</t>
  </si>
  <si>
    <t xml:space="preserve">Вихідні 1–2, грн</t>
  </si>
  <si>
    <t xml:space="preserve">ДОВІДНИК КАТЕГОРІЙ — РЕДАГУЙТЕ ЛИШЕ ПРИ ДОДАВАННІ / ЗМІНІ КАТЕГОРІЇ</t>
  </si>
  <si>
    <t xml:space="preserve">У щоденній роботі цей лист не редагують. Він визначає місткість, опорну базову категорію та SPA-роль — саме з нього формули беруть правила. Зміна «Макс. гостей» одразу прибирає або додає варіант розміщення в листах «Прайс», «Калькулятор» і «Контроль і порівняння».</t>
  </si>
  <si>
    <t xml:space="preserve">Включено в базову</t>
  </si>
  <si>
    <t xml:space="preserve">Роль</t>
  </si>
  <si>
    <t xml:space="preserve">SPA-візит: 1 од. / об'єкт</t>
  </si>
  <si>
    <t xml:space="preserve">Віла з 1 спальнею 45 м²</t>
  </si>
  <si>
    <t xml:space="preserve">Котеджі 1 спальня</t>
  </si>
  <si>
    <t xml:space="preserve">Базова</t>
  </si>
  <si>
    <t xml:space="preserve">За матрицею</t>
  </si>
  <si>
    <t xml:space="preserve">Стандартна віла 96 м²</t>
  </si>
  <si>
    <t xml:space="preserve">Котеджі 3 спальні</t>
  </si>
  <si>
    <t xml:space="preserve">Віла з 3 спальнями 96 м²</t>
  </si>
  <si>
    <t xml:space="preserve">Шале з 3 спальнями 112 м²</t>
  </si>
  <si>
    <t xml:space="preserve">Шале Люкс</t>
  </si>
  <si>
    <t xml:space="preserve">Apartments A</t>
  </si>
  <si>
    <t xml:space="preserve">Стандартний двомісний люкс 52 м²</t>
  </si>
  <si>
    <t xml:space="preserve">Apartments B</t>
  </si>
  <si>
    <t xml:space="preserve">Апартаменти Делюкс 40 м²</t>
  </si>
  <si>
    <t xml:space="preserve">Апартаменти з балконом 45 м²</t>
  </si>
  <si>
    <t xml:space="preserve">Апартаменти з балконом 40 м²</t>
  </si>
  <si>
    <t xml:space="preserve">Апартаменти з видом на гори 50 м²</t>
  </si>
  <si>
    <t xml:space="preserve">Дворівневі апартаменти 60 м²</t>
  </si>
  <si>
    <t xml:space="preserve">ДОДАТКОВІ ПОСЛУГИ — ІНФОРМАЦІЙНО</t>
  </si>
  <si>
    <t xml:space="preserve">Цей лист НЕ бере участі в розрахунку прайсу. Ціни сніданків і SPA, які реально рахує система, задаються на листі «Керування прайсом» у блоках «ПАКЕТИ BB / BBSPA» та «ФІКСОВАНИЙ SPA-ВІЗИТ». Тут — довідкові умови продажу та взаєморозрахунків.</t>
  </si>
  <si>
    <t xml:space="preserve">*Продаж від готелю </t>
  </si>
  <si>
    <t xml:space="preserve">- продаж, від готелю по тарифах BB/ BBSPA</t>
  </si>
  <si>
    <t xml:space="preserve">**Купівля</t>
  </si>
  <si>
    <t xml:space="preserve">- ціна при взаєморозрахунку між готель - субєкт </t>
  </si>
  <si>
    <t xml:space="preserve">*Стадартна вартість</t>
  </si>
  <si>
    <t xml:space="preserve">- ціна за якою здійнює продаж безпосередньо ресторан</t>
  </si>
  <si>
    <t xml:space="preserve">Податкове навантаження****</t>
  </si>
  <si>
    <t xml:space="preserve">-  сума або % податків, яка лягає на готель при взаєморозрахунку</t>
  </si>
  <si>
    <t xml:space="preserve">Буковель</t>
  </si>
  <si>
    <t xml:space="preserve">Додаткові послуги Весна</t>
  </si>
  <si>
    <t xml:space="preserve">Назва послуги </t>
  </si>
  <si>
    <t xml:space="preserve">Стандартна вартість</t>
  </si>
  <si>
    <t xml:space="preserve">Продаж від готелю**</t>
  </si>
  <si>
    <t xml:space="preserve">Купівля ***</t>
  </si>
  <si>
    <t xml:space="preserve">Податкове навантаження**** </t>
  </si>
  <si>
    <t xml:space="preserve">Сніданок дорослий</t>
  </si>
  <si>
    <t xml:space="preserve">Сніданок дитячий </t>
  </si>
  <si>
    <t xml:space="preserve">СПА візит дорослий </t>
  </si>
  <si>
    <t xml:space="preserve">СПА Візит дитячий </t>
  </si>
  <si>
    <t xml:space="preserve">Термін дії цін  - до 31.05.2026 </t>
  </si>
  <si>
    <t xml:space="preserve">Додаткові послуги Літо BB</t>
  </si>
  <si>
    <t xml:space="preserve">Стандартна вартість*</t>
  </si>
  <si>
    <t xml:space="preserve">Купівля***</t>
  </si>
  <si>
    <t xml:space="preserve">-</t>
  </si>
  <si>
    <t xml:space="preserve">Термін дії цін  - до 31.08.2026 </t>
  </si>
  <si>
    <t xml:space="preserve">Додаткові послуги Осінь</t>
  </si>
  <si>
    <t xml:space="preserve">Термін дії цін  - до 30.11.2026 </t>
  </si>
  <si>
    <t xml:space="preserve">ЖУРНАЛ ЗМІН</t>
  </si>
  <si>
    <t xml:space="preserve">Заповнюється вручну. Правило: діючий прайс-лист не перезаписуємо — переводимо його у статус «Архів» і створюємо новий рядок на «Керування прайсом». Тоді порівняння рік/рік лишається можливим.</t>
  </si>
  <si>
    <t xml:space="preserve">Дата</t>
  </si>
  <si>
    <t xml:space="preserve">Автор</t>
  </si>
  <si>
    <t xml:space="preserve">Лист</t>
  </si>
  <si>
    <t xml:space="preserve">Що змінено</t>
  </si>
  <si>
    <t xml:space="preserve">Було</t>
  </si>
  <si>
    <t xml:space="preserve">Стало</t>
  </si>
  <si>
    <t xml:space="preserve">Claude (міграція v2)</t>
  </si>
  <si>
    <t xml:space="preserve">Довідник категорій</t>
  </si>
  <si>
    <t xml:space="preserve">Апартаменти Люкс 25 м²: макс. гостей</t>
  </si>
  <si>
    <t xml:space="preserve">3</t>
  </si>
  <si>
    <t xml:space="preserve">2</t>
  </si>
  <si>
    <t xml:space="preserve">Керування прайсом</t>
  </si>
  <si>
    <t xml:space="preserve">Перемикачі знижки на пакети та SPA (за замовчуванням 0 — поведінка як раніше)</t>
  </si>
  <si>
    <t xml:space="preserve">0 / 0 / 0</t>
  </si>
  <si>
    <t xml:space="preserve">Прайс</t>
  </si>
  <si>
    <t xml:space="preserve">Будні й вихідні показуються одночасно; тип дня як перемикач прибрано</t>
  </si>
  <si>
    <t xml:space="preserve">перемикач</t>
  </si>
  <si>
    <t xml:space="preserve">дві групи колонок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</si>
</sst>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#,##0"/>
    <numFmt numFmtId="168" formatCode="0.0000"/>
    <numFmt numFmtId="169" formatCode="#,##0.00"/>
    <numFmt numFmtId="170" formatCode="dd\.mm\.yyyy"/>
    <numFmt numFmtId="171" formatCode="0%"/>
    <numFmt numFmtId="172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6B777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2A3B33"/>
      <name val="Calibri"/>
      <family val="0"/>
      <charset val="1"/>
    </font>
    <font>
      <sz val="9"/>
      <color rgb="FF6B7771"/>
      <name val="Calibri"/>
      <family val="0"/>
      <charset val="1"/>
    </font>
    <font>
      <i val="true"/>
      <sz val="9"/>
      <color rgb="FF9AA6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3D"/>
      <name val="Calibri"/>
      <family val="0"/>
      <charset val="1"/>
    </font>
    <font>
      <b val="true"/>
      <sz val="12"/>
      <color rgb="FF1F4E3D"/>
      <name val="Calibri"/>
      <family val="0"/>
      <charset val="1"/>
    </font>
    <font>
      <i val="true"/>
      <sz val="9"/>
      <color rgb="FF6B7771"/>
      <name val="Calibri"/>
      <family val="0"/>
      <charset val="1"/>
    </font>
    <font>
      <sz val="8"/>
      <color rgb="FF9AA6A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4E3D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9"/>
      <color rgb="FF6B7771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A3B33"/>
      </patternFill>
    </fill>
    <fill>
      <patternFill patternType="solid">
        <fgColor rgb="FFFFF2CC"/>
        <bgColor rgb="FFFFF9E6"/>
      </patternFill>
    </fill>
    <fill>
      <patternFill patternType="solid">
        <fgColor rgb="FFEAF3F0"/>
        <bgColor rgb="FFEDEFEE"/>
      </patternFill>
    </fill>
    <fill>
      <patternFill patternType="solid">
        <fgColor rgb="FF2F6B55"/>
        <bgColor rgb="FF2E6B4F"/>
      </patternFill>
    </fill>
    <fill>
      <patternFill patternType="solid">
        <fgColor rgb="FFF4F8F6"/>
        <bgColor rgb="FFEAF3F0"/>
      </patternFill>
    </fill>
    <fill>
      <patternFill patternType="solid">
        <fgColor rgb="FFEDEFEE"/>
        <bgColor rgb="FFEAF3F0"/>
      </patternFill>
    </fill>
    <fill>
      <patternFill patternType="solid">
        <fgColor rgb="FFFFF9E6"/>
        <bgColor rgb="FFF4F8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b val="1"/>
        <color rgb="FFA8321E"/>
        <sz val="10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A8321E"/>
        <sz val="11"/>
      </font>
    </dxf>
    <dxf>
      <font>
        <name val="Calibri"/>
        <charset val="1"/>
        <family val="0"/>
        <b val="1"/>
        <color rgb="FF2E6B4F"/>
        <sz val="11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color rgb="FFA8321E"/>
        <sz val="11"/>
      </font>
    </dxf>
    <dxf>
      <font>
        <name val="Calibri"/>
        <charset val="1"/>
        <family val="0"/>
        <b val="1"/>
        <color rgb="FF2E6B4F"/>
        <sz val="12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2"/>
      </font>
      <fill>
        <patternFill>
          <bgColor rgb="FFFCE8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5"/>
      <rgbColor rgb="FFC9D4CD"/>
      <rgbColor rgb="FF6B7771"/>
      <rgbColor rgb="FF9999FF"/>
      <rgbColor rgb="FF993366"/>
      <rgbColor rgb="FFFFF9E6"/>
      <rgbColor rgb="FFE1EFE7"/>
      <rgbColor rgb="FF660066"/>
      <rgbColor rgb="FFFF8080"/>
      <rgbColor rgb="FF0066CC"/>
      <rgbColor rgb="FFF4F8F6"/>
      <rgbColor rgb="FF000080"/>
      <rgbColor rgb="FFFF00FF"/>
      <rgbColor rgb="FFFFFF00"/>
      <rgbColor rgb="FF00FFFF"/>
      <rgbColor rgb="FF800080"/>
      <rgbColor rgb="FF800000"/>
      <rgbColor rgb="FF2E6B4F"/>
      <rgbColor rgb="FF0000FF"/>
      <rgbColor rgb="FF00CCFF"/>
      <rgbColor rgb="FFEAF3F0"/>
      <rgbColor rgb="FFEDEFEE"/>
      <rgbColor rgb="FFFFF2CC"/>
      <rgbColor rgb="FF99CCFF"/>
      <rgbColor rgb="FFFF99CC"/>
      <rgbColor rgb="FFCC99FF"/>
      <rgbColor rgb="FFFCE8E4"/>
      <rgbColor rgb="FF3366FF"/>
      <rgbColor rgb="FF33CCCC"/>
      <rgbColor rgb="FF99CC00"/>
      <rgbColor rgb="FFFFCC00"/>
      <rgbColor rgb="FFFF9900"/>
      <rgbColor rgb="FFFF6600"/>
      <rgbColor rgb="FF666699"/>
      <rgbColor rgb="FF9AA6A0"/>
      <rgbColor rgb="FF1F4E3D"/>
      <rgbColor rgb="FF339966"/>
      <rgbColor rgb="FF003300"/>
      <rgbColor rgb="FF333300"/>
      <rgbColor rgb="FFA8321E"/>
      <rgbColor rgb="FF993366"/>
      <rgbColor rgb="FF333399"/>
      <rgbColor rgb="FF2A3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D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3" min="3" style="0" width="17"/>
    <col collapsed="false" customWidth="true" hidden="false" outlineLevel="0" max="19" min="4" style="0" width="12.5"/>
    <col collapsed="false" customWidth="true" hidden="true" outlineLevel="1" max="33" min="21" style="0" width="13"/>
  </cols>
  <sheetData>
    <row r="1" customFormat="false" ht="27.75" hidden="false" customHeight="true" outlineLevel="0" collapsed="false">
      <c r="A1" s="1" t="str">
        <f aca="false">"ПРАЙС BUKOVEL · "&amp;$B$3&amp;" · "&amp;$U$11&amp;" · Тариф: "&amp;$B$4&amp;" · Пакет: "&amp;$B$5</f>
        <v>ПРАЙС BUKOVEL · Осінь 2026 (00-10%) · 01.10.2026 – 30.11.2026 · Тариф: Rack Rate · Пакет: ROSPA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U1" s="2" t="s">
        <v>0</v>
      </c>
    </row>
    <row r="2" customFormat="false" ht="6" hidden="false" customHeight="true" outlineLevel="0" collapsed="false"/>
    <row r="3" customFormat="false" ht="18.75" hidden="false" customHeight="true" outlineLevel="0" collapsed="false">
      <c r="A3" s="3" t="s">
        <v>1</v>
      </c>
      <c r="B3" s="4" t="s">
        <v>2</v>
      </c>
      <c r="D3" s="5" t="str">
        <f aca="false">"Період дії: "&amp;$U$11</f>
        <v>Період дії: 01.10.2026 – 30.11.2026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U3" s="6" t="n">
        <f aca="false">IFERROR(MATCH($B$3,ПЛ_РЯДОК,0),0)</f>
        <v>5</v>
      </c>
      <c r="V3" s="7" t="s">
        <v>3</v>
      </c>
    </row>
    <row r="4" customFormat="false" ht="18.75" hidden="false" customHeight="true" outlineLevel="0" collapsed="false">
      <c r="A4" s="3" t="s">
        <v>4</v>
      </c>
      <c r="B4" s="4" t="s">
        <v>5</v>
      </c>
      <c r="D4" s="5" t="str">
        <f aca="false">"Знижка на проживання: "&amp;TEXT($U$5,"0%")&amp;IF($B$5="BBSPA"," — фіксована для пакета BBSPA; обраний тариф не застосовується","")</f>
        <v>Знижка на проживання: 0%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U4" s="6" t="n">
        <f aca="false">IFERROR(SUMIFS(ТАРИФИ_ЗНИЖКИ,ТАРИФИ_НАЗВИ,$B$4),0)</f>
        <v>0</v>
      </c>
      <c r="V4" s="7" t="s">
        <v>6</v>
      </c>
    </row>
    <row r="5" customFormat="false" ht="18.75" hidden="false" customHeight="true" outlineLevel="0" collapsed="false">
      <c r="A5" s="3" t="s">
        <v>7</v>
      </c>
      <c r="B5" s="4" t="s">
        <v>8</v>
      </c>
      <c r="D5" s="5" t="str">
        <f aca="false">IF($B$5="RO","Лише проживання.",IF($B$5="BB","Проживання + сніданок за кожного гостя.",IF($B$5="BBSPA","Проживання + сніданок і SPA за кожного гостя.",IF($B$5="ROSPA","Проживання + 1 SPA-візит на обʼєкт.",IF($B$5="ROSPABB","Проживання + сніданки за кількістю гостей + 1 SPA-візит на обʼєкт.","")))))</f>
        <v>Проживання + 1 SPA-візит на обʼєкт.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U5" s="6" t="n">
        <f aca="false">IF($B$5="BBSPA",ЗНИЖКА_BBSPA,$U$4)</f>
        <v>0</v>
      </c>
      <c r="V5" s="7" t="s">
        <v>9</v>
      </c>
    </row>
    <row r="6" customFormat="false" ht="30" hidden="false" customHeight="true" outlineLevel="0" collapsed="false">
      <c r="A6" s="8" t="str">
        <f aca="false">IF($U$3=0,"⚠ Прайс-лист не обрано або не знайдено — оберіть значення у клітинці B3.",IF($U$13=0,"⚠ У цьому прайс-листі ще не заповнені базові RO-ціни — сітка буде порожньою. Заповніть його блок на листі «Керування прайсом».","Усі ціни — за ніч, за дорослих гостей, у гривні. Дитячі тарифи рахує лист «Калькулятор». З 3-го гостя додається фіксований крок; вихідні рахуються через множник вихідних."))</f>
        <v>Усі ціни — за ніч, за дорослих гостей, у гривні. Дитячі тарифи рахує лист «Калькулятор». З 3-го гостя додається фіксований крок; вихідні рахуються через множник вихідних.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U6" s="9" t="n">
        <f aca="false">IF($U$3=0,0,IFERROR(INDEX(ПЕРЕМИКАЧІ,IF($B$5="BBSPA",2,1),$U$3),0))</f>
        <v>0</v>
      </c>
      <c r="V6" s="7" t="s">
        <v>10</v>
      </c>
    </row>
    <row r="7" customFormat="false" ht="19.5" hidden="false" customHeight="true" outlineLevel="0" collapsed="false">
      <c r="D7" s="10" t="s">
        <v>11</v>
      </c>
      <c r="E7" s="10"/>
      <c r="F7" s="10"/>
      <c r="G7" s="10"/>
      <c r="H7" s="10"/>
      <c r="I7" s="10"/>
      <c r="J7" s="10"/>
      <c r="K7" s="10"/>
      <c r="L7" s="10" t="s">
        <v>12</v>
      </c>
      <c r="M7" s="10"/>
      <c r="N7" s="10"/>
      <c r="O7" s="10"/>
      <c r="P7" s="10"/>
      <c r="Q7" s="10"/>
      <c r="R7" s="10"/>
      <c r="S7" s="10"/>
      <c r="U7" s="9" t="n">
        <f aca="false">IF($U$3=0,0,IFERROR(INDEX(ПЕРЕМИКАЧІ,3,$U$3),0))</f>
        <v>0</v>
      </c>
      <c r="V7" s="7" t="s">
        <v>13</v>
      </c>
    </row>
    <row r="8" customFormat="false" ht="19.5" hidden="false" customHeight="true" outlineLevel="0" collapsed="false">
      <c r="A8" s="11" t="s">
        <v>14</v>
      </c>
      <c r="B8" s="11" t="s">
        <v>15</v>
      </c>
      <c r="C8" s="11" t="s">
        <v>16</v>
      </c>
      <c r="D8" s="12" t="n">
        <v>1</v>
      </c>
      <c r="E8" s="12" t="n">
        <v>2</v>
      </c>
      <c r="F8" s="12" t="n">
        <v>3</v>
      </c>
      <c r="G8" s="12" t="n">
        <v>4</v>
      </c>
      <c r="H8" s="12" t="n">
        <v>5</v>
      </c>
      <c r="I8" s="12" t="n">
        <v>6</v>
      </c>
      <c r="J8" s="12" t="n">
        <v>7</v>
      </c>
      <c r="K8" s="12" t="n">
        <v>8</v>
      </c>
      <c r="L8" s="12" t="n">
        <v>1</v>
      </c>
      <c r="M8" s="12" t="n">
        <v>2</v>
      </c>
      <c r="N8" s="12" t="n">
        <v>3</v>
      </c>
      <c r="O8" s="12" t="n">
        <v>4</v>
      </c>
      <c r="P8" s="12" t="n">
        <v>5</v>
      </c>
      <c r="Q8" s="12" t="n">
        <v>6</v>
      </c>
      <c r="R8" s="12" t="n">
        <v>7</v>
      </c>
      <c r="S8" s="12" t="n">
        <v>8</v>
      </c>
      <c r="U8" s="6" t="n">
        <f aca="false">IF(OR($B$5="BB",$B$5="BBSPA",$B$5="ROSPABB"),1,0)</f>
        <v>0</v>
      </c>
      <c r="V8" s="7" t="s">
        <v>17</v>
      </c>
    </row>
    <row r="9" customFormat="false" ht="15" hidden="false" customHeight="false" outlineLevel="0" collapsed="false">
      <c r="A9" s="13" t="str">
        <f aca="false">IF('Довідник категорій'!A5="","",'Довідник категорій'!A5)</f>
        <v>Міні-котедж</v>
      </c>
      <c r="B9" s="14" t="str">
        <f aca="false">IF($A9="","",IFERROR(INDEX(ДОВ_BOOKING,MATCH($A9,КАТЕГОРІЇ,0)),""))</f>
        <v>Віла з 1 спальнею 45 м²</v>
      </c>
      <c r="C9" s="15" t="str">
        <f aca="false">IF($A9="","",IFERROR(INDEX(ДОВ_ГРУПА,MATCH($A9,КАТЕГОРІЇ,0)),""))</f>
        <v>Котеджі 1 спальня</v>
      </c>
      <c r="D9" s="16" t="n">
        <f aca="false">IF(OR($AE9=0,D$8&gt;$Z9),"",ROUND(((W9*X9+MAX(0,D$8-$AA9)*КРОК_ГОСТЯ)*(1-$U$5)+D$8*$AB9*(1-$U$5*$U$6)+$AD9*(1-$U$5*$U$7))/ОКРУГЛЕННЯ,0)*ОКРУГЛЕННЯ)</f>
        <v>5398</v>
      </c>
      <c r="E9" s="16" t="n">
        <f aca="false">IF(OR($AE9=0,E$8&gt;$Z9),"",ROUND(((W9*X9+MAX(0,E$8-$AA9)*КРОК_ГОСТЯ)*(1-$U$5)+E$8*$AB9*(1-$U$5*$U$6)+$AD9*(1-$U$5*$U$7))/ОКРУГЛЕННЯ,0)*ОКРУГЛЕННЯ)</f>
        <v>5398</v>
      </c>
      <c r="F9" s="16" t="n">
        <f aca="false">IF(OR($AE9=0,F$8&gt;$Z9),"",ROUND(((W9*X9+MAX(0,F$8-$AA9)*КРОК_ГОСТЯ)*(1-$U$5)+F$8*$AB9*(1-$U$5*$U$6)+$AD9*(1-$U$5*$U$7))/ОКРУГЛЕННЯ,0)*ОКРУГЛЕННЯ)</f>
        <v>5898</v>
      </c>
      <c r="G9" s="16" t="str">
        <f aca="false">IF(OR($AE9=0,G$8&gt;$Z9),"",ROUND(((W9*X9+MAX(0,G$8-$AA9)*КРОК_ГОСТЯ)*(1-$U$5)+G$8*$AB9*(1-$U$5*$U$6)+$AD9*(1-$U$5*$U$7))/ОКРУГЛЕННЯ,0)*ОКРУГЛЕННЯ)</f>
        <v/>
      </c>
      <c r="H9" s="16" t="str">
        <f aca="false">IF(OR($AE9=0,H$8&gt;$Z9),"",ROUND(((W9*X9+MAX(0,H$8-$AA9)*КРОК_ГОСТЯ)*(1-$U$5)+H$8*$AB9*(1-$U$5*$U$6)+$AD9*(1-$U$5*$U$7))/ОКРУГЛЕННЯ,0)*ОКРУГЛЕННЯ)</f>
        <v/>
      </c>
      <c r="I9" s="16" t="str">
        <f aca="false">IF(OR($AE9=0,I$8&gt;$Z9),"",ROUND(((W9*X9+MAX(0,I$8-$AA9)*КРОК_ГОСТЯ)*(1-$U$5)+I$8*$AB9*(1-$U$5*$U$6)+$AD9*(1-$U$5*$U$7))/ОКРУГЛЕННЯ,0)*ОКРУГЛЕННЯ)</f>
        <v/>
      </c>
      <c r="J9" s="16" t="str">
        <f aca="false">IF(OR($AE9=0,J$8&gt;$Z9),"",ROUND(((W9*X9+MAX(0,J$8-$AA9)*КРОК_ГОСТЯ)*(1-$U$5)+J$8*$AB9*(1-$U$5*$U$6)+$AD9*(1-$U$5*$U$7))/ОКРУГЛЕННЯ,0)*ОКРУГЛЕННЯ)</f>
        <v/>
      </c>
      <c r="K9" s="16" t="str">
        <f aca="false">IF(OR($AE9=0,K$8&gt;$Z9),"",ROUND(((W9*X9+MAX(0,K$8-$AA9)*КРОК_ГОСТЯ)*(1-$U$5)+K$8*$AB9*(1-$U$5*$U$6)+$AD9*(1-$U$5*$U$7))/ОКРУГЛЕННЯ,0)*ОКРУГЛЕННЯ)</f>
        <v/>
      </c>
      <c r="L9" s="16" t="n">
        <f aca="false">IF(OR($AF9=0,L$8&gt;$Z9),"",ROUND(((W9*X9*Y9+MAX(0,L$8-$AA9)*КРОК_ГОСТЯ)*(1-$U$5)+L$8*$AC9*(1-$U$5*$U$6)+$AD9*(1-$U$5*$U$7))/ОКРУГЛЕННЯ,0)*ОКРУГЛЕННЯ)</f>
        <v>5898</v>
      </c>
      <c r="M9" s="16" t="n">
        <f aca="false">IF(OR($AF9=0,M$8&gt;$Z9),"",ROUND(((W9*X9*Y9+MAX(0,M$8-$AA9)*КРОК_ГОСТЯ)*(1-$U$5)+M$8*$AC9*(1-$U$5*$U$6)+$AD9*(1-$U$5*$U$7))/ОКРУГЛЕННЯ,0)*ОКРУГЛЕННЯ)</f>
        <v>5898</v>
      </c>
      <c r="N9" s="16" t="n">
        <f aca="false">IF(OR($AF9=0,N$8&gt;$Z9),"",ROUND(((W9*X9*Y9+MAX(0,N$8-$AA9)*КРОК_ГОСТЯ)*(1-$U$5)+N$8*$AC9*(1-$U$5*$U$6)+$AD9*(1-$U$5*$U$7))/ОКРУГЛЕННЯ,0)*ОКРУГЛЕННЯ)</f>
        <v>6398</v>
      </c>
      <c r="O9" s="16" t="str">
        <f aca="false">IF(OR($AF9=0,O$8&gt;$Z9),"",ROUND(((W9*X9*Y9+MAX(0,O$8-$AA9)*КРОК_ГОСТЯ)*(1-$U$5)+O$8*$AC9*(1-$U$5*$U$6)+$AD9*(1-$U$5*$U$7))/ОКРУГЛЕННЯ,0)*ОКРУГЛЕННЯ)</f>
        <v/>
      </c>
      <c r="P9" s="16" t="str">
        <f aca="false">IF(OR($AF9=0,P$8&gt;$Z9),"",ROUND(((W9*X9*Y9+MAX(0,P$8-$AA9)*КРОК_ГОСТЯ)*(1-$U$5)+P$8*$AC9*(1-$U$5*$U$6)+$AD9*(1-$U$5*$U$7))/ОКРУГЛЕННЯ,0)*ОКРУГЛЕННЯ)</f>
        <v/>
      </c>
      <c r="Q9" s="16" t="str">
        <f aca="false">IF(OR($AF9=0,Q$8&gt;$Z9),"",ROUND(((W9*X9*Y9+MAX(0,Q$8-$AA9)*КРОК_ГОСТЯ)*(1-$U$5)+Q$8*$AC9*(1-$U$5*$U$6)+$AD9*(1-$U$5*$U$7))/ОКРУГЛЕННЯ,0)*ОКРУГЛЕННЯ)</f>
        <v/>
      </c>
      <c r="R9" s="16" t="str">
        <f aca="false">IF(OR($AF9=0,R$8&gt;$Z9),"",ROUND(((W9*X9*Y9+MAX(0,R$8-$AA9)*КРОК_ГОСТЯ)*(1-$U$5)+R$8*$AC9*(1-$U$5*$U$6)+$AD9*(1-$U$5*$U$7))/ОКРУГЛЕННЯ,0)*ОКРУГЛЕННЯ)</f>
        <v/>
      </c>
      <c r="S9" s="16" t="str">
        <f aca="false">IF(OR($AF9=0,S$8&gt;$Z9),"",ROUND(((W9*X9*Y9+MAX(0,S$8-$AA9)*КРОК_ГОСТЯ)*(1-$U$5)+S$8*$AC9*(1-$U$5*$U$6)+$AD9*(1-$U$5*$U$7))/ОКРУГЛЕННЯ,0)*ОКРУГЛЕННЯ)</f>
        <v/>
      </c>
      <c r="U9" s="6" t="n">
        <f aca="false">IF(OR($B$5="ROSPA",$B$5="ROSPABB"),1,0)</f>
        <v>1</v>
      </c>
      <c r="V9" s="7" t="s">
        <v>18</v>
      </c>
      <c r="W9" s="17" t="n">
        <f aca="false">IF(OR($U$3=0,$A9=""),0,IFERROR(INDEX(БАЗА_RO,MATCH(INDEX(ДОВ_ОПОРА,MATCH($A9,КАТЕГОРІЇ,0)),БАЗА_КАТ,0),$U$3),0))</f>
        <v>4998</v>
      </c>
      <c r="X9" s="18" t="n">
        <f aca="false">IF(OR($U$3=0,$A9=""),0,IFERROR(INDEX(МНОЖНИКИ,MATCH($A9,МНОЖ_КАТ,0),$U$3),0))</f>
        <v>1</v>
      </c>
      <c r="Y9" s="18" t="n">
        <f aca="false">IF(OR($U$3=0,$A9=""),0,IFERROR(INDEX(МНОЖНИКИ,MATCH($A9,МНОЖ_КАТ,0),$U$3+1),0))</f>
        <v>1.1</v>
      </c>
      <c r="Z9" s="9" t="n">
        <f aca="false">IF($A9="",0,IFERROR(INDEX(ДОВ_МАКС,MATCH($A9,КАТЕГОРІЇ,0)),0))</f>
        <v>3</v>
      </c>
      <c r="AA9" s="9" t="n">
        <f aca="false">IF($A9="",0,IFERROR(INDEX(ДОВ_ВКЛ,MATCH($A9,КАТЕГОРІЇ,0)),0))</f>
        <v>2</v>
      </c>
      <c r="AB9" s="6" t="n">
        <f aca="false">IF(OR($U$3=0,$U$8=0),0,IFERROR(INDEX(ПАКЕТИ_ЦІНИ,MATCH($U$10&amp;"|Будні",ПАКЕТИ_КЛЮЧ,0),$U$3),0))</f>
        <v>0</v>
      </c>
      <c r="AC9" s="6" t="n">
        <f aca="false">IF(OR($U$3=0,$U$8=0),0,IFERROR(INDEX(ПАКЕТИ_ЦІНИ,MATCH($U$10&amp;"|Вихідні",ПАКЕТИ_КЛЮЧ,0),$U$3),0))</f>
        <v>0</v>
      </c>
      <c r="AD9" s="17" t="n">
        <f aca="false">IF(OR($U$3=0,$U$9=0,$A9=""),0,IFERROR(INDEX(SPA_ЦІНИ,MATCH(INDEX(ДОВ_SPA,MATCH($A9,КАТЕГОРІЇ,0)),SPA_РОЛЬ,0),$U$3),0))</f>
        <v>400</v>
      </c>
      <c r="AE9" s="6" t="n">
        <f aca="false">IF(OR($A9="",W9=0,X9=0,AND($U$8=1,AB9=0),AND($U$9=1,AD9=0)),0,1)</f>
        <v>1</v>
      </c>
      <c r="AF9" s="6" t="n">
        <f aca="false">IF(OR(AE9=0,Y9=0,AND($U$8=1,AC9=0)),0,1)</f>
        <v>1</v>
      </c>
    </row>
    <row r="10" customFormat="false" ht="15" hidden="false" customHeight="false" outlineLevel="0" collapsed="false">
      <c r="A10" s="19" t="str">
        <f aca="false">IF('Довідник категорій'!A6="","",'Довідник категорій'!A6)</f>
        <v>Міні-котедж East Hill</v>
      </c>
      <c r="B10" s="20" t="str">
        <f aca="false">IF($A10="","",IFERROR(INDEX(ДОВ_BOOKING,MATCH($A10,КАТЕГОРІЇ,0)),""))</f>
        <v>Віла з 1 спальнею 45 м²</v>
      </c>
      <c r="C10" s="21" t="str">
        <f aca="false">IF($A10="","",IFERROR(INDEX(ДОВ_ГРУПА,MATCH($A10,КАТЕГОРІЇ,0)),""))</f>
        <v>Котеджі 1 спальня</v>
      </c>
      <c r="D10" s="22" t="n">
        <f aca="false">IF(OR($AE10=0,D$8&gt;$Z10),"",ROUND(((W10*X10+MAX(0,D$8-$AA10)*КРОК_ГОСТЯ)*(1-$U$5)+D$8*$AB10*(1-$U$5*$U$6)+$AD10*(1-$U$5*$U$7))/ОКРУГЛЕННЯ,0)*ОКРУГЛЕННЯ)</f>
        <v>5648</v>
      </c>
      <c r="E10" s="22" t="n">
        <f aca="false">IF(OR($AE10=0,E$8&gt;$Z10),"",ROUND(((W10*X10+MAX(0,E$8-$AA10)*КРОК_ГОСТЯ)*(1-$U$5)+E$8*$AB10*(1-$U$5*$U$6)+$AD10*(1-$U$5*$U$7))/ОКРУГЛЕННЯ,0)*ОКРУГЛЕННЯ)</f>
        <v>5648</v>
      </c>
      <c r="F10" s="22" t="n">
        <f aca="false">IF(OR($AE10=0,F$8&gt;$Z10),"",ROUND(((W10*X10+MAX(0,F$8-$AA10)*КРОК_ГОСТЯ)*(1-$U$5)+F$8*$AB10*(1-$U$5*$U$6)+$AD10*(1-$U$5*$U$7))/ОКРУГЛЕННЯ,0)*ОКРУГЛЕННЯ)</f>
        <v>6148</v>
      </c>
      <c r="G10" s="22" t="str">
        <f aca="false">IF(OR($AE10=0,G$8&gt;$Z10),"",ROUND(((W10*X10+MAX(0,G$8-$AA10)*КРОК_ГОСТЯ)*(1-$U$5)+G$8*$AB10*(1-$U$5*$U$6)+$AD10*(1-$U$5*$U$7))/ОКРУГЛЕННЯ,0)*ОКРУГЛЕННЯ)</f>
        <v/>
      </c>
      <c r="H10" s="22" t="str">
        <f aca="false">IF(OR($AE10=0,H$8&gt;$Z10),"",ROUND(((W10*X10+MAX(0,H$8-$AA10)*КРОК_ГОСТЯ)*(1-$U$5)+H$8*$AB10*(1-$U$5*$U$6)+$AD10*(1-$U$5*$U$7))/ОКРУГЛЕННЯ,0)*ОКРУГЛЕННЯ)</f>
        <v/>
      </c>
      <c r="I10" s="22" t="str">
        <f aca="false">IF(OR($AE10=0,I$8&gt;$Z10),"",ROUND(((W10*X10+MAX(0,I$8-$AA10)*КРОК_ГОСТЯ)*(1-$U$5)+I$8*$AB10*(1-$U$5*$U$6)+$AD10*(1-$U$5*$U$7))/ОКРУГЛЕННЯ,0)*ОКРУГЛЕННЯ)</f>
        <v/>
      </c>
      <c r="J10" s="22" t="str">
        <f aca="false">IF(OR($AE10=0,J$8&gt;$Z10),"",ROUND(((W10*X10+MAX(0,J$8-$AA10)*КРОК_ГОСТЯ)*(1-$U$5)+J$8*$AB10*(1-$U$5*$U$6)+$AD10*(1-$U$5*$U$7))/ОКРУГЛЕННЯ,0)*ОКРУГЛЕННЯ)</f>
        <v/>
      </c>
      <c r="K10" s="22" t="str">
        <f aca="false">IF(OR($AE10=0,K$8&gt;$Z10),"",ROUND(((W10*X10+MAX(0,K$8-$AA10)*КРОК_ГОСТЯ)*(1-$U$5)+K$8*$AB10*(1-$U$5*$U$6)+$AD10*(1-$U$5*$U$7))/ОКРУГЛЕННЯ,0)*ОКРУГЛЕННЯ)</f>
        <v/>
      </c>
      <c r="L10" s="22" t="n">
        <f aca="false">IF(OR($AF10=0,L$8&gt;$Z10),"",ROUND(((W10*X10*Y10+MAX(0,L$8-$AA10)*КРОК_ГОСТЯ)*(1-$U$5)+L$8*$AC10*(1-$U$5*$U$6)+$AD10*(1-$U$5*$U$7))/ОКРУГЛЕННЯ,0)*ОКРУГЛЕННЯ)</f>
        <v>6120</v>
      </c>
      <c r="M10" s="22" t="n">
        <f aca="false">IF(OR($AF10=0,M$8&gt;$Z10),"",ROUND(((W10*X10*Y10+MAX(0,M$8-$AA10)*КРОК_ГОСТЯ)*(1-$U$5)+M$8*$AC10*(1-$U$5*$U$6)+$AD10*(1-$U$5*$U$7))/ОКРУГЛЕННЯ,0)*ОКРУГЛЕННЯ)</f>
        <v>6120</v>
      </c>
      <c r="N10" s="22" t="n">
        <f aca="false">IF(OR($AF10=0,N$8&gt;$Z10),"",ROUND(((W10*X10*Y10+MAX(0,N$8-$AA10)*КРОК_ГОСТЯ)*(1-$U$5)+N$8*$AC10*(1-$U$5*$U$6)+$AD10*(1-$U$5*$U$7))/ОКРУГЛЕННЯ,0)*ОКРУГЛЕННЯ)</f>
        <v>6620</v>
      </c>
      <c r="O10" s="22" t="str">
        <f aca="false">IF(OR($AF10=0,O$8&gt;$Z10),"",ROUND(((W10*X10*Y10+MAX(0,O$8-$AA10)*КРОК_ГОСТЯ)*(1-$U$5)+O$8*$AC10*(1-$U$5*$U$6)+$AD10*(1-$U$5*$U$7))/ОКРУГЛЕННЯ,0)*ОКРУГЛЕННЯ)</f>
        <v/>
      </c>
      <c r="P10" s="22" t="str">
        <f aca="false">IF(OR($AF10=0,P$8&gt;$Z10),"",ROUND(((W10*X10*Y10+MAX(0,P$8-$AA10)*КРОК_ГОСТЯ)*(1-$U$5)+P$8*$AC10*(1-$U$5*$U$6)+$AD10*(1-$U$5*$U$7))/ОКРУГЛЕННЯ,0)*ОКРУГЛЕННЯ)</f>
        <v/>
      </c>
      <c r="Q10" s="22" t="str">
        <f aca="false">IF(OR($AF10=0,Q$8&gt;$Z10),"",ROUND(((W10*X10*Y10+MAX(0,Q$8-$AA10)*КРОК_ГОСТЯ)*(1-$U$5)+Q$8*$AC10*(1-$U$5*$U$6)+$AD10*(1-$U$5*$U$7))/ОКРУГЛЕННЯ,0)*ОКРУГЛЕННЯ)</f>
        <v/>
      </c>
      <c r="R10" s="22" t="str">
        <f aca="false">IF(OR($AF10=0,R$8&gt;$Z10),"",ROUND(((W10*X10*Y10+MAX(0,R$8-$AA10)*КРОК_ГОСТЯ)*(1-$U$5)+R$8*$AC10*(1-$U$5*$U$6)+$AD10*(1-$U$5*$U$7))/ОКРУГЛЕННЯ,0)*ОКРУГЛЕННЯ)</f>
        <v/>
      </c>
      <c r="S10" s="22" t="str">
        <f aca="false">IF(OR($AF10=0,S$8&gt;$Z10),"",ROUND(((W10*X10*Y10+MAX(0,S$8-$AA10)*КРОК_ГОСТЯ)*(1-$U$5)+S$8*$AC10*(1-$U$5*$U$6)+$AD10*(1-$U$5*$U$7))/ОКРУГЛЕННЯ,0)*ОКРУГЛЕННЯ)</f>
        <v/>
      </c>
      <c r="U10" s="6" t="str">
        <f aca="false">IF($U$8=0,"",IF($B$5="ROSPABB","BB",$B$5))</f>
        <v/>
      </c>
      <c r="V10" s="7" t="s">
        <v>19</v>
      </c>
      <c r="W10" s="17" t="n">
        <f aca="false">IF(OR($U$3=0,$A10=""),0,IFERROR(INDEX(БАЗА_RO,MATCH(INDEX(ДОВ_ОПОРА,MATCH($A10,КАТЕГОРІЇ,0)),БАЗА_КАТ,0),$U$3),0))</f>
        <v>4998</v>
      </c>
      <c r="X10" s="18" t="n">
        <f aca="false">IF(OR($U$3=0,$A10=""),0,IFERROR(INDEX(МНОЖНИКИ,MATCH($A10,МНОЖ_КАТ,0),$U$3),0))</f>
        <v>1.05</v>
      </c>
      <c r="Y10" s="18" t="n">
        <f aca="false">IF(OR($U$3=0,$A10=""),0,IFERROR(INDEX(МНОЖНИКИ,MATCH($A10,МНОЖ_КАТ,0),$U$3+1),0))</f>
        <v>1.09</v>
      </c>
      <c r="Z10" s="9" t="n">
        <f aca="false">IF($A10="",0,IFERROR(INDEX(ДОВ_МАКС,MATCH($A10,КАТЕГОРІЇ,0)),0))</f>
        <v>3</v>
      </c>
      <c r="AA10" s="9" t="n">
        <f aca="false">IF($A10="",0,IFERROR(INDEX(ДОВ_ВКЛ,MATCH($A10,КАТЕГОРІЇ,0)),0))</f>
        <v>2</v>
      </c>
      <c r="AB10" s="6" t="n">
        <f aca="false">IF(OR($U$3=0,$U$8=0),0,IFERROR(INDEX(ПАКЕТИ_ЦІНИ,MATCH($U$10&amp;"|Будні",ПАКЕТИ_КЛЮЧ,0),$U$3),0))</f>
        <v>0</v>
      </c>
      <c r="AC10" s="6" t="n">
        <f aca="false">IF(OR($U$3=0,$U$8=0),0,IFERROR(INDEX(ПАКЕТИ_ЦІНИ,MATCH($U$10&amp;"|Вихідні",ПАКЕТИ_КЛЮЧ,0),$U$3),0))</f>
        <v>0</v>
      </c>
      <c r="AD10" s="17" t="n">
        <f aca="false">IF(OR($U$3=0,$U$9=0,$A10=""),0,IFERROR(INDEX(SPA_ЦІНИ,MATCH(INDEX(ДОВ_SPA,MATCH($A10,КАТЕГОРІЇ,0)),SPA_РОЛЬ,0),$U$3),0))</f>
        <v>400</v>
      </c>
      <c r="AE10" s="6" t="n">
        <f aca="false">IF(OR($A10="",W10=0,X10=0,AND($U$8=1,AB10=0),AND($U$9=1,AD10=0)),0,1)</f>
        <v>1</v>
      </c>
      <c r="AF10" s="6" t="n">
        <f aca="false">IF(OR(AE10=0,Y10=0,AND($U$8=1,AC10=0)),0,1)</f>
        <v>1</v>
      </c>
    </row>
    <row r="11" customFormat="false" ht="15" hidden="false" customHeight="false" outlineLevel="0" collapsed="false">
      <c r="A11" s="13" t="str">
        <f aca="false">IF('Довідник категорій'!A7="","",'Довідник категорій'!A7)</f>
        <v>Котедж комфорт класу</v>
      </c>
      <c r="B11" s="14" t="str">
        <f aca="false">IF($A11="","",IFERROR(INDEX(ДОВ_BOOKING,MATCH($A11,КАТЕГОРІЇ,0)),""))</f>
        <v>Стандартна віла 96 м²</v>
      </c>
      <c r="C11" s="15" t="str">
        <f aca="false">IF($A11="","",IFERROR(INDEX(ДОВ_ГРУПА,MATCH($A11,КАТЕГОРІЇ,0)),""))</f>
        <v>Котеджі 3 спальні</v>
      </c>
      <c r="D11" s="16" t="n">
        <f aca="false">IF(OR($AE11=0,D$8&gt;$Z11),"",ROUND(((W11*X11+MAX(0,D$8-$AA11)*КРОК_ГОСТЯ)*(1-$U$5)+D$8*$AB11*(1-$U$5*$U$6)+$AD11*(1-$U$5*$U$7))/ОКРУГЛЕННЯ,0)*ОКРУГЛЕННЯ)</f>
        <v>7380</v>
      </c>
      <c r="E11" s="16" t="n">
        <f aca="false">IF(OR($AE11=0,E$8&gt;$Z11),"",ROUND(((W11*X11+MAX(0,E$8-$AA11)*КРОК_ГОСТЯ)*(1-$U$5)+E$8*$AB11*(1-$U$5*$U$6)+$AD11*(1-$U$5*$U$7))/ОКРУГЛЕННЯ,0)*ОКРУГЛЕННЯ)</f>
        <v>7380</v>
      </c>
      <c r="F11" s="16" t="n">
        <f aca="false">IF(OR($AE11=0,F$8&gt;$Z11),"",ROUND(((W11*X11+MAX(0,F$8-$AA11)*КРОК_ГОСТЯ)*(1-$U$5)+F$8*$AB11*(1-$U$5*$U$6)+$AD11*(1-$U$5*$U$7))/ОКРУГЛЕННЯ,0)*ОКРУГЛЕННЯ)</f>
        <v>7880</v>
      </c>
      <c r="G11" s="16" t="n">
        <f aca="false">IF(OR($AE11=0,G$8&gt;$Z11),"",ROUND(((W11*X11+MAX(0,G$8-$AA11)*КРОК_ГОСТЯ)*(1-$U$5)+G$8*$AB11*(1-$U$5*$U$6)+$AD11*(1-$U$5*$U$7))/ОКРУГЛЕННЯ,0)*ОКРУГЛЕННЯ)</f>
        <v>8380</v>
      </c>
      <c r="H11" s="16" t="n">
        <f aca="false">IF(OR($AE11=0,H$8&gt;$Z11),"",ROUND(((W11*X11+MAX(0,H$8-$AA11)*КРОК_ГОСТЯ)*(1-$U$5)+H$8*$AB11*(1-$U$5*$U$6)+$AD11*(1-$U$5*$U$7))/ОКРУГЛЕННЯ,0)*ОКРУГЛЕННЯ)</f>
        <v>8880</v>
      </c>
      <c r="I11" s="16" t="n">
        <f aca="false">IF(OR($AE11=0,I$8&gt;$Z11),"",ROUND(((W11*X11+MAX(0,I$8-$AA11)*КРОК_ГОСТЯ)*(1-$U$5)+I$8*$AB11*(1-$U$5*$U$6)+$AD11*(1-$U$5*$U$7))/ОКРУГЛЕННЯ,0)*ОКРУГЛЕННЯ)</f>
        <v>9380</v>
      </c>
      <c r="J11" s="16" t="str">
        <f aca="false">IF(OR($AE11=0,J$8&gt;$Z11),"",ROUND(((W11*X11+MAX(0,J$8-$AA11)*КРОК_ГОСТЯ)*(1-$U$5)+J$8*$AB11*(1-$U$5*$U$6)+$AD11*(1-$U$5*$U$7))/ОКРУГЛЕННЯ,0)*ОКРУГЛЕННЯ)</f>
        <v/>
      </c>
      <c r="K11" s="16" t="str">
        <f aca="false">IF(OR($AE11=0,K$8&gt;$Z11),"",ROUND(((W11*X11+MAX(0,K$8-$AA11)*КРОК_ГОСТЯ)*(1-$U$5)+K$8*$AB11*(1-$U$5*$U$6)+$AD11*(1-$U$5*$U$7))/ОКРУГЛЕННЯ,0)*ОКРУГЛЕННЯ)</f>
        <v/>
      </c>
      <c r="L11" s="16" t="n">
        <f aca="false">IF(OR($AF11=0,L$8&gt;$Z11),"",ROUND(((W11*X11*Y11+MAX(0,L$8-$AA11)*КРОК_ГОСТЯ)*(1-$U$5)+L$8*$AC11*(1-$U$5*$U$6)+$AD11*(1-$U$5*$U$7))/ОКРУГЛЕННЯ,0)*ОКРУГЛЕННЯ)</f>
        <v>8038</v>
      </c>
      <c r="M11" s="16" t="n">
        <f aca="false">IF(OR($AF11=0,M$8&gt;$Z11),"",ROUND(((W11*X11*Y11+MAX(0,M$8-$AA11)*КРОК_ГОСТЯ)*(1-$U$5)+M$8*$AC11*(1-$U$5*$U$6)+$AD11*(1-$U$5*$U$7))/ОКРУГЛЕННЯ,0)*ОКРУГЛЕННЯ)</f>
        <v>8038</v>
      </c>
      <c r="N11" s="16" t="n">
        <f aca="false">IF(OR($AF11=0,N$8&gt;$Z11),"",ROUND(((W11*X11*Y11+MAX(0,N$8-$AA11)*КРОК_ГОСТЯ)*(1-$U$5)+N$8*$AC11*(1-$U$5*$U$6)+$AD11*(1-$U$5*$U$7))/ОКРУГЛЕННЯ,0)*ОКРУГЛЕННЯ)</f>
        <v>8538</v>
      </c>
      <c r="O11" s="16" t="n">
        <f aca="false">IF(OR($AF11=0,O$8&gt;$Z11),"",ROUND(((W11*X11*Y11+MAX(0,O$8-$AA11)*КРОК_ГОСТЯ)*(1-$U$5)+O$8*$AC11*(1-$U$5*$U$6)+$AD11*(1-$U$5*$U$7))/ОКРУГЛЕННЯ,0)*ОКРУГЛЕННЯ)</f>
        <v>9038</v>
      </c>
      <c r="P11" s="16" t="n">
        <f aca="false">IF(OR($AF11=0,P$8&gt;$Z11),"",ROUND(((W11*X11*Y11+MAX(0,P$8-$AA11)*КРОК_ГОСТЯ)*(1-$U$5)+P$8*$AC11*(1-$U$5*$U$6)+$AD11*(1-$U$5*$U$7))/ОКРУГЛЕННЯ,0)*ОКРУГЛЕННЯ)</f>
        <v>9538</v>
      </c>
      <c r="Q11" s="16" t="n">
        <f aca="false">IF(OR($AF11=0,Q$8&gt;$Z11),"",ROUND(((W11*X11*Y11+MAX(0,Q$8-$AA11)*КРОК_ГОСТЯ)*(1-$U$5)+Q$8*$AC11*(1-$U$5*$U$6)+$AD11*(1-$U$5*$U$7))/ОКРУГЛЕННЯ,0)*ОКРУГЛЕННЯ)</f>
        <v>10038</v>
      </c>
      <c r="R11" s="16" t="str">
        <f aca="false">IF(OR($AF11=0,R$8&gt;$Z11),"",ROUND(((W11*X11*Y11+MAX(0,R$8-$AA11)*КРОК_ГОСТЯ)*(1-$U$5)+R$8*$AC11*(1-$U$5*$U$6)+$AD11*(1-$U$5*$U$7))/ОКРУГЛЕННЯ,0)*ОКРУГЛЕННЯ)</f>
        <v/>
      </c>
      <c r="S11" s="16" t="str">
        <f aca="false">IF(OR($AF11=0,S$8&gt;$Z11),"",ROUND(((W11*X11*Y11+MAX(0,S$8-$AA11)*КРОК_ГОСТЯ)*(1-$U$5)+S$8*$AC11*(1-$U$5*$U$6)+$AD11*(1-$U$5*$U$7))/ОКРУГЛЕННЯ,0)*ОКРУГЛЕННЯ)</f>
        <v/>
      </c>
      <c r="U11" s="6" t="str">
        <f aca="false">IF($U$12=0,"період не заданий",IFERROR(IF(OR(INDEX(ПЛ_ДАТА_З,$U$12)="",INDEX(ПЛ_ДАТА_ПО,$U$12)=""),"період не заданий",TEXT(DAY(INDEX(ПЛ_ДАТА_З,$U$12)),"00")&amp;"."&amp;TEXT(MONTH(INDEX(ПЛ_ДАТА_З,$U$12)),"00")&amp;"."&amp;YEAR(INDEX(ПЛ_ДАТА_З,$U$12))&amp;" – "&amp;TEXT(DAY(INDEX(ПЛ_ДАТА_ПО,$U$12)),"00")&amp;"."&amp;TEXT(MONTH(INDEX(ПЛ_ДАТА_ПО,$U$12)),"00")&amp;"."&amp;YEAR(INDEX(ПЛ_ДАТА_ПО,$U$12))),"період не заданий"))</f>
        <v>01.10.2026 – 30.11.2026</v>
      </c>
      <c r="V11" s="7" t="s">
        <v>20</v>
      </c>
      <c r="W11" s="17" t="n">
        <f aca="false">IF(OR($U$3=0,$A11=""),0,IFERROR(INDEX(БАЗА_RO,MATCH(INDEX(ДОВ_ОПОРА,MATCH($A11,КАТЕГОРІЇ,0)),БАЗА_КАТ,0),$U$3),0))</f>
        <v>6580</v>
      </c>
      <c r="X11" s="18" t="n">
        <f aca="false">IF(OR($U$3=0,$A11=""),0,IFERROR(INDEX(МНОЖНИКИ,MATCH($A11,МНОЖ_КАТ,0),$U$3),0))</f>
        <v>1</v>
      </c>
      <c r="Y11" s="18" t="n">
        <f aca="false">IF(OR($U$3=0,$A11=""),0,IFERROR(INDEX(МНОЖНИКИ,MATCH($A11,МНОЖ_КАТ,0),$U$3+1),0))</f>
        <v>1.1</v>
      </c>
      <c r="Z11" s="9" t="n">
        <f aca="false">IF($A11="",0,IFERROR(INDEX(ДОВ_МАКС,MATCH($A11,КАТЕГОРІЇ,0)),0))</f>
        <v>6</v>
      </c>
      <c r="AA11" s="9" t="n">
        <f aca="false">IF($A11="",0,IFERROR(INDEX(ДОВ_ВКЛ,MATCH($A11,КАТЕГОРІЇ,0)),0))</f>
        <v>2</v>
      </c>
      <c r="AB11" s="6" t="n">
        <f aca="false">IF(OR($U$3=0,$U$8=0),0,IFERROR(INDEX(ПАКЕТИ_ЦІНИ,MATCH($U$10&amp;"|Будні",ПАКЕТИ_КЛЮЧ,0),$U$3),0))</f>
        <v>0</v>
      </c>
      <c r="AC11" s="6" t="n">
        <f aca="false">IF(OR($U$3=0,$U$8=0),0,IFERROR(INDEX(ПАКЕТИ_ЦІНИ,MATCH($U$10&amp;"|Вихідні",ПАКЕТИ_КЛЮЧ,0),$U$3),0))</f>
        <v>0</v>
      </c>
      <c r="AD11" s="17" t="n">
        <f aca="false">IF(OR($U$3=0,$U$9=0,$A11=""),0,IFERROR(INDEX(SPA_ЦІНИ,MATCH(INDEX(ДОВ_SPA,MATCH($A11,КАТЕГОРІЇ,0)),SPA_РОЛЬ,0),$U$3),0))</f>
        <v>800</v>
      </c>
      <c r="AE11" s="6" t="n">
        <f aca="false">IF(OR($A11="",W11=0,X11=0,AND($U$8=1,AB11=0),AND($U$9=1,AD11=0)),0,1)</f>
        <v>1</v>
      </c>
      <c r="AF11" s="6" t="n">
        <f aca="false">IF(OR(AE11=0,Y11=0,AND($U$8=1,AC11=0)),0,1)</f>
        <v>1</v>
      </c>
    </row>
    <row r="12" customFormat="false" ht="15" hidden="false" customHeight="false" outlineLevel="0" collapsed="false">
      <c r="A12" s="19" t="str">
        <f aca="false">IF('Довідник категорій'!A8="","",'Довідник категорій'!A8)</f>
        <v>Шале преміум</v>
      </c>
      <c r="B12" s="20" t="str">
        <f aca="false">IF($A12="","",IFERROR(INDEX(ДОВ_BOOKING,MATCH($A12,КАТЕГОРІЇ,0)),""))</f>
        <v>Віла з 3 спальнями 96 м²</v>
      </c>
      <c r="C12" s="21" t="str">
        <f aca="false">IF($A12="","",IFERROR(INDEX(ДОВ_ГРУПА,MATCH($A12,КАТЕГОРІЇ,0)),""))</f>
        <v>Котеджі 3 спальні</v>
      </c>
      <c r="D12" s="22" t="n">
        <f aca="false">IF(OR($AE12=0,D$8&gt;$Z12),"",ROUND(((W12*X12+MAX(0,D$8-$AA12)*КРОК_ГОСТЯ)*(1-$U$5)+D$8*$AB12*(1-$U$5*$U$6)+$AD12*(1-$U$5*$U$7))/ОКРУГЛЕННЯ,0)*ОКРУГЛЕННЯ)</f>
        <v>7709</v>
      </c>
      <c r="E12" s="22" t="n">
        <f aca="false">IF(OR($AE12=0,E$8&gt;$Z12),"",ROUND(((W12*X12+MAX(0,E$8-$AA12)*КРОК_ГОСТЯ)*(1-$U$5)+E$8*$AB12*(1-$U$5*$U$6)+$AD12*(1-$U$5*$U$7))/ОКРУГЛЕННЯ,0)*ОКРУГЛЕННЯ)</f>
        <v>7709</v>
      </c>
      <c r="F12" s="22" t="n">
        <f aca="false">IF(OR($AE12=0,F$8&gt;$Z12),"",ROUND(((W12*X12+MAX(0,F$8-$AA12)*КРОК_ГОСТЯ)*(1-$U$5)+F$8*$AB12*(1-$U$5*$U$6)+$AD12*(1-$U$5*$U$7))/ОКРУГЛЕННЯ,0)*ОКРУГЛЕННЯ)</f>
        <v>8209</v>
      </c>
      <c r="G12" s="22" t="n">
        <f aca="false">IF(OR($AE12=0,G$8&gt;$Z12),"",ROUND(((W12*X12+MAX(0,G$8-$AA12)*КРОК_ГОСТЯ)*(1-$U$5)+G$8*$AB12*(1-$U$5*$U$6)+$AD12*(1-$U$5*$U$7))/ОКРУГЛЕННЯ,0)*ОКРУГЛЕННЯ)</f>
        <v>8709</v>
      </c>
      <c r="H12" s="22" t="n">
        <f aca="false">IF(OR($AE12=0,H$8&gt;$Z12),"",ROUND(((W12*X12+MAX(0,H$8-$AA12)*КРОК_ГОСТЯ)*(1-$U$5)+H$8*$AB12*(1-$U$5*$U$6)+$AD12*(1-$U$5*$U$7))/ОКРУГЛЕННЯ,0)*ОКРУГЛЕННЯ)</f>
        <v>9209</v>
      </c>
      <c r="I12" s="22" t="n">
        <f aca="false">IF(OR($AE12=0,I$8&gt;$Z12),"",ROUND(((W12*X12+MAX(0,I$8-$AA12)*КРОК_ГОСТЯ)*(1-$U$5)+I$8*$AB12*(1-$U$5*$U$6)+$AD12*(1-$U$5*$U$7))/ОКРУГЛЕННЯ,0)*ОКРУГЛЕННЯ)</f>
        <v>9709</v>
      </c>
      <c r="J12" s="22" t="str">
        <f aca="false">IF(OR($AE12=0,J$8&gt;$Z12),"",ROUND(((W12*X12+MAX(0,J$8-$AA12)*КРОК_ГОСТЯ)*(1-$U$5)+J$8*$AB12*(1-$U$5*$U$6)+$AD12*(1-$U$5*$U$7))/ОКРУГЛЕННЯ,0)*ОКРУГЛЕННЯ)</f>
        <v/>
      </c>
      <c r="K12" s="22" t="str">
        <f aca="false">IF(OR($AE12=0,K$8&gt;$Z12),"",ROUND(((W12*X12+MAX(0,K$8-$AA12)*КРОК_ГОСТЯ)*(1-$U$5)+K$8*$AB12*(1-$U$5*$U$6)+$AD12*(1-$U$5*$U$7))/ОКРУГЛЕННЯ,0)*ОКРУГЛЕННЯ)</f>
        <v/>
      </c>
      <c r="L12" s="22" t="n">
        <f aca="false">IF(OR($AF12=0,L$8&gt;$Z12),"",ROUND(((W12*X12*Y12+MAX(0,L$8-$AA12)*КРОК_ГОСТЯ)*(1-$U$5)+L$8*$AC12*(1-$U$5*$U$6)+$AD12*(1-$U$5*$U$7))/ОКРУГЛЕННЯ,0)*ОКРУГЛЕННЯ)</f>
        <v>8262</v>
      </c>
      <c r="M12" s="22" t="n">
        <f aca="false">IF(OR($AF12=0,M$8&gt;$Z12),"",ROUND(((W12*X12*Y12+MAX(0,M$8-$AA12)*КРОК_ГОСТЯ)*(1-$U$5)+M$8*$AC12*(1-$U$5*$U$6)+$AD12*(1-$U$5*$U$7))/ОКРУГЛЕННЯ,0)*ОКРУГЛЕННЯ)</f>
        <v>8262</v>
      </c>
      <c r="N12" s="22" t="n">
        <f aca="false">IF(OR($AF12=0,N$8&gt;$Z12),"",ROUND(((W12*X12*Y12+MAX(0,N$8-$AA12)*КРОК_ГОСТЯ)*(1-$U$5)+N$8*$AC12*(1-$U$5*$U$6)+$AD12*(1-$U$5*$U$7))/ОКРУГЛЕННЯ,0)*ОКРУГЛЕННЯ)</f>
        <v>8762</v>
      </c>
      <c r="O12" s="22" t="n">
        <f aca="false">IF(OR($AF12=0,O$8&gt;$Z12),"",ROUND(((W12*X12*Y12+MAX(0,O$8-$AA12)*КРОК_ГОСТЯ)*(1-$U$5)+O$8*$AC12*(1-$U$5*$U$6)+$AD12*(1-$U$5*$U$7))/ОКРУГЛЕННЯ,0)*ОКРУГЛЕННЯ)</f>
        <v>9262</v>
      </c>
      <c r="P12" s="22" t="n">
        <f aca="false">IF(OR($AF12=0,P$8&gt;$Z12),"",ROUND(((W12*X12*Y12+MAX(0,P$8-$AA12)*КРОК_ГОСТЯ)*(1-$U$5)+P$8*$AC12*(1-$U$5*$U$6)+$AD12*(1-$U$5*$U$7))/ОКРУГЛЕННЯ,0)*ОКРУГЛЕННЯ)</f>
        <v>9762</v>
      </c>
      <c r="Q12" s="22" t="n">
        <f aca="false">IF(OR($AF12=0,Q$8&gt;$Z12),"",ROUND(((W12*X12*Y12+MAX(0,Q$8-$AA12)*КРОК_ГОСТЯ)*(1-$U$5)+Q$8*$AC12*(1-$U$5*$U$6)+$AD12*(1-$U$5*$U$7))/ОКРУГЛЕННЯ,0)*ОКРУГЛЕННЯ)</f>
        <v>10262</v>
      </c>
      <c r="R12" s="22" t="str">
        <f aca="false">IF(OR($AF12=0,R$8&gt;$Z12),"",ROUND(((W12*X12*Y12+MAX(0,R$8-$AA12)*КРОК_ГОСТЯ)*(1-$U$5)+R$8*$AC12*(1-$U$5*$U$6)+$AD12*(1-$U$5*$U$7))/ОКРУГЛЕННЯ,0)*ОКРУГЛЕННЯ)</f>
        <v/>
      </c>
      <c r="S12" s="22" t="str">
        <f aca="false">IF(OR($AF12=0,S$8&gt;$Z12),"",ROUND(((W12*X12*Y12+MAX(0,S$8-$AA12)*КРОК_ГОСТЯ)*(1-$U$5)+S$8*$AC12*(1-$U$5*$U$6)+$AD12*(1-$U$5*$U$7))/ОКРУГЛЕННЯ,0)*ОКРУГЛЕННЯ)</f>
        <v/>
      </c>
      <c r="U12" s="6" t="n">
        <f aca="false">IFERROR(MATCH($B$3,ПРАЙС_ЛИСТИ,0),0)</f>
        <v>3</v>
      </c>
      <c r="V12" s="7" t="s">
        <v>21</v>
      </c>
      <c r="W12" s="17" t="n">
        <f aca="false">IF(OR($U$3=0,$A12=""),0,IFERROR(INDEX(БАЗА_RO,MATCH(INDEX(ДОВ_ОПОРА,MATCH($A12,КАТЕГОРІЇ,0)),БАЗА_КАТ,0),$U$3),0))</f>
        <v>6580</v>
      </c>
      <c r="X12" s="18" t="n">
        <f aca="false">IF(OR($U$3=0,$A12=""),0,IFERROR(INDEX(МНОЖНИКИ,MATCH($A12,МНОЖ_КАТ,0),$U$3),0))</f>
        <v>1.05</v>
      </c>
      <c r="Y12" s="18" t="n">
        <f aca="false">IF(OR($U$3=0,$A12=""),0,IFERROR(INDEX(МНОЖНИКИ,MATCH($A12,МНОЖ_КАТ,0),$U$3+1),0))</f>
        <v>1.08</v>
      </c>
      <c r="Z12" s="9" t="n">
        <f aca="false">IF($A12="",0,IFERROR(INDEX(ДОВ_МАКС,MATCH($A12,КАТЕГОРІЇ,0)),0))</f>
        <v>6</v>
      </c>
      <c r="AA12" s="9" t="n">
        <f aca="false">IF($A12="",0,IFERROR(INDEX(ДОВ_ВКЛ,MATCH($A12,КАТЕГОРІЇ,0)),0))</f>
        <v>2</v>
      </c>
      <c r="AB12" s="6" t="n">
        <f aca="false">IF(OR($U$3=0,$U$8=0),0,IFERROR(INDEX(ПАКЕТИ_ЦІНИ,MATCH($U$10&amp;"|Будні",ПАКЕТИ_КЛЮЧ,0),$U$3),0))</f>
        <v>0</v>
      </c>
      <c r="AC12" s="6" t="n">
        <f aca="false">IF(OR($U$3=0,$U$8=0),0,IFERROR(INDEX(ПАКЕТИ_ЦІНИ,MATCH($U$10&amp;"|Вихідні",ПАКЕТИ_КЛЮЧ,0),$U$3),0))</f>
        <v>0</v>
      </c>
      <c r="AD12" s="17" t="n">
        <f aca="false">IF(OR($U$3=0,$U$9=0,$A12=""),0,IFERROR(INDEX(SPA_ЦІНИ,MATCH(INDEX(ДОВ_SPA,MATCH($A12,КАТЕГОРІЇ,0)),SPA_РОЛЬ,0),$U$3),0))</f>
        <v>800</v>
      </c>
      <c r="AE12" s="6" t="n">
        <f aca="false">IF(OR($A12="",W12=0,X12=0,AND($U$8=1,AB12=0),AND($U$9=1,AD12=0)),0,1)</f>
        <v>1</v>
      </c>
      <c r="AF12" s="6" t="n">
        <f aca="false">IF(OR(AE12=0,Y12=0,AND($U$8=1,AC12=0)),0,1)</f>
        <v>1</v>
      </c>
    </row>
    <row r="13" customFormat="false" ht="15" hidden="false" customHeight="false" outlineLevel="0" collapsed="false">
      <c r="A13" s="13" t="str">
        <f aca="false">IF('Довідник категорій'!A9="","",'Довідник категорій'!A9)</f>
        <v>Шале преміум збільшене</v>
      </c>
      <c r="B13" s="14" t="str">
        <f aca="false">IF($A13="","",IFERROR(INDEX(ДОВ_BOOKING,MATCH($A13,КАТЕГОРІЇ,0)),""))</f>
        <v>Шале з 3 спальнями 112 м²</v>
      </c>
      <c r="C13" s="15" t="str">
        <f aca="false">IF($A13="","",IFERROR(INDEX(ДОВ_ГРУПА,MATCH($A13,КАТЕГОРІЇ,0)),""))</f>
        <v>Котеджі 3 спальні</v>
      </c>
      <c r="D13" s="16" t="n">
        <f aca="false">IF(OR($AE13=0,D$8&gt;$Z13),"",ROUND(((W13*X13+MAX(0,D$8-$AA13)*КРОК_ГОСТЯ)*(1-$U$5)+D$8*$AB13*(1-$U$5*$U$6)+$AD13*(1-$U$5*$U$7))/ОКРУГЛЕННЯ,0)*ОКРУГЛЕННЯ)</f>
        <v>8038</v>
      </c>
      <c r="E13" s="16" t="n">
        <f aca="false">IF(OR($AE13=0,E$8&gt;$Z13),"",ROUND(((W13*X13+MAX(0,E$8-$AA13)*КРОК_ГОСТЯ)*(1-$U$5)+E$8*$AB13*(1-$U$5*$U$6)+$AD13*(1-$U$5*$U$7))/ОКРУГЛЕННЯ,0)*ОКРУГЛЕННЯ)</f>
        <v>8038</v>
      </c>
      <c r="F13" s="16" t="n">
        <f aca="false">IF(OR($AE13=0,F$8&gt;$Z13),"",ROUND(((W13*X13+MAX(0,F$8-$AA13)*КРОК_ГОСТЯ)*(1-$U$5)+F$8*$AB13*(1-$U$5*$U$6)+$AD13*(1-$U$5*$U$7))/ОКРУГЛЕННЯ,0)*ОКРУГЛЕННЯ)</f>
        <v>8538</v>
      </c>
      <c r="G13" s="16" t="n">
        <f aca="false">IF(OR($AE13=0,G$8&gt;$Z13),"",ROUND(((W13*X13+MAX(0,G$8-$AA13)*КРОК_ГОСТЯ)*(1-$U$5)+G$8*$AB13*(1-$U$5*$U$6)+$AD13*(1-$U$5*$U$7))/ОКРУГЛЕННЯ,0)*ОКРУГЛЕННЯ)</f>
        <v>9038</v>
      </c>
      <c r="H13" s="16" t="n">
        <f aca="false">IF(OR($AE13=0,H$8&gt;$Z13),"",ROUND(((W13*X13+MAX(0,H$8-$AA13)*КРОК_ГОСТЯ)*(1-$U$5)+H$8*$AB13*(1-$U$5*$U$6)+$AD13*(1-$U$5*$U$7))/ОКРУГЛЕННЯ,0)*ОКРУГЛЕННЯ)</f>
        <v>9538</v>
      </c>
      <c r="I13" s="16" t="n">
        <f aca="false">IF(OR($AE13=0,I$8&gt;$Z13),"",ROUND(((W13*X13+MAX(0,I$8-$AA13)*КРОК_ГОСТЯ)*(1-$U$5)+I$8*$AB13*(1-$U$5*$U$6)+$AD13*(1-$U$5*$U$7))/ОКРУГЛЕННЯ,0)*ОКРУГЛЕННЯ)</f>
        <v>10038</v>
      </c>
      <c r="J13" s="16" t="str">
        <f aca="false">IF(OR($AE13=0,J$8&gt;$Z13),"",ROUND(((W13*X13+MAX(0,J$8-$AA13)*КРОК_ГОСТЯ)*(1-$U$5)+J$8*$AB13*(1-$U$5*$U$6)+$AD13*(1-$U$5*$U$7))/ОКРУГЛЕННЯ,0)*ОКРУГЛЕННЯ)</f>
        <v/>
      </c>
      <c r="K13" s="16" t="str">
        <f aca="false">IF(OR($AE13=0,K$8&gt;$Z13),"",ROUND(((W13*X13+MAX(0,K$8-$AA13)*КРОК_ГОСТЯ)*(1-$U$5)+K$8*$AB13*(1-$U$5*$U$6)+$AD13*(1-$U$5*$U$7))/ОКРУГЛЕННЯ,0)*ОКРУГЛЕННЯ)</f>
        <v/>
      </c>
      <c r="L13" s="16" t="n">
        <f aca="false">IF(OR($AF13=0,L$8&gt;$Z13),"",ROUND(((W13*X13*Y13+MAX(0,L$8-$AA13)*КРОК_ГОСТЯ)*(1-$U$5)+L$8*$AC13*(1-$U$5*$U$6)+$AD13*(1-$U$5*$U$7))/ОКРУГЛЕННЯ,0)*ОКРУГЛЕННЯ)</f>
        <v>8545</v>
      </c>
      <c r="M13" s="16" t="n">
        <f aca="false">IF(OR($AF13=0,M$8&gt;$Z13),"",ROUND(((W13*X13*Y13+MAX(0,M$8-$AA13)*КРОК_ГОСТЯ)*(1-$U$5)+M$8*$AC13*(1-$U$5*$U$6)+$AD13*(1-$U$5*$U$7))/ОКРУГЛЕННЯ,0)*ОКРУГЛЕННЯ)</f>
        <v>8545</v>
      </c>
      <c r="N13" s="16" t="n">
        <f aca="false">IF(OR($AF13=0,N$8&gt;$Z13),"",ROUND(((W13*X13*Y13+MAX(0,N$8-$AA13)*КРОК_ГОСТЯ)*(1-$U$5)+N$8*$AC13*(1-$U$5*$U$6)+$AD13*(1-$U$5*$U$7))/ОКРУГЛЕННЯ,0)*ОКРУГЛЕННЯ)</f>
        <v>9045</v>
      </c>
      <c r="O13" s="16" t="n">
        <f aca="false">IF(OR($AF13=0,O$8&gt;$Z13),"",ROUND(((W13*X13*Y13+MAX(0,O$8-$AA13)*КРОК_ГОСТЯ)*(1-$U$5)+O$8*$AC13*(1-$U$5*$U$6)+$AD13*(1-$U$5*$U$7))/ОКРУГЛЕННЯ,0)*ОКРУГЛЕННЯ)</f>
        <v>9545</v>
      </c>
      <c r="P13" s="16" t="n">
        <f aca="false">IF(OR($AF13=0,P$8&gt;$Z13),"",ROUND(((W13*X13*Y13+MAX(0,P$8-$AA13)*КРОК_ГОСТЯ)*(1-$U$5)+P$8*$AC13*(1-$U$5*$U$6)+$AD13*(1-$U$5*$U$7))/ОКРУГЛЕННЯ,0)*ОКРУГЛЕННЯ)</f>
        <v>10045</v>
      </c>
      <c r="Q13" s="16" t="n">
        <f aca="false">IF(OR($AF13=0,Q$8&gt;$Z13),"",ROUND(((W13*X13*Y13+MAX(0,Q$8-$AA13)*КРОК_ГОСТЯ)*(1-$U$5)+Q$8*$AC13*(1-$U$5*$U$6)+$AD13*(1-$U$5*$U$7))/ОКРУГЛЕННЯ,0)*ОКРУГЛЕННЯ)</f>
        <v>10545</v>
      </c>
      <c r="R13" s="16" t="str">
        <f aca="false">IF(OR($AF13=0,R$8&gt;$Z13),"",ROUND(((W13*X13*Y13+MAX(0,R$8-$AA13)*КРОК_ГОСТЯ)*(1-$U$5)+R$8*$AC13*(1-$U$5*$U$6)+$AD13*(1-$U$5*$U$7))/ОКРУГЛЕННЯ,0)*ОКРУГЛЕННЯ)</f>
        <v/>
      </c>
      <c r="S13" s="16" t="str">
        <f aca="false">IF(OR($AF13=0,S$8&gt;$Z13),"",ROUND(((W13*X13*Y13+MAX(0,S$8-$AA13)*КРОК_ГОСТЯ)*(1-$U$5)+S$8*$AC13*(1-$U$5*$U$6)+$AD13*(1-$U$5*$U$7))/ОКРУГЛЕННЯ,0)*ОКРУГЛЕННЯ)</f>
        <v/>
      </c>
      <c r="U13" s="6" t="n">
        <f aca="false">IF($U$3=0,0,COUNT(INDEX(БАЗА_RO,1,$U$3),INDEX(БАЗА_RO,2,$U$3),INDEX(БАЗА_RO,3,$U$3),INDEX(БАЗА_RO,4,$U$3)))</f>
        <v>4</v>
      </c>
      <c r="V13" s="7" t="s">
        <v>22</v>
      </c>
      <c r="W13" s="17" t="n">
        <f aca="false">IF(OR($U$3=0,$A13=""),0,IFERROR(INDEX(БАЗА_RO,MATCH(INDEX(ДОВ_ОПОРА,MATCH($A13,КАТЕГОРІЇ,0)),БАЗА_КАТ,0),$U$3),0))</f>
        <v>6580</v>
      </c>
      <c r="X13" s="18" t="n">
        <f aca="false">IF(OR($U$3=0,$A13=""),0,IFERROR(INDEX(МНОЖНИКИ,MATCH($A13,МНОЖ_КАТ,0),$U$3),0))</f>
        <v>1.1</v>
      </c>
      <c r="Y13" s="18" t="n">
        <f aca="false">IF(OR($U$3=0,$A13=""),0,IFERROR(INDEX(МНОЖНИКИ,MATCH($A13,МНОЖ_КАТ,0),$U$3+1),0))</f>
        <v>1.07</v>
      </c>
      <c r="Z13" s="9" t="n">
        <f aca="false">IF($A13="",0,IFERROR(INDEX(ДОВ_МАКС,MATCH($A13,КАТЕГОРІЇ,0)),0))</f>
        <v>6</v>
      </c>
      <c r="AA13" s="9" t="n">
        <f aca="false">IF($A13="",0,IFERROR(INDEX(ДОВ_ВКЛ,MATCH($A13,КАТЕГОРІЇ,0)),0))</f>
        <v>2</v>
      </c>
      <c r="AB13" s="6" t="n">
        <f aca="false">IF(OR($U$3=0,$U$8=0),0,IFERROR(INDEX(ПАКЕТИ_ЦІНИ,MATCH($U$10&amp;"|Будні",ПАКЕТИ_КЛЮЧ,0),$U$3),0))</f>
        <v>0</v>
      </c>
      <c r="AC13" s="6" t="n">
        <f aca="false">IF(OR($U$3=0,$U$8=0),0,IFERROR(INDEX(ПАКЕТИ_ЦІНИ,MATCH($U$10&amp;"|Вихідні",ПАКЕТИ_КЛЮЧ,0),$U$3),0))</f>
        <v>0</v>
      </c>
      <c r="AD13" s="17" t="n">
        <f aca="false">IF(OR($U$3=0,$U$9=0,$A13=""),0,IFERROR(INDEX(SPA_ЦІНИ,MATCH(INDEX(ДОВ_SPA,MATCH($A13,КАТЕГОРІЇ,0)),SPA_РОЛЬ,0),$U$3),0))</f>
        <v>800</v>
      </c>
      <c r="AE13" s="6" t="n">
        <f aca="false">IF(OR($A13="",W13=0,X13=0,AND($U$8=1,AB13=0),AND($U$9=1,AD13=0)),0,1)</f>
        <v>1</v>
      </c>
      <c r="AF13" s="6" t="n">
        <f aca="false">IF(OR(AE13=0,Y13=0,AND($U$8=1,AC13=0)),0,1)</f>
        <v>1</v>
      </c>
    </row>
    <row r="14" customFormat="false" ht="15" hidden="false" customHeight="false" outlineLevel="0" collapsed="false">
      <c r="A14" s="19" t="str">
        <f aca="false">IF('Довідник категорій'!A10="","",'Довідник категорій'!A10)</f>
        <v>Шале преміум збільшене East Hill</v>
      </c>
      <c r="B14" s="20" t="str">
        <f aca="false">IF($A14="","",IFERROR(INDEX(ДОВ_BOOKING,MATCH($A14,КАТЕГОРІЇ,0)),""))</f>
        <v>Шале з 3 спальнями 112 м²</v>
      </c>
      <c r="C14" s="21" t="str">
        <f aca="false">IF($A14="","",IFERROR(INDEX(ДОВ_ГРУПА,MATCH($A14,КАТЕГОРІЇ,0)),""))</f>
        <v>Котеджі 3 спальні</v>
      </c>
      <c r="D14" s="22" t="n">
        <f aca="false">IF(OR($AE14=0,D$8&gt;$Z14),"",ROUND(((W14*X14+MAX(0,D$8-$AA14)*КРОК_ГОСТЯ)*(1-$U$5)+D$8*$AB14*(1-$U$5*$U$6)+$AD14*(1-$U$5*$U$7))/ОКРУГЛЕННЯ,0)*ОКРУГЛЕННЯ)</f>
        <v>8367</v>
      </c>
      <c r="E14" s="22" t="n">
        <f aca="false">IF(OR($AE14=0,E$8&gt;$Z14),"",ROUND(((W14*X14+MAX(0,E$8-$AA14)*КРОК_ГОСТЯ)*(1-$U$5)+E$8*$AB14*(1-$U$5*$U$6)+$AD14*(1-$U$5*$U$7))/ОКРУГЛЕННЯ,0)*ОКРУГЛЕННЯ)</f>
        <v>8367</v>
      </c>
      <c r="F14" s="22" t="n">
        <f aca="false">IF(OR($AE14=0,F$8&gt;$Z14),"",ROUND(((W14*X14+MAX(0,F$8-$AA14)*КРОК_ГОСТЯ)*(1-$U$5)+F$8*$AB14*(1-$U$5*$U$6)+$AD14*(1-$U$5*$U$7))/ОКРУГЛЕННЯ,0)*ОКРУГЛЕННЯ)</f>
        <v>8867</v>
      </c>
      <c r="G14" s="22" t="n">
        <f aca="false">IF(OR($AE14=0,G$8&gt;$Z14),"",ROUND(((W14*X14+MAX(0,G$8-$AA14)*КРОК_ГОСТЯ)*(1-$U$5)+G$8*$AB14*(1-$U$5*$U$6)+$AD14*(1-$U$5*$U$7))/ОКРУГЛЕННЯ,0)*ОКРУГЛЕННЯ)</f>
        <v>9367</v>
      </c>
      <c r="H14" s="22" t="n">
        <f aca="false">IF(OR($AE14=0,H$8&gt;$Z14),"",ROUND(((W14*X14+MAX(0,H$8-$AA14)*КРОК_ГОСТЯ)*(1-$U$5)+H$8*$AB14*(1-$U$5*$U$6)+$AD14*(1-$U$5*$U$7))/ОКРУГЛЕННЯ,0)*ОКРУГЛЕННЯ)</f>
        <v>9867</v>
      </c>
      <c r="I14" s="22" t="n">
        <f aca="false">IF(OR($AE14=0,I$8&gt;$Z14),"",ROUND(((W14*X14+MAX(0,I$8-$AA14)*КРОК_ГОСТЯ)*(1-$U$5)+I$8*$AB14*(1-$U$5*$U$6)+$AD14*(1-$U$5*$U$7))/ОКРУГЛЕННЯ,0)*ОКРУГЛЕННЯ)</f>
        <v>10367</v>
      </c>
      <c r="J14" s="22" t="str">
        <f aca="false">IF(OR($AE14=0,J$8&gt;$Z14),"",ROUND(((W14*X14+MAX(0,J$8-$AA14)*КРОК_ГОСТЯ)*(1-$U$5)+J$8*$AB14*(1-$U$5*$U$6)+$AD14*(1-$U$5*$U$7))/ОКРУГЛЕННЯ,0)*ОКРУГЛЕННЯ)</f>
        <v/>
      </c>
      <c r="K14" s="22" t="str">
        <f aca="false">IF(OR($AE14=0,K$8&gt;$Z14),"",ROUND(((W14*X14+MAX(0,K$8-$AA14)*КРОК_ГОСТЯ)*(1-$U$5)+K$8*$AB14*(1-$U$5*$U$6)+$AD14*(1-$U$5*$U$7))/ОКРУГЛЕННЯ,0)*ОКРУГЛЕННЯ)</f>
        <v/>
      </c>
      <c r="L14" s="22" t="n">
        <f aca="false">IF(OR($AF14=0,L$8&gt;$Z14),"",ROUND(((W14*X14*Y14+MAX(0,L$8-$AA14)*КРОК_ГОСТЯ)*(1-$U$5)+L$8*$AC14*(1-$U$5*$U$6)+$AD14*(1-$U$5*$U$7))/ОКРУГЛЕННЯ,0)*ОКРУГЛЕННЯ)</f>
        <v>8821</v>
      </c>
      <c r="M14" s="22" t="n">
        <f aca="false">IF(OR($AF14=0,M$8&gt;$Z14),"",ROUND(((W14*X14*Y14+MAX(0,M$8-$AA14)*КРОК_ГОСТЯ)*(1-$U$5)+M$8*$AC14*(1-$U$5*$U$6)+$AD14*(1-$U$5*$U$7))/ОКРУГЛЕННЯ,0)*ОКРУГЛЕННЯ)</f>
        <v>8821</v>
      </c>
      <c r="N14" s="22" t="n">
        <f aca="false">IF(OR($AF14=0,N$8&gt;$Z14),"",ROUND(((W14*X14*Y14+MAX(0,N$8-$AA14)*КРОК_ГОСТЯ)*(1-$U$5)+N$8*$AC14*(1-$U$5*$U$6)+$AD14*(1-$U$5*$U$7))/ОКРУГЛЕННЯ,0)*ОКРУГЛЕННЯ)</f>
        <v>9321</v>
      </c>
      <c r="O14" s="22" t="n">
        <f aca="false">IF(OR($AF14=0,O$8&gt;$Z14),"",ROUND(((W14*X14*Y14+MAX(0,O$8-$AA14)*КРОК_ГОСТЯ)*(1-$U$5)+O$8*$AC14*(1-$U$5*$U$6)+$AD14*(1-$U$5*$U$7))/ОКРУГЛЕННЯ,0)*ОКРУГЛЕННЯ)</f>
        <v>9821</v>
      </c>
      <c r="P14" s="22" t="n">
        <f aca="false">IF(OR($AF14=0,P$8&gt;$Z14),"",ROUND(((W14*X14*Y14+MAX(0,P$8-$AA14)*КРОК_ГОСТЯ)*(1-$U$5)+P$8*$AC14*(1-$U$5*$U$6)+$AD14*(1-$U$5*$U$7))/ОКРУГЛЕННЯ,0)*ОКРУГЛЕННЯ)</f>
        <v>10321</v>
      </c>
      <c r="Q14" s="22" t="n">
        <f aca="false">IF(OR($AF14=0,Q$8&gt;$Z14),"",ROUND(((W14*X14*Y14+MAX(0,Q$8-$AA14)*КРОК_ГОСТЯ)*(1-$U$5)+Q$8*$AC14*(1-$U$5*$U$6)+$AD14*(1-$U$5*$U$7))/ОКРУГЛЕННЯ,0)*ОКРУГЛЕННЯ)</f>
        <v>10821</v>
      </c>
      <c r="R14" s="22" t="str">
        <f aca="false">IF(OR($AF14=0,R$8&gt;$Z14),"",ROUND(((W14*X14*Y14+MAX(0,R$8-$AA14)*КРОК_ГОСТЯ)*(1-$U$5)+R$8*$AC14*(1-$U$5*$U$6)+$AD14*(1-$U$5*$U$7))/ОКРУГЛЕННЯ,0)*ОКРУГЛЕННЯ)</f>
        <v/>
      </c>
      <c r="S14" s="22" t="str">
        <f aca="false">IF(OR($AF14=0,S$8&gt;$Z14),"",ROUND(((W14*X14*Y14+MAX(0,S$8-$AA14)*КРОК_ГОСТЯ)*(1-$U$5)+S$8*$AC14*(1-$U$5*$U$6)+$AD14*(1-$U$5*$U$7))/ОКРУГЛЕННЯ,0)*ОКРУГЛЕННЯ)</f>
        <v/>
      </c>
      <c r="W14" s="17" t="n">
        <f aca="false">IF(OR($U$3=0,$A14=""),0,IFERROR(INDEX(БАЗА_RO,MATCH(INDEX(ДОВ_ОПОРА,MATCH($A14,КАТЕГОРІЇ,0)),БАЗА_КАТ,0),$U$3),0))</f>
        <v>6580</v>
      </c>
      <c r="X14" s="18" t="n">
        <f aca="false">IF(OR($U$3=0,$A14=""),0,IFERROR(INDEX(МНОЖНИКИ,MATCH($A14,МНОЖ_КАТ,0),$U$3),0))</f>
        <v>1.15</v>
      </c>
      <c r="Y14" s="18" t="n">
        <f aca="false">IF(OR($U$3=0,$A14=""),0,IFERROR(INDEX(МНОЖНИКИ,MATCH($A14,МНОЖ_КАТ,0),$U$3+1),0))</f>
        <v>1.06</v>
      </c>
      <c r="Z14" s="9" t="n">
        <f aca="false">IF($A14="",0,IFERROR(INDEX(ДОВ_МАКС,MATCH($A14,КАТЕГОРІЇ,0)),0))</f>
        <v>6</v>
      </c>
      <c r="AA14" s="9" t="n">
        <f aca="false">IF($A14="",0,IFERROR(INDEX(ДОВ_ВКЛ,MATCH($A14,КАТЕГОРІЇ,0)),0))</f>
        <v>2</v>
      </c>
      <c r="AB14" s="6" t="n">
        <f aca="false">IF(OR($U$3=0,$U$8=0),0,IFERROR(INDEX(ПАКЕТИ_ЦІНИ,MATCH($U$10&amp;"|Будні",ПАКЕТИ_КЛЮЧ,0),$U$3),0))</f>
        <v>0</v>
      </c>
      <c r="AC14" s="6" t="n">
        <f aca="false">IF(OR($U$3=0,$U$8=0),0,IFERROR(INDEX(ПАКЕТИ_ЦІНИ,MATCH($U$10&amp;"|Вихідні",ПАКЕТИ_КЛЮЧ,0),$U$3),0))</f>
        <v>0</v>
      </c>
      <c r="AD14" s="17" t="n">
        <f aca="false">IF(OR($U$3=0,$U$9=0,$A14=""),0,IFERROR(INDEX(SPA_ЦІНИ,MATCH(INDEX(ДОВ_SPA,MATCH($A14,КАТЕГОРІЇ,0)),SPA_РОЛЬ,0),$U$3),0))</f>
        <v>800</v>
      </c>
      <c r="AE14" s="6" t="n">
        <f aca="false">IF(OR($A14="",W14=0,X14=0,AND($U$8=1,AB14=0),AND($U$9=1,AD14=0)),0,1)</f>
        <v>1</v>
      </c>
      <c r="AF14" s="6" t="n">
        <f aca="false">IF(OR(AE14=0,Y14=0,AND($U$8=1,AC14=0)),0,1)</f>
        <v>1</v>
      </c>
    </row>
    <row r="15" customFormat="false" ht="15" hidden="false" customHeight="false" outlineLevel="0" collapsed="false">
      <c r="A15" s="13" t="str">
        <f aca="false">IF('Довідник категорій'!A11="","",'Довідник категорій'!A11)</f>
        <v>Президентське шале</v>
      </c>
      <c r="B15" s="14" t="str">
        <f aca="false">IF($A15="","",IFERROR(INDEX(ДОВ_BOOKING,MATCH($A15,КАТЕГОРІЇ,0)),""))</f>
        <v>Шале Люкс</v>
      </c>
      <c r="C15" s="15" t="str">
        <f aca="false">IF($A15="","",IFERROR(INDEX(ДОВ_ГРУПА,MATCH($A15,КАТЕГОРІЇ,0)),""))</f>
        <v>Котеджі 3 спальні</v>
      </c>
      <c r="D15" s="16" t="n">
        <f aca="false">IF(OR($AE15=0,D$8&gt;$Z15),"",ROUND(((W15*X15+MAX(0,D$8-$AA15)*КРОК_ГОСТЯ)*(1-$U$5)+D$8*$AB15*(1-$U$5*$U$6)+$AD15*(1-$U$5*$U$7))/ОКРУГЛЕННЯ,0)*ОКРУГЛЕННЯ)</f>
        <v>10670</v>
      </c>
      <c r="E15" s="16" t="n">
        <f aca="false">IF(OR($AE15=0,E$8&gt;$Z15),"",ROUND(((W15*X15+MAX(0,E$8-$AA15)*КРОК_ГОСТЯ)*(1-$U$5)+E$8*$AB15*(1-$U$5*$U$6)+$AD15*(1-$U$5*$U$7))/ОКРУГЛЕННЯ,0)*ОКРУГЛЕННЯ)</f>
        <v>10670</v>
      </c>
      <c r="F15" s="16" t="n">
        <f aca="false">IF(OR($AE15=0,F$8&gt;$Z15),"",ROUND(((W15*X15+MAX(0,F$8-$AA15)*КРОК_ГОСТЯ)*(1-$U$5)+F$8*$AB15*(1-$U$5*$U$6)+$AD15*(1-$U$5*$U$7))/ОКРУГЛЕННЯ,0)*ОКРУГЛЕННЯ)</f>
        <v>11170</v>
      </c>
      <c r="G15" s="16" t="n">
        <f aca="false">IF(OR($AE15=0,G$8&gt;$Z15),"",ROUND(((W15*X15+MAX(0,G$8-$AA15)*КРОК_ГОСТЯ)*(1-$U$5)+G$8*$AB15*(1-$U$5*$U$6)+$AD15*(1-$U$5*$U$7))/ОКРУГЛЕННЯ,0)*ОКРУГЛЕННЯ)</f>
        <v>11670</v>
      </c>
      <c r="H15" s="16" t="n">
        <f aca="false">IF(OR($AE15=0,H$8&gt;$Z15),"",ROUND(((W15*X15+MAX(0,H$8-$AA15)*КРОК_ГОСТЯ)*(1-$U$5)+H$8*$AB15*(1-$U$5*$U$6)+$AD15*(1-$U$5*$U$7))/ОКРУГЛЕННЯ,0)*ОКРУГЛЕННЯ)</f>
        <v>12170</v>
      </c>
      <c r="I15" s="16" t="n">
        <f aca="false">IF(OR($AE15=0,I$8&gt;$Z15),"",ROUND(((W15*X15+MAX(0,I$8-$AA15)*КРОК_ГОСТЯ)*(1-$U$5)+I$8*$AB15*(1-$U$5*$U$6)+$AD15*(1-$U$5*$U$7))/ОКРУГЛЕННЯ,0)*ОКРУГЛЕННЯ)</f>
        <v>12670</v>
      </c>
      <c r="J15" s="16" t="n">
        <f aca="false">IF(OR($AE15=0,J$8&gt;$Z15),"",ROUND(((W15*X15+MAX(0,J$8-$AA15)*КРОК_ГОСТЯ)*(1-$U$5)+J$8*$AB15*(1-$U$5*$U$6)+$AD15*(1-$U$5*$U$7))/ОКРУГЛЕННЯ,0)*ОКРУГЛЕННЯ)</f>
        <v>13170</v>
      </c>
      <c r="K15" s="16" t="n">
        <f aca="false">IF(OR($AE15=0,K$8&gt;$Z15),"",ROUND(((W15*X15+MAX(0,K$8-$AA15)*КРОК_ГОСТЯ)*(1-$U$5)+K$8*$AB15*(1-$U$5*$U$6)+$AD15*(1-$U$5*$U$7))/ОКРУГЛЕННЯ,0)*ОКРУГЛЕННЯ)</f>
        <v>13670</v>
      </c>
      <c r="L15" s="16" t="n">
        <f aca="false">IF(OR($AF15=0,L$8&gt;$Z15),"",ROUND(((W15*X15*Y15+MAX(0,L$8-$AA15)*КРОК_ГОСТЯ)*(1-$U$5)+L$8*$AC15*(1-$U$5*$U$6)+$AD15*(1-$U$5*$U$7))/ОКРУГЛЕННЯ,0)*ОКРУГЛЕННЯ)</f>
        <v>11065</v>
      </c>
      <c r="M15" s="16" t="n">
        <f aca="false">IF(OR($AF15=0,M$8&gt;$Z15),"",ROUND(((W15*X15*Y15+MAX(0,M$8-$AA15)*КРОК_ГОСТЯ)*(1-$U$5)+M$8*$AC15*(1-$U$5*$U$6)+$AD15*(1-$U$5*$U$7))/ОКРУГЛЕННЯ,0)*ОКРУГЛЕННЯ)</f>
        <v>11065</v>
      </c>
      <c r="N15" s="16" t="n">
        <f aca="false">IF(OR($AF15=0,N$8&gt;$Z15),"",ROUND(((W15*X15*Y15+MAX(0,N$8-$AA15)*КРОК_ГОСТЯ)*(1-$U$5)+N$8*$AC15*(1-$U$5*$U$6)+$AD15*(1-$U$5*$U$7))/ОКРУГЛЕННЯ,0)*ОКРУГЛЕННЯ)</f>
        <v>11565</v>
      </c>
      <c r="O15" s="16" t="n">
        <f aca="false">IF(OR($AF15=0,O$8&gt;$Z15),"",ROUND(((W15*X15*Y15+MAX(0,O$8-$AA15)*КРОК_ГОСТЯ)*(1-$U$5)+O$8*$AC15*(1-$U$5*$U$6)+$AD15*(1-$U$5*$U$7))/ОКРУГЛЕННЯ,0)*ОКРУГЛЕННЯ)</f>
        <v>12065</v>
      </c>
      <c r="P15" s="16" t="n">
        <f aca="false">IF(OR($AF15=0,P$8&gt;$Z15),"",ROUND(((W15*X15*Y15+MAX(0,P$8-$AA15)*КРОК_ГОСТЯ)*(1-$U$5)+P$8*$AC15*(1-$U$5*$U$6)+$AD15*(1-$U$5*$U$7))/ОКРУГЛЕННЯ,0)*ОКРУГЛЕННЯ)</f>
        <v>12565</v>
      </c>
      <c r="Q15" s="16" t="n">
        <f aca="false">IF(OR($AF15=0,Q$8&gt;$Z15),"",ROUND(((W15*X15*Y15+MAX(0,Q$8-$AA15)*КРОК_ГОСТЯ)*(1-$U$5)+Q$8*$AC15*(1-$U$5*$U$6)+$AD15*(1-$U$5*$U$7))/ОКРУГЛЕННЯ,0)*ОКРУГЛЕННЯ)</f>
        <v>13065</v>
      </c>
      <c r="R15" s="16" t="n">
        <f aca="false">IF(OR($AF15=0,R$8&gt;$Z15),"",ROUND(((W15*X15*Y15+MAX(0,R$8-$AA15)*КРОК_ГОСТЯ)*(1-$U$5)+R$8*$AC15*(1-$U$5*$U$6)+$AD15*(1-$U$5*$U$7))/ОКРУГЛЕННЯ,0)*ОКРУГЛЕННЯ)</f>
        <v>13565</v>
      </c>
      <c r="S15" s="16" t="n">
        <f aca="false">IF(OR($AF15=0,S$8&gt;$Z15),"",ROUND(((W15*X15*Y15+MAX(0,S$8-$AA15)*КРОК_ГОСТЯ)*(1-$U$5)+S$8*$AC15*(1-$U$5*$U$6)+$AD15*(1-$U$5*$U$7))/ОКРУГЛЕННЯ,0)*ОКРУГЛЕННЯ)</f>
        <v>14065</v>
      </c>
      <c r="W15" s="17" t="n">
        <f aca="false">IF(OR($U$3=0,$A15=""),0,IFERROR(INDEX(БАЗА_RO,MATCH(INDEX(ДОВ_ОПОРА,MATCH($A15,КАТЕГОРІЇ,0)),БАЗА_КАТ,0),$U$3),0))</f>
        <v>6580</v>
      </c>
      <c r="X15" s="18" t="n">
        <f aca="false">IF(OR($U$3=0,$A15=""),0,IFERROR(INDEX(МНОЖНИКИ,MATCH($A15,МНОЖ_КАТ,0),$U$3),0))</f>
        <v>1.5</v>
      </c>
      <c r="Y15" s="18" t="n">
        <f aca="false">IF(OR($U$3=0,$A15=""),0,IFERROR(INDEX(МНОЖНИКИ,MATCH($A15,МНОЖ_КАТ,0),$U$3+1),0))</f>
        <v>1.04</v>
      </c>
      <c r="Z15" s="9" t="n">
        <f aca="false">IF($A15="",0,IFERROR(INDEX(ДОВ_МАКС,MATCH($A15,КАТЕГОРІЇ,0)),0))</f>
        <v>8</v>
      </c>
      <c r="AA15" s="9" t="n">
        <f aca="false">IF($A15="",0,IFERROR(INDEX(ДОВ_ВКЛ,MATCH($A15,КАТЕГОРІЇ,0)),0))</f>
        <v>2</v>
      </c>
      <c r="AB15" s="6" t="n">
        <f aca="false">IF(OR($U$3=0,$U$8=0),0,IFERROR(INDEX(ПАКЕТИ_ЦІНИ,MATCH($U$10&amp;"|Будні",ПАКЕТИ_КЛЮЧ,0),$U$3),0))</f>
        <v>0</v>
      </c>
      <c r="AC15" s="6" t="n">
        <f aca="false">IF(OR($U$3=0,$U$8=0),0,IFERROR(INDEX(ПАКЕТИ_ЦІНИ,MATCH($U$10&amp;"|Вихідні",ПАКЕТИ_КЛЮЧ,0),$U$3),0))</f>
        <v>0</v>
      </c>
      <c r="AD15" s="17" t="n">
        <f aca="false">IF(OR($U$3=0,$U$9=0,$A15=""),0,IFERROR(INDEX(SPA_ЦІНИ,MATCH(INDEX(ДОВ_SPA,MATCH($A15,КАТЕГОРІЇ,0)),SPA_РОЛЬ,0),$U$3),0))</f>
        <v>800</v>
      </c>
      <c r="AE15" s="6" t="n">
        <f aca="false">IF(OR($A15="",W15=0,X15=0,AND($U$8=1,AB15=0),AND($U$9=1,AD15=0)),0,1)</f>
        <v>1</v>
      </c>
      <c r="AF15" s="6" t="n">
        <f aca="false">IF(OR(AE15=0,Y15=0,AND($U$8=1,AC15=0)),0,1)</f>
        <v>1</v>
      </c>
    </row>
    <row r="16" customFormat="false" ht="15" hidden="false" customHeight="false" outlineLevel="0" collapsed="false">
      <c r="A16" s="19" t="str">
        <f aca="false">IF('Довідник категорій'!A12="","",'Довідник категорій'!A12)</f>
        <v>Апартаменти стандартні 20 м²</v>
      </c>
      <c r="B16" s="20" t="str">
        <f aca="false">IF($A16="","",IFERROR(INDEX(ДОВ_BOOKING,MATCH($A16,КАТЕГОРІЇ,0)),""))</f>
        <v>Апартаменти стандартні 20 м²</v>
      </c>
      <c r="C16" s="21" t="str">
        <f aca="false">IF($A16="","",IFERROR(INDEX(ДОВ_ГРУПА,MATCH($A16,КАТЕГОРІЇ,0)),""))</f>
        <v>Apartments A</v>
      </c>
      <c r="D16" s="22" t="n">
        <f aca="false">IF(OR($AE16=0,D$8&gt;$Z16),"",ROUND(((W16*X16+MAX(0,D$8-$AA16)*КРОК_ГОСТЯ)*(1-$U$5)+D$8*$AB16*(1-$U$5*$U$6)+$AD16*(1-$U$5*$U$7))/ОКРУГЛЕННЯ,0)*ОКРУГЛЕННЯ)</f>
        <v>2770</v>
      </c>
      <c r="E16" s="22" t="n">
        <f aca="false">IF(OR($AE16=0,E$8&gt;$Z16),"",ROUND(((W16*X16+MAX(0,E$8-$AA16)*КРОК_ГОСТЯ)*(1-$U$5)+E$8*$AB16*(1-$U$5*$U$6)+$AD16*(1-$U$5*$U$7))/ОКРУГЛЕННЯ,0)*ОКРУГЛЕННЯ)</f>
        <v>2770</v>
      </c>
      <c r="F16" s="22" t="str">
        <f aca="false">IF(OR($AE16=0,F$8&gt;$Z16),"",ROUND(((W16*X16+MAX(0,F$8-$AA16)*КРОК_ГОСТЯ)*(1-$U$5)+F$8*$AB16*(1-$U$5*$U$6)+$AD16*(1-$U$5*$U$7))/ОКРУГЛЕННЯ,0)*ОКРУГЛЕННЯ)</f>
        <v/>
      </c>
      <c r="G16" s="22" t="str">
        <f aca="false">IF(OR($AE16=0,G$8&gt;$Z16),"",ROUND(((W16*X16+MAX(0,G$8-$AA16)*КРОК_ГОСТЯ)*(1-$U$5)+G$8*$AB16*(1-$U$5*$U$6)+$AD16*(1-$U$5*$U$7))/ОКРУГЛЕННЯ,0)*ОКРУГЛЕННЯ)</f>
        <v/>
      </c>
      <c r="H16" s="22" t="str">
        <f aca="false">IF(OR($AE16=0,H$8&gt;$Z16),"",ROUND(((W16*X16+MAX(0,H$8-$AA16)*КРОК_ГОСТЯ)*(1-$U$5)+H$8*$AB16*(1-$U$5*$U$6)+$AD16*(1-$U$5*$U$7))/ОКРУГЛЕННЯ,0)*ОКРУГЛЕННЯ)</f>
        <v/>
      </c>
      <c r="I16" s="22" t="str">
        <f aca="false">IF(OR($AE16=0,I$8&gt;$Z16),"",ROUND(((W16*X16+MAX(0,I$8-$AA16)*КРОК_ГОСТЯ)*(1-$U$5)+I$8*$AB16*(1-$U$5*$U$6)+$AD16*(1-$U$5*$U$7))/ОКРУГЛЕННЯ,0)*ОКРУГЛЕННЯ)</f>
        <v/>
      </c>
      <c r="J16" s="22" t="str">
        <f aca="false">IF(OR($AE16=0,J$8&gt;$Z16),"",ROUND(((W16*X16+MAX(0,J$8-$AA16)*КРОК_ГОСТЯ)*(1-$U$5)+J$8*$AB16*(1-$U$5*$U$6)+$AD16*(1-$U$5*$U$7))/ОКРУГЛЕННЯ,0)*ОКРУГЛЕННЯ)</f>
        <v/>
      </c>
      <c r="K16" s="22" t="str">
        <f aca="false">IF(OR($AE16=0,K$8&gt;$Z16),"",ROUND(((W16*X16+MAX(0,K$8-$AA16)*КРОК_ГОСТЯ)*(1-$U$5)+K$8*$AB16*(1-$U$5*$U$6)+$AD16*(1-$U$5*$U$7))/ОКРУГЛЕННЯ,0)*ОКРУГЛЕННЯ)</f>
        <v/>
      </c>
      <c r="L16" s="22" t="n">
        <f aca="false">IF(OR($AF16=0,L$8&gt;$Z16),"",ROUND(((W16*X16*Y16+MAX(0,L$8-$AA16)*КРОК_ГОСТЯ)*(1-$U$5)+L$8*$AC16*(1-$U$5*$U$6)+$AD16*(1-$U$5*$U$7))/ОКРУГЛЕННЯ,0)*ОКРУГЛЕННЯ)</f>
        <v>3007</v>
      </c>
      <c r="M16" s="22" t="n">
        <f aca="false">IF(OR($AF16=0,M$8&gt;$Z16),"",ROUND(((W16*X16*Y16+MAX(0,M$8-$AA16)*КРОК_ГОСТЯ)*(1-$U$5)+M$8*$AC16*(1-$U$5*$U$6)+$AD16*(1-$U$5*$U$7))/ОКРУГЛЕННЯ,0)*ОКРУГЛЕННЯ)</f>
        <v>3007</v>
      </c>
      <c r="N16" s="22" t="str">
        <f aca="false">IF(OR($AF16=0,N$8&gt;$Z16),"",ROUND(((W16*X16*Y16+MAX(0,N$8-$AA16)*КРОК_ГОСТЯ)*(1-$U$5)+N$8*$AC16*(1-$U$5*$U$6)+$AD16*(1-$U$5*$U$7))/ОКРУГЛЕННЯ,0)*ОКРУГЛЕННЯ)</f>
        <v/>
      </c>
      <c r="O16" s="22" t="str">
        <f aca="false">IF(OR($AF16=0,O$8&gt;$Z16),"",ROUND(((W16*X16*Y16+MAX(0,O$8-$AA16)*КРОК_ГОСТЯ)*(1-$U$5)+O$8*$AC16*(1-$U$5*$U$6)+$AD16*(1-$U$5*$U$7))/ОКРУГЛЕННЯ,0)*ОКРУГЛЕННЯ)</f>
        <v/>
      </c>
      <c r="P16" s="22" t="str">
        <f aca="false">IF(OR($AF16=0,P$8&gt;$Z16),"",ROUND(((W16*X16*Y16+MAX(0,P$8-$AA16)*КРОК_ГОСТЯ)*(1-$U$5)+P$8*$AC16*(1-$U$5*$U$6)+$AD16*(1-$U$5*$U$7))/ОКРУГЛЕННЯ,0)*ОКРУГЛЕННЯ)</f>
        <v/>
      </c>
      <c r="Q16" s="22" t="str">
        <f aca="false">IF(OR($AF16=0,Q$8&gt;$Z16),"",ROUND(((W16*X16*Y16+MAX(0,Q$8-$AA16)*КРОК_ГОСТЯ)*(1-$U$5)+Q$8*$AC16*(1-$U$5*$U$6)+$AD16*(1-$U$5*$U$7))/ОКРУГЛЕННЯ,0)*ОКРУГЛЕННЯ)</f>
        <v/>
      </c>
      <c r="R16" s="22" t="str">
        <f aca="false">IF(OR($AF16=0,R$8&gt;$Z16),"",ROUND(((W16*X16*Y16+MAX(0,R$8-$AA16)*КРОК_ГОСТЯ)*(1-$U$5)+R$8*$AC16*(1-$U$5*$U$6)+$AD16*(1-$U$5*$U$7))/ОКРУГЛЕННЯ,0)*ОКРУГЛЕННЯ)</f>
        <v/>
      </c>
      <c r="S16" s="22" t="str">
        <f aca="false">IF(OR($AF16=0,S$8&gt;$Z16),"",ROUND(((W16*X16*Y16+MAX(0,S$8-$AA16)*КРОК_ГОСТЯ)*(1-$U$5)+S$8*$AC16*(1-$U$5*$U$6)+$AD16*(1-$U$5*$U$7))/ОКРУГЛЕННЯ,0)*ОКРУГЛЕННЯ)</f>
        <v/>
      </c>
      <c r="W16" s="17" t="n">
        <f aca="false">IF(OR($U$3=0,$A16=""),0,IFERROR(INDEX(БАЗА_RO,MATCH(INDEX(ДОВ_ОПОРА,MATCH($A16,КАТЕГОРІЇ,0)),БАЗА_КАТ,0),$U$3),0))</f>
        <v>2370</v>
      </c>
      <c r="X16" s="18" t="n">
        <f aca="false">IF(OR($U$3=0,$A16=""),0,IFERROR(INDEX(МНОЖНИКИ,MATCH($A16,МНОЖ_КАТ,0),$U$3),0))</f>
        <v>1</v>
      </c>
      <c r="Y16" s="18" t="n">
        <f aca="false">IF(OR($U$3=0,$A16=""),0,IFERROR(INDEX(МНОЖНИКИ,MATCH($A16,МНОЖ_КАТ,0),$U$3+1),0))</f>
        <v>1.1</v>
      </c>
      <c r="Z16" s="9" t="n">
        <f aca="false">IF($A16="",0,IFERROR(INDEX(ДОВ_МАКС,MATCH($A16,КАТЕГОРІЇ,0)),0))</f>
        <v>2</v>
      </c>
      <c r="AA16" s="9" t="n">
        <f aca="false">IF($A16="",0,IFERROR(INDEX(ДОВ_ВКЛ,MATCH($A16,КАТЕГОРІЇ,0)),0))</f>
        <v>2</v>
      </c>
      <c r="AB16" s="6" t="n">
        <f aca="false">IF(OR($U$3=0,$U$8=0),0,IFERROR(INDEX(ПАКЕТИ_ЦІНИ,MATCH($U$10&amp;"|Будні",ПАКЕТИ_КЛЮЧ,0),$U$3),0))</f>
        <v>0</v>
      </c>
      <c r="AC16" s="6" t="n">
        <f aca="false">IF(OR($U$3=0,$U$8=0),0,IFERROR(INDEX(ПАКЕТИ_ЦІНИ,MATCH($U$10&amp;"|Вихідні",ПАКЕТИ_КЛЮЧ,0),$U$3),0))</f>
        <v>0</v>
      </c>
      <c r="AD16" s="17" t="n">
        <f aca="false">IF(OR($U$3=0,$U$9=0,$A16=""),0,IFERROR(INDEX(SPA_ЦІНИ,MATCH(INDEX(ДОВ_SPA,MATCH($A16,КАТЕГОРІЇ,0)),SPA_РОЛЬ,0),$U$3),0))</f>
        <v>400</v>
      </c>
      <c r="AE16" s="6" t="n">
        <f aca="false">IF(OR($A16="",W16=0,X16=0,AND($U$8=1,AB16=0),AND($U$9=1,AD16=0)),0,1)</f>
        <v>1</v>
      </c>
      <c r="AF16" s="6" t="n">
        <f aca="false">IF(OR(AE16=0,Y16=0,AND($U$8=1,AC16=0)),0,1)</f>
        <v>1</v>
      </c>
    </row>
    <row r="17" customFormat="false" ht="15" hidden="false" customHeight="false" outlineLevel="0" collapsed="false">
      <c r="A17" s="13" t="str">
        <f aca="false">IF('Довідник категорій'!A13="","",'Довідник категорій'!A13)</f>
        <v>Апартаменти покращені 28 м²</v>
      </c>
      <c r="B17" s="14" t="str">
        <f aca="false">IF($A17="","",IFERROR(INDEX(ДОВ_BOOKING,MATCH($A17,КАТЕГОРІЇ,0)),""))</f>
        <v>Апартаменти покращені 28 м²</v>
      </c>
      <c r="C17" s="15" t="str">
        <f aca="false">IF($A17="","",IFERROR(INDEX(ДОВ_ГРУПА,MATCH($A17,КАТЕГОРІЇ,0)),""))</f>
        <v>Apartments A</v>
      </c>
      <c r="D17" s="16" t="n">
        <f aca="false">IF(OR($AE17=0,D$8&gt;$Z17),"",ROUND(((W17*X17+MAX(0,D$8-$AA17)*КРОК_ГОСТЯ)*(1-$U$5)+D$8*$AB17*(1-$U$5*$U$6)+$AD17*(1-$U$5*$U$7))/ОКРУГЛЕННЯ,0)*ОКРУГЛЕННЯ)</f>
        <v>3126</v>
      </c>
      <c r="E17" s="16" t="n">
        <f aca="false">IF(OR($AE17=0,E$8&gt;$Z17),"",ROUND(((W17*X17+MAX(0,E$8-$AA17)*КРОК_ГОСТЯ)*(1-$U$5)+E$8*$AB17*(1-$U$5*$U$6)+$AD17*(1-$U$5*$U$7))/ОКРУГЛЕННЯ,0)*ОКРУГЛЕННЯ)</f>
        <v>3126</v>
      </c>
      <c r="F17" s="16" t="str">
        <f aca="false">IF(OR($AE17=0,F$8&gt;$Z17),"",ROUND(((W17*X17+MAX(0,F$8-$AA17)*КРОК_ГОСТЯ)*(1-$U$5)+F$8*$AB17*(1-$U$5*$U$6)+$AD17*(1-$U$5*$U$7))/ОКРУГЛЕННЯ,0)*ОКРУГЛЕННЯ)</f>
        <v/>
      </c>
      <c r="G17" s="16" t="str">
        <f aca="false">IF(OR($AE17=0,G$8&gt;$Z17),"",ROUND(((W17*X17+MAX(0,G$8-$AA17)*КРОК_ГОСТЯ)*(1-$U$5)+G$8*$AB17*(1-$U$5*$U$6)+$AD17*(1-$U$5*$U$7))/ОКРУГЛЕННЯ,0)*ОКРУГЛЕННЯ)</f>
        <v/>
      </c>
      <c r="H17" s="16" t="str">
        <f aca="false">IF(OR($AE17=0,H$8&gt;$Z17),"",ROUND(((W17*X17+MAX(0,H$8-$AA17)*КРОК_ГОСТЯ)*(1-$U$5)+H$8*$AB17*(1-$U$5*$U$6)+$AD17*(1-$U$5*$U$7))/ОКРУГЛЕННЯ,0)*ОКРУГЛЕННЯ)</f>
        <v/>
      </c>
      <c r="I17" s="16" t="str">
        <f aca="false">IF(OR($AE17=0,I$8&gt;$Z17),"",ROUND(((W17*X17+MAX(0,I$8-$AA17)*КРОК_ГОСТЯ)*(1-$U$5)+I$8*$AB17*(1-$U$5*$U$6)+$AD17*(1-$U$5*$U$7))/ОКРУГЛЕННЯ,0)*ОКРУГЛЕННЯ)</f>
        <v/>
      </c>
      <c r="J17" s="16" t="str">
        <f aca="false">IF(OR($AE17=0,J$8&gt;$Z17),"",ROUND(((W17*X17+MAX(0,J$8-$AA17)*КРОК_ГОСТЯ)*(1-$U$5)+J$8*$AB17*(1-$U$5*$U$6)+$AD17*(1-$U$5*$U$7))/ОКРУГЛЕННЯ,0)*ОКРУГЛЕННЯ)</f>
        <v/>
      </c>
      <c r="K17" s="16" t="str">
        <f aca="false">IF(OR($AE17=0,K$8&gt;$Z17),"",ROUND(((W17*X17+MAX(0,K$8-$AA17)*КРОК_ГОСТЯ)*(1-$U$5)+K$8*$AB17*(1-$U$5*$U$6)+$AD17*(1-$U$5*$U$7))/ОКРУГЛЕННЯ,0)*ОКРУГЛЕННЯ)</f>
        <v/>
      </c>
      <c r="L17" s="16" t="n">
        <f aca="false">IF(OR($AF17=0,L$8&gt;$Z17),"",ROUND(((W17*X17*Y17+MAX(0,L$8-$AA17)*КРОК_ГОСТЯ)*(1-$U$5)+L$8*$AC17*(1-$U$5*$U$6)+$AD17*(1-$U$5*$U$7))/ОКРУГЛЕННЯ,0)*ОКРУГЛЕННЯ)</f>
        <v>3398</v>
      </c>
      <c r="M17" s="16" t="n">
        <f aca="false">IF(OR($AF17=0,M$8&gt;$Z17),"",ROUND(((W17*X17*Y17+MAX(0,M$8-$AA17)*КРОК_ГОСТЯ)*(1-$U$5)+M$8*$AC17*(1-$U$5*$U$6)+$AD17*(1-$U$5*$U$7))/ОКРУГЛЕННЯ,0)*ОКРУГЛЕННЯ)</f>
        <v>3398</v>
      </c>
      <c r="N17" s="16" t="str">
        <f aca="false">IF(OR($AF17=0,N$8&gt;$Z17),"",ROUND(((W17*X17*Y17+MAX(0,N$8-$AA17)*КРОК_ГОСТЯ)*(1-$U$5)+N$8*$AC17*(1-$U$5*$U$6)+$AD17*(1-$U$5*$U$7))/ОКРУГЛЕННЯ,0)*ОКРУГЛЕННЯ)</f>
        <v/>
      </c>
      <c r="O17" s="16" t="str">
        <f aca="false">IF(OR($AF17=0,O$8&gt;$Z17),"",ROUND(((W17*X17*Y17+MAX(0,O$8-$AA17)*КРОК_ГОСТЯ)*(1-$U$5)+O$8*$AC17*(1-$U$5*$U$6)+$AD17*(1-$U$5*$U$7))/ОКРУГЛЕННЯ,0)*ОКРУГЛЕННЯ)</f>
        <v/>
      </c>
      <c r="P17" s="16" t="str">
        <f aca="false">IF(OR($AF17=0,P$8&gt;$Z17),"",ROUND(((W17*X17*Y17+MAX(0,P$8-$AA17)*КРОК_ГОСТЯ)*(1-$U$5)+P$8*$AC17*(1-$U$5*$U$6)+$AD17*(1-$U$5*$U$7))/ОКРУГЛЕННЯ,0)*ОКРУГЛЕННЯ)</f>
        <v/>
      </c>
      <c r="Q17" s="16" t="str">
        <f aca="false">IF(OR($AF17=0,Q$8&gt;$Z17),"",ROUND(((W17*X17*Y17+MAX(0,Q$8-$AA17)*КРОК_ГОСТЯ)*(1-$U$5)+Q$8*$AC17*(1-$U$5*$U$6)+$AD17*(1-$U$5*$U$7))/ОКРУГЛЕННЯ,0)*ОКРУГЛЕННЯ)</f>
        <v/>
      </c>
      <c r="R17" s="16" t="str">
        <f aca="false">IF(OR($AF17=0,R$8&gt;$Z17),"",ROUND(((W17*X17*Y17+MAX(0,R$8-$AA17)*КРОК_ГОСТЯ)*(1-$U$5)+R$8*$AC17*(1-$U$5*$U$6)+$AD17*(1-$U$5*$U$7))/ОКРУГЛЕННЯ,0)*ОКРУГЛЕННЯ)</f>
        <v/>
      </c>
      <c r="S17" s="16" t="str">
        <f aca="false">IF(OR($AF17=0,S$8&gt;$Z17),"",ROUND(((W17*X17*Y17+MAX(0,S$8-$AA17)*КРОК_ГОСТЯ)*(1-$U$5)+S$8*$AC17*(1-$U$5*$U$6)+$AD17*(1-$U$5*$U$7))/ОКРУГЛЕННЯ,0)*ОКРУГЛЕННЯ)</f>
        <v/>
      </c>
      <c r="W17" s="17" t="n">
        <f aca="false">IF(OR($U$3=0,$A17=""),0,IFERROR(INDEX(БАЗА_RO,MATCH(INDEX(ДОВ_ОПОРА,MATCH($A17,КАТЕГОРІЇ,0)),БАЗА_КАТ,0),$U$3),0))</f>
        <v>2370</v>
      </c>
      <c r="X17" s="18" t="n">
        <f aca="false">IF(OR($U$3=0,$A17=""),0,IFERROR(INDEX(МНОЖНИКИ,MATCH($A17,МНОЖ_КАТ,0),$U$3),0))</f>
        <v>1.15</v>
      </c>
      <c r="Y17" s="18" t="n">
        <f aca="false">IF(OR($U$3=0,$A17=""),0,IFERROR(INDEX(МНОЖНИКИ,MATCH($A17,МНОЖ_КАТ,0),$U$3+1),0))</f>
        <v>1.1</v>
      </c>
      <c r="Z17" s="9" t="n">
        <f aca="false">IF($A17="",0,IFERROR(INDEX(ДОВ_МАКС,MATCH($A17,КАТЕГОРІЇ,0)),0))</f>
        <v>2</v>
      </c>
      <c r="AA17" s="9" t="n">
        <f aca="false">IF($A17="",0,IFERROR(INDEX(ДОВ_ВКЛ,MATCH($A17,КАТЕГОРІЇ,0)),0))</f>
        <v>2</v>
      </c>
      <c r="AB17" s="6" t="n">
        <f aca="false">IF(OR($U$3=0,$U$8=0),0,IFERROR(INDEX(ПАКЕТИ_ЦІНИ,MATCH($U$10&amp;"|Будні",ПАКЕТИ_КЛЮЧ,0),$U$3),0))</f>
        <v>0</v>
      </c>
      <c r="AC17" s="6" t="n">
        <f aca="false">IF(OR($U$3=0,$U$8=0),0,IFERROR(INDEX(ПАКЕТИ_ЦІНИ,MATCH($U$10&amp;"|Вихідні",ПАКЕТИ_КЛЮЧ,0),$U$3),0))</f>
        <v>0</v>
      </c>
      <c r="AD17" s="17" t="n">
        <f aca="false">IF(OR($U$3=0,$U$9=0,$A17=""),0,IFERROR(INDEX(SPA_ЦІНИ,MATCH(INDEX(ДОВ_SPA,MATCH($A17,КАТЕГОРІЇ,0)),SPA_РОЛЬ,0),$U$3),0))</f>
        <v>400</v>
      </c>
      <c r="AE17" s="6" t="n">
        <f aca="false">IF(OR($A17="",W17=0,X17=0,AND($U$8=1,AB17=0),AND($U$9=1,AD17=0)),0,1)</f>
        <v>1</v>
      </c>
      <c r="AF17" s="6" t="n">
        <f aca="false">IF(OR(AE17=0,Y17=0,AND($U$8=1,AC17=0)),0,1)</f>
        <v>1</v>
      </c>
    </row>
    <row r="18" customFormat="false" ht="15" hidden="false" customHeight="false" outlineLevel="0" collapsed="false">
      <c r="A18" s="19" t="str">
        <f aca="false">IF('Довідник категорій'!A14="","",'Довідник категорій'!A14)</f>
        <v>Апартаменти Люкс 25 м²</v>
      </c>
      <c r="B18" s="20" t="str">
        <f aca="false">IF($A18="","",IFERROR(INDEX(ДОВ_BOOKING,MATCH($A18,КАТЕГОРІЇ,0)),""))</f>
        <v>Апартаменти Люкс 25 м²</v>
      </c>
      <c r="C18" s="21" t="str">
        <f aca="false">IF($A18="","",IFERROR(INDEX(ДОВ_ГРУПА,MATCH($A18,КАТЕГОРІЇ,0)),""))</f>
        <v>Apartments A</v>
      </c>
      <c r="D18" s="22" t="n">
        <f aca="false">IF(OR($AE18=0,D$8&gt;$Z18),"",ROUND(((W18*X18+MAX(0,D$8-$AA18)*КРОК_ГОСТЯ)*(1-$U$5)+D$8*$AB18*(1-$U$5*$U$6)+$AD18*(1-$U$5*$U$7))/ОКРУГЛЕННЯ,0)*ОКРУГЛЕННЯ)</f>
        <v>3600</v>
      </c>
      <c r="E18" s="22" t="n">
        <f aca="false">IF(OR($AE18=0,E$8&gt;$Z18),"",ROUND(((W18*X18+MAX(0,E$8-$AA18)*КРОК_ГОСТЯ)*(1-$U$5)+E$8*$AB18*(1-$U$5*$U$6)+$AD18*(1-$U$5*$U$7))/ОКРУГЛЕННЯ,0)*ОКРУГЛЕННЯ)</f>
        <v>3600</v>
      </c>
      <c r="F18" s="22" t="str">
        <f aca="false">IF(OR($AE18=0,F$8&gt;$Z18),"",ROUND(((W18*X18+MAX(0,F$8-$AA18)*КРОК_ГОСТЯ)*(1-$U$5)+F$8*$AB18*(1-$U$5*$U$6)+$AD18*(1-$U$5*$U$7))/ОКРУГЛЕННЯ,0)*ОКРУГЛЕННЯ)</f>
        <v/>
      </c>
      <c r="G18" s="22" t="str">
        <f aca="false">IF(OR($AE18=0,G$8&gt;$Z18),"",ROUND(((W18*X18+MAX(0,G$8-$AA18)*КРОК_ГОСТЯ)*(1-$U$5)+G$8*$AB18*(1-$U$5*$U$6)+$AD18*(1-$U$5*$U$7))/ОКРУГЛЕННЯ,0)*ОКРУГЛЕННЯ)</f>
        <v/>
      </c>
      <c r="H18" s="22" t="str">
        <f aca="false">IF(OR($AE18=0,H$8&gt;$Z18),"",ROUND(((W18*X18+MAX(0,H$8-$AA18)*КРОК_ГОСТЯ)*(1-$U$5)+H$8*$AB18*(1-$U$5*$U$6)+$AD18*(1-$U$5*$U$7))/ОКРУГЛЕННЯ,0)*ОКРУГЛЕННЯ)</f>
        <v/>
      </c>
      <c r="I18" s="22" t="str">
        <f aca="false">IF(OR($AE18=0,I$8&gt;$Z18),"",ROUND(((W18*X18+MAX(0,I$8-$AA18)*КРОК_ГОСТЯ)*(1-$U$5)+I$8*$AB18*(1-$U$5*$U$6)+$AD18*(1-$U$5*$U$7))/ОКРУГЛЕННЯ,0)*ОКРУГЛЕННЯ)</f>
        <v/>
      </c>
      <c r="J18" s="22" t="str">
        <f aca="false">IF(OR($AE18=0,J$8&gt;$Z18),"",ROUND(((W18*X18+MAX(0,J$8-$AA18)*КРОК_ГОСТЯ)*(1-$U$5)+J$8*$AB18*(1-$U$5*$U$6)+$AD18*(1-$U$5*$U$7))/ОКРУГЛЕННЯ,0)*ОКРУГЛЕННЯ)</f>
        <v/>
      </c>
      <c r="K18" s="22" t="str">
        <f aca="false">IF(OR($AE18=0,K$8&gt;$Z18),"",ROUND(((W18*X18+MAX(0,K$8-$AA18)*КРОК_ГОСТЯ)*(1-$U$5)+K$8*$AB18*(1-$U$5*$U$6)+$AD18*(1-$U$5*$U$7))/ОКРУГЛЕННЯ,0)*ОКРУГЛЕННЯ)</f>
        <v/>
      </c>
      <c r="L18" s="22" t="n">
        <f aca="false">IF(OR($AF18=0,L$8&gt;$Z18),"",ROUND(((W18*X18*Y18+MAX(0,L$8-$AA18)*КРОК_ГОСТЯ)*(1-$U$5)+L$8*$AC18*(1-$U$5*$U$6)+$AD18*(1-$U$5*$U$7))/ОКРУГЛЕННЯ,0)*ОКРУГЛЕННЯ)</f>
        <v>3823</v>
      </c>
      <c r="M18" s="22" t="n">
        <f aca="false">IF(OR($AF18=0,M$8&gt;$Z18),"",ROUND(((W18*X18*Y18+MAX(0,M$8-$AA18)*КРОК_ГОСТЯ)*(1-$U$5)+M$8*$AC18*(1-$U$5*$U$6)+$AD18*(1-$U$5*$U$7))/ОКРУГЛЕННЯ,0)*ОКРУГЛЕННЯ)</f>
        <v>3823</v>
      </c>
      <c r="N18" s="22" t="str">
        <f aca="false">IF(OR($AF18=0,N$8&gt;$Z18),"",ROUND(((W18*X18*Y18+MAX(0,N$8-$AA18)*КРОК_ГОСТЯ)*(1-$U$5)+N$8*$AC18*(1-$U$5*$U$6)+$AD18*(1-$U$5*$U$7))/ОКРУГЛЕННЯ,0)*ОКРУГЛЕННЯ)</f>
        <v/>
      </c>
      <c r="O18" s="22" t="str">
        <f aca="false">IF(OR($AF18=0,O$8&gt;$Z18),"",ROUND(((W18*X18*Y18+MAX(0,O$8-$AA18)*КРОК_ГОСТЯ)*(1-$U$5)+O$8*$AC18*(1-$U$5*$U$6)+$AD18*(1-$U$5*$U$7))/ОКРУГЛЕННЯ,0)*ОКРУГЛЕННЯ)</f>
        <v/>
      </c>
      <c r="P18" s="22" t="str">
        <f aca="false">IF(OR($AF18=0,P$8&gt;$Z18),"",ROUND(((W18*X18*Y18+MAX(0,P$8-$AA18)*КРОК_ГОСТЯ)*(1-$U$5)+P$8*$AC18*(1-$U$5*$U$6)+$AD18*(1-$U$5*$U$7))/ОКРУГЛЕННЯ,0)*ОКРУГЛЕННЯ)</f>
        <v/>
      </c>
      <c r="Q18" s="22" t="str">
        <f aca="false">IF(OR($AF18=0,Q$8&gt;$Z18),"",ROUND(((W18*X18*Y18+MAX(0,Q$8-$AA18)*КРОК_ГОСТЯ)*(1-$U$5)+Q$8*$AC18*(1-$U$5*$U$6)+$AD18*(1-$U$5*$U$7))/ОКРУГЛЕННЯ,0)*ОКРУГЛЕННЯ)</f>
        <v/>
      </c>
      <c r="R18" s="22" t="str">
        <f aca="false">IF(OR($AF18=0,R$8&gt;$Z18),"",ROUND(((W18*X18*Y18+MAX(0,R$8-$AA18)*КРОК_ГОСТЯ)*(1-$U$5)+R$8*$AC18*(1-$U$5*$U$6)+$AD18*(1-$U$5*$U$7))/ОКРУГЛЕННЯ,0)*ОКРУГЛЕННЯ)</f>
        <v/>
      </c>
      <c r="S18" s="22" t="str">
        <f aca="false">IF(OR($AF18=0,S$8&gt;$Z18),"",ROUND(((W18*X18*Y18+MAX(0,S$8-$AA18)*КРОК_ГОСТЯ)*(1-$U$5)+S$8*$AC18*(1-$U$5*$U$6)+$AD18*(1-$U$5*$U$7))/ОКРУГЛЕННЯ,0)*ОКРУГЛЕННЯ)</f>
        <v/>
      </c>
      <c r="W18" s="17" t="n">
        <f aca="false">IF(OR($U$3=0,$A18=""),0,IFERROR(INDEX(БАЗА_RO,MATCH(INDEX(ДОВ_ОПОРА,MATCH($A18,КАТЕГОРІЇ,0)),БАЗА_КАТ,0),$U$3),0))</f>
        <v>2370</v>
      </c>
      <c r="X18" s="18" t="n">
        <f aca="false">IF(OR($U$3=0,$A18=""),0,IFERROR(INDEX(МНОЖНИКИ,MATCH($A18,МНОЖ_КАТ,0),$U$3),0))</f>
        <v>1.35</v>
      </c>
      <c r="Y18" s="18" t="n">
        <f aca="false">IF(OR($U$3=0,$A18=""),0,IFERROR(INDEX(МНОЖНИКИ,MATCH($A18,МНОЖ_КАТ,0),$U$3+1),0))</f>
        <v>1.07</v>
      </c>
      <c r="Z18" s="9" t="n">
        <f aca="false">IF($A18="",0,IFERROR(INDEX(ДОВ_МАКС,MATCH($A18,КАТЕГОРІЇ,0)),0))</f>
        <v>2</v>
      </c>
      <c r="AA18" s="9" t="n">
        <f aca="false">IF($A18="",0,IFERROR(INDEX(ДОВ_ВКЛ,MATCH($A18,КАТЕГОРІЇ,0)),0))</f>
        <v>2</v>
      </c>
      <c r="AB18" s="6" t="n">
        <f aca="false">IF(OR($U$3=0,$U$8=0),0,IFERROR(INDEX(ПАКЕТИ_ЦІНИ,MATCH($U$10&amp;"|Будні",ПАКЕТИ_КЛЮЧ,0),$U$3),0))</f>
        <v>0</v>
      </c>
      <c r="AC18" s="6" t="n">
        <f aca="false">IF(OR($U$3=0,$U$8=0),0,IFERROR(INDEX(ПАКЕТИ_ЦІНИ,MATCH($U$10&amp;"|Вихідні",ПАКЕТИ_КЛЮЧ,0),$U$3),0))</f>
        <v>0</v>
      </c>
      <c r="AD18" s="17" t="n">
        <f aca="false">IF(OR($U$3=0,$U$9=0,$A18=""),0,IFERROR(INDEX(SPA_ЦІНИ,MATCH(INDEX(ДОВ_SPA,MATCH($A18,КАТЕГОРІЇ,0)),SPA_РОЛЬ,0),$U$3),0))</f>
        <v>400</v>
      </c>
      <c r="AE18" s="6" t="n">
        <f aca="false">IF(OR($A18="",W18=0,X18=0,AND($U$8=1,AB18=0),AND($U$9=1,AD18=0)),0,1)</f>
        <v>1</v>
      </c>
      <c r="AF18" s="6" t="n">
        <f aca="false">IF(OR(AE18=0,Y18=0,AND($U$8=1,AC18=0)),0,1)</f>
        <v>1</v>
      </c>
    </row>
    <row r="19" customFormat="false" ht="15" hidden="false" customHeight="false" outlineLevel="0" collapsed="false">
      <c r="A19" s="13" t="str">
        <f aca="false">IF('Довідник категорій'!A15="","",'Довідник категорій'!A15)</f>
        <v>Люкс зі спальнею та вітальнею</v>
      </c>
      <c r="B19" s="14" t="str">
        <f aca="false">IF($A19="","",IFERROR(INDEX(ДОВ_BOOKING,MATCH($A19,КАТЕГОРІЇ,0)),""))</f>
        <v>Стандартний двомісний люкс 52 м²</v>
      </c>
      <c r="C19" s="15" t="str">
        <f aca="false">IF($A19="","",IFERROR(INDEX(ДОВ_ГРУПА,MATCH($A19,КАТЕГОРІЇ,0)),""))</f>
        <v>Apartments A</v>
      </c>
      <c r="D19" s="16" t="n">
        <f aca="false">IF(OR($AE19=0,D$8&gt;$Z19),"",ROUND(((W19*X19+MAX(0,D$8-$AA19)*КРОК_ГОСТЯ)*(1-$U$5)+D$8*$AB19*(1-$U$5*$U$6)+$AD19*(1-$U$5*$U$7))/ОКРУГЛЕННЯ,0)*ОКРУГЛЕННЯ)</f>
        <v>4192</v>
      </c>
      <c r="E19" s="16" t="n">
        <f aca="false">IF(OR($AE19=0,E$8&gt;$Z19),"",ROUND(((W19*X19+MAX(0,E$8-$AA19)*КРОК_ГОСТЯ)*(1-$U$5)+E$8*$AB19*(1-$U$5*$U$6)+$AD19*(1-$U$5*$U$7))/ОКРУГЛЕННЯ,0)*ОКРУГЛЕННЯ)</f>
        <v>4192</v>
      </c>
      <c r="F19" s="16" t="n">
        <f aca="false">IF(OR($AE19=0,F$8&gt;$Z19),"",ROUND(((W19*X19+MAX(0,F$8-$AA19)*КРОК_ГОСТЯ)*(1-$U$5)+F$8*$AB19*(1-$U$5*$U$6)+$AD19*(1-$U$5*$U$7))/ОКРУГЛЕННЯ,0)*ОКРУГЛЕННЯ)</f>
        <v>4692</v>
      </c>
      <c r="G19" s="16" t="str">
        <f aca="false">IF(OR($AE19=0,G$8&gt;$Z19),"",ROUND(((W19*X19+MAX(0,G$8-$AA19)*КРОК_ГОСТЯ)*(1-$U$5)+G$8*$AB19*(1-$U$5*$U$6)+$AD19*(1-$U$5*$U$7))/ОКРУГЛЕННЯ,0)*ОКРУГЛЕННЯ)</f>
        <v/>
      </c>
      <c r="H19" s="16" t="str">
        <f aca="false">IF(OR($AE19=0,H$8&gt;$Z19),"",ROUND(((W19*X19+MAX(0,H$8-$AA19)*КРОК_ГОСТЯ)*(1-$U$5)+H$8*$AB19*(1-$U$5*$U$6)+$AD19*(1-$U$5*$U$7))/ОКРУГЛЕННЯ,0)*ОКРУГЛЕННЯ)</f>
        <v/>
      </c>
      <c r="I19" s="16" t="str">
        <f aca="false">IF(OR($AE19=0,I$8&gt;$Z19),"",ROUND(((W19*X19+MAX(0,I$8-$AA19)*КРОК_ГОСТЯ)*(1-$U$5)+I$8*$AB19*(1-$U$5*$U$6)+$AD19*(1-$U$5*$U$7))/ОКРУГЛЕННЯ,0)*ОКРУГЛЕННЯ)</f>
        <v/>
      </c>
      <c r="J19" s="16" t="str">
        <f aca="false">IF(OR($AE19=0,J$8&gt;$Z19),"",ROUND(((W19*X19+MAX(0,J$8-$AA19)*КРОК_ГОСТЯ)*(1-$U$5)+J$8*$AB19*(1-$U$5*$U$6)+$AD19*(1-$U$5*$U$7))/ОКРУГЛЕННЯ,0)*ОКРУГЛЕННЯ)</f>
        <v/>
      </c>
      <c r="K19" s="16" t="str">
        <f aca="false">IF(OR($AE19=0,K$8&gt;$Z19),"",ROUND(((W19*X19+MAX(0,K$8-$AA19)*КРОК_ГОСТЯ)*(1-$U$5)+K$8*$AB19*(1-$U$5*$U$6)+$AD19*(1-$U$5*$U$7))/ОКРУГЛЕННЯ,0)*ОКРУГЛЕННЯ)</f>
        <v/>
      </c>
      <c r="L19" s="16" t="n">
        <f aca="false">IF(OR($AF19=0,L$8&gt;$Z19),"",ROUND(((W19*X19*Y19+MAX(0,L$8-$AA19)*КРОК_ГОСТЯ)*(1-$U$5)+L$8*$AC19*(1-$U$5*$U$6)+$AD19*(1-$U$5*$U$7))/ОКРУГЛЕННЯ,0)*ОКРУГЛЕННЯ)</f>
        <v>4439</v>
      </c>
      <c r="M19" s="16" t="n">
        <f aca="false">IF(OR($AF19=0,M$8&gt;$Z19),"",ROUND(((W19*X19*Y19+MAX(0,M$8-$AA19)*КРОК_ГОСТЯ)*(1-$U$5)+M$8*$AC19*(1-$U$5*$U$6)+$AD19*(1-$U$5*$U$7))/ОКРУГЛЕННЯ,0)*ОКРУГЛЕННЯ)</f>
        <v>4439</v>
      </c>
      <c r="N19" s="16" t="n">
        <f aca="false">IF(OR($AF19=0,N$8&gt;$Z19),"",ROUND(((W19*X19*Y19+MAX(0,N$8-$AA19)*КРОК_ГОСТЯ)*(1-$U$5)+N$8*$AC19*(1-$U$5*$U$6)+$AD19*(1-$U$5*$U$7))/ОКРУГЛЕННЯ,0)*ОКРУГЛЕННЯ)</f>
        <v>4939</v>
      </c>
      <c r="O19" s="16" t="str">
        <f aca="false">IF(OR($AF19=0,O$8&gt;$Z19),"",ROUND(((W19*X19*Y19+MAX(0,O$8-$AA19)*КРОК_ГОСТЯ)*(1-$U$5)+O$8*$AC19*(1-$U$5*$U$6)+$AD19*(1-$U$5*$U$7))/ОКРУГЛЕННЯ,0)*ОКРУГЛЕННЯ)</f>
        <v/>
      </c>
      <c r="P19" s="16" t="str">
        <f aca="false">IF(OR($AF19=0,P$8&gt;$Z19),"",ROUND(((W19*X19*Y19+MAX(0,P$8-$AA19)*КРОК_ГОСТЯ)*(1-$U$5)+P$8*$AC19*(1-$U$5*$U$6)+$AD19*(1-$U$5*$U$7))/ОКРУГЛЕННЯ,0)*ОКРУГЛЕННЯ)</f>
        <v/>
      </c>
      <c r="Q19" s="16" t="str">
        <f aca="false">IF(OR($AF19=0,Q$8&gt;$Z19),"",ROUND(((W19*X19*Y19+MAX(0,Q$8-$AA19)*КРОК_ГОСТЯ)*(1-$U$5)+Q$8*$AC19*(1-$U$5*$U$6)+$AD19*(1-$U$5*$U$7))/ОКРУГЛЕННЯ,0)*ОКРУГЛЕННЯ)</f>
        <v/>
      </c>
      <c r="R19" s="16" t="str">
        <f aca="false">IF(OR($AF19=0,R$8&gt;$Z19),"",ROUND(((W19*X19*Y19+MAX(0,R$8-$AA19)*КРОК_ГОСТЯ)*(1-$U$5)+R$8*$AC19*(1-$U$5*$U$6)+$AD19*(1-$U$5*$U$7))/ОКРУГЛЕННЯ,0)*ОКРУГЛЕННЯ)</f>
        <v/>
      </c>
      <c r="S19" s="16" t="str">
        <f aca="false">IF(OR($AF19=0,S$8&gt;$Z19),"",ROUND(((W19*X19*Y19+MAX(0,S$8-$AA19)*КРОК_ГОСТЯ)*(1-$U$5)+S$8*$AC19*(1-$U$5*$U$6)+$AD19*(1-$U$5*$U$7))/ОКРУГЛЕННЯ,0)*ОКРУГЛЕННЯ)</f>
        <v/>
      </c>
      <c r="W19" s="17" t="n">
        <f aca="false">IF(OR($U$3=0,$A19=""),0,IFERROR(INDEX(БАЗА_RO,MATCH(INDEX(ДОВ_ОПОРА,MATCH($A19,КАТЕГОРІЇ,0)),БАЗА_КАТ,0),$U$3),0))</f>
        <v>2370</v>
      </c>
      <c r="X19" s="18" t="n">
        <f aca="false">IF(OR($U$3=0,$A19=""),0,IFERROR(INDEX(МНОЖНИКИ,MATCH($A19,МНОЖ_КАТ,0),$U$3),0))</f>
        <v>1.6</v>
      </c>
      <c r="Y19" s="18" t="n">
        <f aca="false">IF(OR($U$3=0,$A19=""),0,IFERROR(INDEX(МНОЖНИКИ,MATCH($A19,МНОЖ_КАТ,0),$U$3+1),0))</f>
        <v>1.0652</v>
      </c>
      <c r="Z19" s="9" t="n">
        <f aca="false">IF($A19="",0,IFERROR(INDEX(ДОВ_МАКС,MATCH($A19,КАТЕГОРІЇ,0)),0))</f>
        <v>3</v>
      </c>
      <c r="AA19" s="9" t="n">
        <f aca="false">IF($A19="",0,IFERROR(INDEX(ДОВ_ВКЛ,MATCH($A19,КАТЕГОРІЇ,0)),0))</f>
        <v>2</v>
      </c>
      <c r="AB19" s="6" t="n">
        <f aca="false">IF(OR($U$3=0,$U$8=0),0,IFERROR(INDEX(ПАКЕТИ_ЦІНИ,MATCH($U$10&amp;"|Будні",ПАКЕТИ_КЛЮЧ,0),$U$3),0))</f>
        <v>0</v>
      </c>
      <c r="AC19" s="6" t="n">
        <f aca="false">IF(OR($U$3=0,$U$8=0),0,IFERROR(INDEX(ПАКЕТИ_ЦІНИ,MATCH($U$10&amp;"|Вихідні",ПАКЕТИ_КЛЮЧ,0),$U$3),0))</f>
        <v>0</v>
      </c>
      <c r="AD19" s="17" t="n">
        <f aca="false">IF(OR($U$3=0,$U$9=0,$A19=""),0,IFERROR(INDEX(SPA_ЦІНИ,MATCH(INDEX(ДОВ_SPA,MATCH($A19,КАТЕГОРІЇ,0)),SPA_РОЛЬ,0),$U$3),0))</f>
        <v>400</v>
      </c>
      <c r="AE19" s="6" t="n">
        <f aca="false">IF(OR($A19="",W19=0,X19=0,AND($U$8=1,AB19=0),AND($U$9=1,AD19=0)),0,1)</f>
        <v>1</v>
      </c>
      <c r="AF19" s="6" t="n">
        <f aca="false">IF(OR(AE19=0,Y19=0,AND($U$8=1,AC19=0)),0,1)</f>
        <v>1</v>
      </c>
    </row>
    <row r="20" customFormat="false" ht="15" hidden="false" customHeight="false" outlineLevel="0" collapsed="false">
      <c r="A20" s="19" t="str">
        <f aca="false">IF('Довідник категорій'!A16="","",'Довідник категорій'!A16)</f>
        <v>Люкс з видом на гори (з 2-ма спальнями) 61 м²</v>
      </c>
      <c r="B20" s="20" t="str">
        <f aca="false">IF($A20="","",IFERROR(INDEX(ДОВ_BOOKING,MATCH($A20,КАТЕГОРІЇ,0)),""))</f>
        <v>Люкс з видом на гори (з 2-ма спальнями) 61 м²</v>
      </c>
      <c r="C20" s="21" t="str">
        <f aca="false">IF($A20="","",IFERROR(INDEX(ДОВ_ГРУПА,MATCH($A20,КАТЕГОРІЇ,0)),""))</f>
        <v>Apartments A</v>
      </c>
      <c r="D20" s="22" t="n">
        <f aca="false">IF(OR($AE20=0,D$8&gt;$Z20),"",ROUND(((W20*X20+MAX(0,D$8-$AA20)*КРОК_ГОСТЯ)*(1-$U$5)+D$8*$AB20*(1-$U$5*$U$6)+$AD20*(1-$U$5*$U$7))/ОКРУГЛЕННЯ,0)*ОКРУГЛЕННЯ)</f>
        <v>4903</v>
      </c>
      <c r="E20" s="22" t="n">
        <f aca="false">IF(OR($AE20=0,E$8&gt;$Z20),"",ROUND(((W20*X20+MAX(0,E$8-$AA20)*КРОК_ГОСТЯ)*(1-$U$5)+E$8*$AB20*(1-$U$5*$U$6)+$AD20*(1-$U$5*$U$7))/ОКРУГЛЕННЯ,0)*ОКРУГЛЕННЯ)</f>
        <v>4903</v>
      </c>
      <c r="F20" s="22" t="n">
        <f aca="false">IF(OR($AE20=0,F$8&gt;$Z20),"",ROUND(((W20*X20+MAX(0,F$8-$AA20)*КРОК_ГОСТЯ)*(1-$U$5)+F$8*$AB20*(1-$U$5*$U$6)+$AD20*(1-$U$5*$U$7))/ОКРУГЛЕННЯ,0)*ОКРУГЛЕННЯ)</f>
        <v>5403</v>
      </c>
      <c r="G20" s="22" t="n">
        <f aca="false">IF(OR($AE20=0,G$8&gt;$Z20),"",ROUND(((W20*X20+MAX(0,G$8-$AA20)*КРОК_ГОСТЯ)*(1-$U$5)+G$8*$AB20*(1-$U$5*$U$6)+$AD20*(1-$U$5*$U$7))/ОКРУГЛЕННЯ,0)*ОКРУГЛЕННЯ)</f>
        <v>5903</v>
      </c>
      <c r="H20" s="22" t="n">
        <f aca="false">IF(OR($AE20=0,H$8&gt;$Z20),"",ROUND(((W20*X20+MAX(0,H$8-$AA20)*КРОК_ГОСТЯ)*(1-$U$5)+H$8*$AB20*(1-$U$5*$U$6)+$AD20*(1-$U$5*$U$7))/ОКРУГЛЕННЯ,0)*ОКРУГЛЕННЯ)</f>
        <v>6403</v>
      </c>
      <c r="I20" s="22" t="str">
        <f aca="false">IF(OR($AE20=0,I$8&gt;$Z20),"",ROUND(((W20*X20+MAX(0,I$8-$AA20)*КРОК_ГОСТЯ)*(1-$U$5)+I$8*$AB20*(1-$U$5*$U$6)+$AD20*(1-$U$5*$U$7))/ОКРУГЛЕННЯ,0)*ОКРУГЛЕННЯ)</f>
        <v/>
      </c>
      <c r="J20" s="22" t="str">
        <f aca="false">IF(OR($AE20=0,J$8&gt;$Z20),"",ROUND(((W20*X20+MAX(0,J$8-$AA20)*КРОК_ГОСТЯ)*(1-$U$5)+J$8*$AB20*(1-$U$5*$U$6)+$AD20*(1-$U$5*$U$7))/ОКРУГЛЕННЯ,0)*ОКРУГЛЕННЯ)</f>
        <v/>
      </c>
      <c r="K20" s="22" t="str">
        <f aca="false">IF(OR($AE20=0,K$8&gt;$Z20),"",ROUND(((W20*X20+MAX(0,K$8-$AA20)*КРОК_ГОСТЯ)*(1-$U$5)+K$8*$AB20*(1-$U$5*$U$6)+$AD20*(1-$U$5*$U$7))/ОКРУГЛЕННЯ,0)*ОКРУГЛЕННЯ)</f>
        <v/>
      </c>
      <c r="L20" s="22" t="n">
        <f aca="false">IF(OR($AF20=0,L$8&gt;$Z20),"",ROUND(((W20*X20*Y20+MAX(0,L$8-$AA20)*КРОК_ГОСТЯ)*(1-$U$5)+L$8*$AC20*(1-$U$5*$U$6)+$AD20*(1-$U$5*$U$7))/ОКРУГЛЕННЯ,0)*ОКРУГЛЕННЯ)</f>
        <v>5218</v>
      </c>
      <c r="M20" s="22" t="n">
        <f aca="false">IF(OR($AF20=0,M$8&gt;$Z20),"",ROUND(((W20*X20*Y20+MAX(0,M$8-$AA20)*КРОК_ГОСТЯ)*(1-$U$5)+M$8*$AC20*(1-$U$5*$U$6)+$AD20*(1-$U$5*$U$7))/ОКРУГЛЕННЯ,0)*ОКРУГЛЕННЯ)</f>
        <v>5218</v>
      </c>
      <c r="N20" s="22" t="n">
        <f aca="false">IF(OR($AF20=0,N$8&gt;$Z20),"",ROUND(((W20*X20*Y20+MAX(0,N$8-$AA20)*КРОК_ГОСТЯ)*(1-$U$5)+N$8*$AC20*(1-$U$5*$U$6)+$AD20*(1-$U$5*$U$7))/ОКРУГЛЕННЯ,0)*ОКРУГЛЕННЯ)</f>
        <v>5718</v>
      </c>
      <c r="O20" s="22" t="n">
        <f aca="false">IF(OR($AF20=0,O$8&gt;$Z20),"",ROUND(((W20*X20*Y20+MAX(0,O$8-$AA20)*КРОК_ГОСТЯ)*(1-$U$5)+O$8*$AC20*(1-$U$5*$U$6)+$AD20*(1-$U$5*$U$7))/ОКРУГЛЕННЯ,0)*ОКРУГЛЕННЯ)</f>
        <v>6218</v>
      </c>
      <c r="P20" s="22" t="n">
        <f aca="false">IF(OR($AF20=0,P$8&gt;$Z20),"",ROUND(((W20*X20*Y20+MAX(0,P$8-$AA20)*КРОК_ГОСТЯ)*(1-$U$5)+P$8*$AC20*(1-$U$5*$U$6)+$AD20*(1-$U$5*$U$7))/ОКРУГЛЕННЯ,0)*ОКРУГЛЕННЯ)</f>
        <v>6718</v>
      </c>
      <c r="Q20" s="22" t="str">
        <f aca="false">IF(OR($AF20=0,Q$8&gt;$Z20),"",ROUND(((W20*X20*Y20+MAX(0,Q$8-$AA20)*КРОК_ГОСТЯ)*(1-$U$5)+Q$8*$AC20*(1-$U$5*$U$6)+$AD20*(1-$U$5*$U$7))/ОКРУГЛЕННЯ,0)*ОКРУГЛЕННЯ)</f>
        <v/>
      </c>
      <c r="R20" s="22" t="str">
        <f aca="false">IF(OR($AF20=0,R$8&gt;$Z20),"",ROUND(((W20*X20*Y20+MAX(0,R$8-$AA20)*КРОК_ГОСТЯ)*(1-$U$5)+R$8*$AC20*(1-$U$5*$U$6)+$AD20*(1-$U$5*$U$7))/ОКРУГЛЕННЯ,0)*ОКРУГЛЕННЯ)</f>
        <v/>
      </c>
      <c r="S20" s="22" t="str">
        <f aca="false">IF(OR($AF20=0,S$8&gt;$Z20),"",ROUND(((W20*X20*Y20+MAX(0,S$8-$AA20)*КРОК_ГОСТЯ)*(1-$U$5)+S$8*$AC20*(1-$U$5*$U$6)+$AD20*(1-$U$5*$U$7))/ОКРУГЛЕННЯ,0)*ОКРУГЛЕННЯ)</f>
        <v/>
      </c>
      <c r="W20" s="17" t="n">
        <f aca="false">IF(OR($U$3=0,$A20=""),0,IFERROR(INDEX(БАЗА_RO,MATCH(INDEX(ДОВ_ОПОРА,MATCH($A20,КАТЕГОРІЇ,0)),БАЗА_КАТ,0),$U$3),0))</f>
        <v>2370</v>
      </c>
      <c r="X20" s="18" t="n">
        <f aca="false">IF(OR($U$3=0,$A20=""),0,IFERROR(INDEX(МНОЖНИКИ,MATCH($A20,МНОЖ_КАТ,0),$U$3),0))</f>
        <v>1.9</v>
      </c>
      <c r="Y20" s="18" t="n">
        <f aca="false">IF(OR($U$3=0,$A20=""),0,IFERROR(INDEX(МНОЖНИКИ,MATCH($A20,МНОЖ_КАТ,0),$U$3+1),0))</f>
        <v>1.07</v>
      </c>
      <c r="Z20" s="9" t="n">
        <f aca="false">IF($A20="",0,IFERROR(INDEX(ДОВ_МАКС,MATCH($A20,КАТЕГОРІЇ,0)),0))</f>
        <v>5</v>
      </c>
      <c r="AA20" s="9" t="n">
        <f aca="false">IF($A20="",0,IFERROR(INDEX(ДОВ_ВКЛ,MATCH($A20,КАТЕГОРІЇ,0)),0))</f>
        <v>2</v>
      </c>
      <c r="AB20" s="6" t="n">
        <f aca="false">IF(OR($U$3=0,$U$8=0),0,IFERROR(INDEX(ПАКЕТИ_ЦІНИ,MATCH($U$10&amp;"|Будні",ПАКЕТИ_КЛЮЧ,0),$U$3),0))</f>
        <v>0</v>
      </c>
      <c r="AC20" s="6" t="n">
        <f aca="false">IF(OR($U$3=0,$U$8=0),0,IFERROR(INDEX(ПАКЕТИ_ЦІНИ,MATCH($U$10&amp;"|Вихідні",ПАКЕТИ_КЛЮЧ,0),$U$3),0))</f>
        <v>0</v>
      </c>
      <c r="AD20" s="17" t="n">
        <f aca="false">IF(OR($U$3=0,$U$9=0,$A20=""),0,IFERROR(INDEX(SPA_ЦІНИ,MATCH(INDEX(ДОВ_SPA,MATCH($A20,КАТЕГОРІЇ,0)),SPA_РОЛЬ,0),$U$3),0))</f>
        <v>400</v>
      </c>
      <c r="AE20" s="6" t="n">
        <f aca="false">IF(OR($A20="",W20=0,X20=0,AND($U$8=1,AB20=0),AND($U$9=1,AD20=0)),0,1)</f>
        <v>1</v>
      </c>
      <c r="AF20" s="6" t="n">
        <f aca="false">IF(OR(AE20=0,Y20=0,AND($U$8=1,AC20=0)),0,1)</f>
        <v>1</v>
      </c>
    </row>
    <row r="21" customFormat="false" ht="15" hidden="false" customHeight="false" outlineLevel="0" collapsed="false">
      <c r="A21" s="13" t="str">
        <f aca="false">IF('Довідник категорій'!A17="","",'Довідник категорій'!A17)</f>
        <v>Апартаменти 1-й поверх 45 м²</v>
      </c>
      <c r="B21" s="14" t="str">
        <f aca="false">IF($A21="","",IFERROR(INDEX(ДОВ_BOOKING,MATCH($A21,КАТЕГОРІЇ,0)),""))</f>
        <v>Апартаменти 1-й поверх 45 м²</v>
      </c>
      <c r="C21" s="15" t="str">
        <f aca="false">IF($A21="","",IFERROR(INDEX(ДОВ_ГРУПА,MATCH($A21,КАТЕГОРІЇ,0)),""))</f>
        <v>Apartments B</v>
      </c>
      <c r="D21" s="16" t="n">
        <f aca="false">IF(OR($AE21=0,D$8&gt;$Z21),"",ROUND(((W21*X21+MAX(0,D$8-$AA21)*КРОК_ГОСТЯ)*(1-$U$5)+D$8*$AB21*(1-$U$5*$U$6)+$AD21*(1-$U$5*$U$7))/ОКРУГЛЕННЯ,0)*ОКРУГЛЕННЯ)</f>
        <v>3330</v>
      </c>
      <c r="E21" s="16" t="n">
        <f aca="false">IF(OR($AE21=0,E$8&gt;$Z21),"",ROUND(((W21*X21+MAX(0,E$8-$AA21)*КРОК_ГОСТЯ)*(1-$U$5)+E$8*$AB21*(1-$U$5*$U$6)+$AD21*(1-$U$5*$U$7))/ОКРУГЛЕННЯ,0)*ОКРУГЛЕННЯ)</f>
        <v>3330</v>
      </c>
      <c r="F21" s="16" t="n">
        <f aca="false">IF(OR($AE21=0,F$8&gt;$Z21),"",ROUND(((W21*X21+MAX(0,F$8-$AA21)*КРОК_ГОСТЯ)*(1-$U$5)+F$8*$AB21*(1-$U$5*$U$6)+$AD21*(1-$U$5*$U$7))/ОКРУГЛЕННЯ,0)*ОКРУГЛЕННЯ)</f>
        <v>3830</v>
      </c>
      <c r="G21" s="16" t="str">
        <f aca="false">IF(OR($AE21=0,G$8&gt;$Z21),"",ROUND(((W21*X21+MAX(0,G$8-$AA21)*КРОК_ГОСТЯ)*(1-$U$5)+G$8*$AB21*(1-$U$5*$U$6)+$AD21*(1-$U$5*$U$7))/ОКРУГЛЕННЯ,0)*ОКРУГЛЕННЯ)</f>
        <v/>
      </c>
      <c r="H21" s="16" t="str">
        <f aca="false">IF(OR($AE21=0,H$8&gt;$Z21),"",ROUND(((W21*X21+MAX(0,H$8-$AA21)*КРОК_ГОСТЯ)*(1-$U$5)+H$8*$AB21*(1-$U$5*$U$6)+$AD21*(1-$U$5*$U$7))/ОКРУГЛЕННЯ,0)*ОКРУГЛЕННЯ)</f>
        <v/>
      </c>
      <c r="I21" s="16" t="str">
        <f aca="false">IF(OR($AE21=0,I$8&gt;$Z21),"",ROUND(((W21*X21+MAX(0,I$8-$AA21)*КРОК_ГОСТЯ)*(1-$U$5)+I$8*$AB21*(1-$U$5*$U$6)+$AD21*(1-$U$5*$U$7))/ОКРУГЛЕННЯ,0)*ОКРУГЛЕННЯ)</f>
        <v/>
      </c>
      <c r="J21" s="16" t="str">
        <f aca="false">IF(OR($AE21=0,J$8&gt;$Z21),"",ROUND(((W21*X21+MAX(0,J$8-$AA21)*КРОК_ГОСТЯ)*(1-$U$5)+J$8*$AB21*(1-$U$5*$U$6)+$AD21*(1-$U$5*$U$7))/ОКРУГЛЕННЯ,0)*ОКРУГЛЕННЯ)</f>
        <v/>
      </c>
      <c r="K21" s="16" t="str">
        <f aca="false">IF(OR($AE21=0,K$8&gt;$Z21),"",ROUND(((W21*X21+MAX(0,K$8-$AA21)*КРОК_ГОСТЯ)*(1-$U$5)+K$8*$AB21*(1-$U$5*$U$6)+$AD21*(1-$U$5*$U$7))/ОКРУГЛЕННЯ,0)*ОКРУГЛЕННЯ)</f>
        <v/>
      </c>
      <c r="L21" s="16" t="n">
        <f aca="false">IF(OR($AF21=0,L$8&gt;$Z21),"",ROUND(((W21*X21*Y21+MAX(0,L$8-$AA21)*КРОК_ГОСТЯ)*(1-$U$5)+L$8*$AC21*(1-$U$5*$U$6)+$AD21*(1-$U$5*$U$7))/ОКРУГЛЕННЯ,0)*ОКРУГЛЕННЯ)</f>
        <v>3535</v>
      </c>
      <c r="M21" s="16" t="n">
        <f aca="false">IF(OR($AF21=0,M$8&gt;$Z21),"",ROUND(((W21*X21*Y21+MAX(0,M$8-$AA21)*КРОК_ГОСТЯ)*(1-$U$5)+M$8*$AC21*(1-$U$5*$U$6)+$AD21*(1-$U$5*$U$7))/ОКРУГЛЕННЯ,0)*ОКРУГЛЕННЯ)</f>
        <v>3535</v>
      </c>
      <c r="N21" s="16" t="n">
        <f aca="false">IF(OR($AF21=0,N$8&gt;$Z21),"",ROUND(((W21*X21*Y21+MAX(0,N$8-$AA21)*КРОК_ГОСТЯ)*(1-$U$5)+N$8*$AC21*(1-$U$5*$U$6)+$AD21*(1-$U$5*$U$7))/ОКРУГЛЕННЯ,0)*ОКРУГЛЕННЯ)</f>
        <v>4035</v>
      </c>
      <c r="O21" s="16" t="str">
        <f aca="false">IF(OR($AF21=0,O$8&gt;$Z21),"",ROUND(((W21*X21*Y21+MAX(0,O$8-$AA21)*КРОК_ГОСТЯ)*(1-$U$5)+O$8*$AC21*(1-$U$5*$U$6)+$AD21*(1-$U$5*$U$7))/ОКРУГЛЕННЯ,0)*ОКРУГЛЕННЯ)</f>
        <v/>
      </c>
      <c r="P21" s="16" t="str">
        <f aca="false">IF(OR($AF21=0,P$8&gt;$Z21),"",ROUND(((W21*X21*Y21+MAX(0,P$8-$AA21)*КРОК_ГОСТЯ)*(1-$U$5)+P$8*$AC21*(1-$U$5*$U$6)+$AD21*(1-$U$5*$U$7))/ОКРУГЛЕННЯ,0)*ОКРУГЛЕННЯ)</f>
        <v/>
      </c>
      <c r="Q21" s="16" t="str">
        <f aca="false">IF(OR($AF21=0,Q$8&gt;$Z21),"",ROUND(((W21*X21*Y21+MAX(0,Q$8-$AA21)*КРОК_ГОСТЯ)*(1-$U$5)+Q$8*$AC21*(1-$U$5*$U$6)+$AD21*(1-$U$5*$U$7))/ОКРУГЛЕННЯ,0)*ОКРУГЛЕННЯ)</f>
        <v/>
      </c>
      <c r="R21" s="16" t="str">
        <f aca="false">IF(OR($AF21=0,R$8&gt;$Z21),"",ROUND(((W21*X21*Y21+MAX(0,R$8-$AA21)*КРОК_ГОСТЯ)*(1-$U$5)+R$8*$AC21*(1-$U$5*$U$6)+$AD21*(1-$U$5*$U$7))/ОКРУГЛЕННЯ,0)*ОКРУГЛЕННЯ)</f>
        <v/>
      </c>
      <c r="S21" s="16" t="str">
        <f aca="false">IF(OR($AF21=0,S$8&gt;$Z21),"",ROUND(((W21*X21*Y21+MAX(0,S$8-$AA21)*КРОК_ГОСТЯ)*(1-$U$5)+S$8*$AC21*(1-$U$5*$U$6)+$AD21*(1-$U$5*$U$7))/ОКРУГЛЕННЯ,0)*ОКРУГЛЕННЯ)</f>
        <v/>
      </c>
      <c r="W21" s="17" t="n">
        <f aca="false">IF(OR($U$3=0,$A21=""),0,IFERROR(INDEX(БАЗА_RO,MATCH(INDEX(ДОВ_ОПОРА,MATCH($A21,КАТЕГОРІЇ,0)),БАЗА_КАТ,0),$U$3),0))</f>
        <v>2930</v>
      </c>
      <c r="X21" s="18" t="n">
        <f aca="false">IF(OR($U$3=0,$A21=""),0,IFERROR(INDEX(МНОЖНИКИ,MATCH($A21,МНОЖ_КАТ,0),$U$3),0))</f>
        <v>1</v>
      </c>
      <c r="Y21" s="18" t="n">
        <f aca="false">IF(OR($U$3=0,$A21=""),0,IFERROR(INDEX(МНОЖНИКИ,MATCH($A21,МНОЖ_КАТ,0),$U$3+1),0))</f>
        <v>1.07</v>
      </c>
      <c r="Z21" s="9" t="n">
        <f aca="false">IF($A21="",0,IFERROR(INDEX(ДОВ_МАКС,MATCH($A21,КАТЕГОРІЇ,0)),0))</f>
        <v>3</v>
      </c>
      <c r="AA21" s="9" t="n">
        <f aca="false">IF($A21="",0,IFERROR(INDEX(ДОВ_ВКЛ,MATCH($A21,КАТЕГОРІЇ,0)),0))</f>
        <v>2</v>
      </c>
      <c r="AB21" s="6" t="n">
        <f aca="false">IF(OR($U$3=0,$U$8=0),0,IFERROR(INDEX(ПАКЕТИ_ЦІНИ,MATCH($U$10&amp;"|Будні",ПАКЕТИ_КЛЮЧ,0),$U$3),0))</f>
        <v>0</v>
      </c>
      <c r="AC21" s="6" t="n">
        <f aca="false">IF(OR($U$3=0,$U$8=0),0,IFERROR(INDEX(ПАКЕТИ_ЦІНИ,MATCH($U$10&amp;"|Вихідні",ПАКЕТИ_КЛЮЧ,0),$U$3),0))</f>
        <v>0</v>
      </c>
      <c r="AD21" s="17" t="n">
        <f aca="false">IF(OR($U$3=0,$U$9=0,$A21=""),0,IFERROR(INDEX(SPA_ЦІНИ,MATCH(INDEX(ДОВ_SPA,MATCH($A21,КАТЕГОРІЇ,0)),SPA_РОЛЬ,0),$U$3),0))</f>
        <v>400</v>
      </c>
      <c r="AE21" s="6" t="n">
        <f aca="false">IF(OR($A21="",W21=0,X21=0,AND($U$8=1,AB21=0),AND($U$9=1,AD21=0)),0,1)</f>
        <v>1</v>
      </c>
      <c r="AF21" s="6" t="n">
        <f aca="false">IF(OR(AE21=0,Y21=0,AND($U$8=1,AC21=0)),0,1)</f>
        <v>1</v>
      </c>
    </row>
    <row r="22" customFormat="false" ht="15" hidden="false" customHeight="false" outlineLevel="0" collapsed="false">
      <c r="A22" s="19" t="str">
        <f aca="false">IF('Довідник категорій'!A18="","",'Довідник категорій'!A18)</f>
        <v>Апартаменти 2-кімнатні 1-й поверх</v>
      </c>
      <c r="B22" s="20" t="str">
        <f aca="false">IF($A22="","",IFERROR(INDEX(ДОВ_BOOKING,MATCH($A22,КАТЕГОРІЇ,0)),""))</f>
        <v>Апартаменти Делюкс 40 м²</v>
      </c>
      <c r="C22" s="21" t="str">
        <f aca="false">IF($A22="","",IFERROR(INDEX(ДОВ_ГРУПА,MATCH($A22,КАТЕГОРІЇ,0)),""))</f>
        <v>Apartments B</v>
      </c>
      <c r="D22" s="22" t="n">
        <f aca="false">IF(OR($AE22=0,D$8&gt;$Z22),"",ROUND(((W22*X22+MAX(0,D$8-$AA22)*КРОК_ГОСТЯ)*(1-$U$5)+D$8*$AB22*(1-$U$5*$U$6)+$AD22*(1-$U$5*$U$7))/ОКРУГЛЕННЯ,0)*ОКРУГЛЕННЯ)</f>
        <v>3594</v>
      </c>
      <c r="E22" s="22" t="n">
        <f aca="false">IF(OR($AE22=0,E$8&gt;$Z22),"",ROUND(((W22*X22+MAX(0,E$8-$AA22)*КРОК_ГОСТЯ)*(1-$U$5)+E$8*$AB22*(1-$U$5*$U$6)+$AD22*(1-$U$5*$U$7))/ОКРУГЛЕННЯ,0)*ОКРУГЛЕННЯ)</f>
        <v>3594</v>
      </c>
      <c r="F22" s="22" t="n">
        <f aca="false">IF(OR($AE22=0,F$8&gt;$Z22),"",ROUND(((W22*X22+MAX(0,F$8-$AA22)*КРОК_ГОСТЯ)*(1-$U$5)+F$8*$AB22*(1-$U$5*$U$6)+$AD22*(1-$U$5*$U$7))/ОКРУГЛЕННЯ,0)*ОКРУГЛЕННЯ)</f>
        <v>4094</v>
      </c>
      <c r="G22" s="22" t="str">
        <f aca="false">IF(OR($AE22=0,G$8&gt;$Z22),"",ROUND(((W22*X22+MAX(0,G$8-$AA22)*КРОК_ГОСТЯ)*(1-$U$5)+G$8*$AB22*(1-$U$5*$U$6)+$AD22*(1-$U$5*$U$7))/ОКРУГЛЕННЯ,0)*ОКРУГЛЕННЯ)</f>
        <v/>
      </c>
      <c r="H22" s="22" t="str">
        <f aca="false">IF(OR($AE22=0,H$8&gt;$Z22),"",ROUND(((W22*X22+MAX(0,H$8-$AA22)*КРОК_ГОСТЯ)*(1-$U$5)+H$8*$AB22*(1-$U$5*$U$6)+$AD22*(1-$U$5*$U$7))/ОКРУГЛЕННЯ,0)*ОКРУГЛЕННЯ)</f>
        <v/>
      </c>
      <c r="I22" s="22" t="str">
        <f aca="false">IF(OR($AE22=0,I$8&gt;$Z22),"",ROUND(((W22*X22+MAX(0,I$8-$AA22)*КРОК_ГОСТЯ)*(1-$U$5)+I$8*$AB22*(1-$U$5*$U$6)+$AD22*(1-$U$5*$U$7))/ОКРУГЛЕННЯ,0)*ОКРУГЛЕННЯ)</f>
        <v/>
      </c>
      <c r="J22" s="22" t="str">
        <f aca="false">IF(OR($AE22=0,J$8&gt;$Z22),"",ROUND(((W22*X22+MAX(0,J$8-$AA22)*КРОК_ГОСТЯ)*(1-$U$5)+J$8*$AB22*(1-$U$5*$U$6)+$AD22*(1-$U$5*$U$7))/ОКРУГЛЕННЯ,0)*ОКРУГЛЕННЯ)</f>
        <v/>
      </c>
      <c r="K22" s="22" t="str">
        <f aca="false">IF(OR($AE22=0,K$8&gt;$Z22),"",ROUND(((W22*X22+MAX(0,K$8-$AA22)*КРОК_ГОСТЯ)*(1-$U$5)+K$8*$AB22*(1-$U$5*$U$6)+$AD22*(1-$U$5*$U$7))/ОКРУГЛЕННЯ,0)*ОКРУГЛЕННЯ)</f>
        <v/>
      </c>
      <c r="L22" s="22" t="n">
        <f aca="false">IF(OR($AF22=0,L$8&gt;$Z22),"",ROUND(((W22*X22*Y22+MAX(0,L$8-$AA22)*КРОК_ГОСТЯ)*(1-$U$5)+L$8*$AC22*(1-$U$5*$U$6)+$AD22*(1-$U$5*$U$7))/ОКРУГЛЕННЯ,0)*ОКРУГЛЕННЯ)</f>
        <v>3802</v>
      </c>
      <c r="M22" s="22" t="n">
        <f aca="false">IF(OR($AF22=0,M$8&gt;$Z22),"",ROUND(((W22*X22*Y22+MAX(0,M$8-$AA22)*КРОК_ГОСТЯ)*(1-$U$5)+M$8*$AC22*(1-$U$5*$U$6)+$AD22*(1-$U$5*$U$7))/ОКРУГЛЕННЯ,0)*ОКРУГЛЕННЯ)</f>
        <v>3802</v>
      </c>
      <c r="N22" s="22" t="n">
        <f aca="false">IF(OR($AF22=0,N$8&gt;$Z22),"",ROUND(((W22*X22*Y22+MAX(0,N$8-$AA22)*КРОК_ГОСТЯ)*(1-$U$5)+N$8*$AC22*(1-$U$5*$U$6)+$AD22*(1-$U$5*$U$7))/ОКРУГЛЕННЯ,0)*ОКРУГЛЕННЯ)</f>
        <v>4302</v>
      </c>
      <c r="O22" s="22" t="str">
        <f aca="false">IF(OR($AF22=0,O$8&gt;$Z22),"",ROUND(((W22*X22*Y22+MAX(0,O$8-$AA22)*КРОК_ГОСТЯ)*(1-$U$5)+O$8*$AC22*(1-$U$5*$U$6)+$AD22*(1-$U$5*$U$7))/ОКРУГЛЕННЯ,0)*ОКРУГЛЕННЯ)</f>
        <v/>
      </c>
      <c r="P22" s="22" t="str">
        <f aca="false">IF(OR($AF22=0,P$8&gt;$Z22),"",ROUND(((W22*X22*Y22+MAX(0,P$8-$AA22)*КРОК_ГОСТЯ)*(1-$U$5)+P$8*$AC22*(1-$U$5*$U$6)+$AD22*(1-$U$5*$U$7))/ОКРУГЛЕННЯ,0)*ОКРУГЛЕННЯ)</f>
        <v/>
      </c>
      <c r="Q22" s="22" t="str">
        <f aca="false">IF(OR($AF22=0,Q$8&gt;$Z22),"",ROUND(((W22*X22*Y22+MAX(0,Q$8-$AA22)*КРОК_ГОСТЯ)*(1-$U$5)+Q$8*$AC22*(1-$U$5*$U$6)+$AD22*(1-$U$5*$U$7))/ОКРУГЛЕННЯ,0)*ОКРУГЛЕННЯ)</f>
        <v/>
      </c>
      <c r="R22" s="22" t="str">
        <f aca="false">IF(OR($AF22=0,R$8&gt;$Z22),"",ROUND(((W22*X22*Y22+MAX(0,R$8-$AA22)*КРОК_ГОСТЯ)*(1-$U$5)+R$8*$AC22*(1-$U$5*$U$6)+$AD22*(1-$U$5*$U$7))/ОКРУГЛЕННЯ,0)*ОКРУГЛЕННЯ)</f>
        <v/>
      </c>
      <c r="S22" s="22" t="str">
        <f aca="false">IF(OR($AF22=0,S$8&gt;$Z22),"",ROUND(((W22*X22*Y22+MAX(0,S$8-$AA22)*КРОК_ГОСТЯ)*(1-$U$5)+S$8*$AC22*(1-$U$5*$U$6)+$AD22*(1-$U$5*$U$7))/ОКРУГЛЕННЯ,0)*ОКРУГЛЕННЯ)</f>
        <v/>
      </c>
      <c r="W22" s="17" t="n">
        <f aca="false">IF(OR($U$3=0,$A22=""),0,IFERROR(INDEX(БАЗА_RO,MATCH(INDEX(ДОВ_ОПОРА,MATCH($A22,КАТЕГОРІЇ,0)),БАЗА_КАТ,0),$U$3),0))</f>
        <v>2930</v>
      </c>
      <c r="X22" s="18" t="n">
        <f aca="false">IF(OR($U$3=0,$A22=""),0,IFERROR(INDEX(МНОЖНИКИ,MATCH($A22,МНОЖ_КАТ,0),$U$3),0))</f>
        <v>1.09</v>
      </c>
      <c r="Y22" s="18" t="n">
        <f aca="false">IF(OR($U$3=0,$A22=""),0,IFERROR(INDEX(МНОЖНИКИ,MATCH($A22,МНОЖ_КАТ,0),$U$3+1),0))</f>
        <v>1.0652</v>
      </c>
      <c r="Z22" s="9" t="n">
        <f aca="false">IF($A22="",0,IFERROR(INDEX(ДОВ_МАКС,MATCH($A22,КАТЕГОРІЇ,0)),0))</f>
        <v>3</v>
      </c>
      <c r="AA22" s="9" t="n">
        <f aca="false">IF($A22="",0,IFERROR(INDEX(ДОВ_ВКЛ,MATCH($A22,КАТЕГОРІЇ,0)),0))</f>
        <v>2</v>
      </c>
      <c r="AB22" s="6" t="n">
        <f aca="false">IF(OR($U$3=0,$U$8=0),0,IFERROR(INDEX(ПАКЕТИ_ЦІНИ,MATCH($U$10&amp;"|Будні",ПАКЕТИ_КЛЮЧ,0),$U$3),0))</f>
        <v>0</v>
      </c>
      <c r="AC22" s="6" t="n">
        <f aca="false">IF(OR($U$3=0,$U$8=0),0,IFERROR(INDEX(ПАКЕТИ_ЦІНИ,MATCH($U$10&amp;"|Вихідні",ПАКЕТИ_КЛЮЧ,0),$U$3),0))</f>
        <v>0</v>
      </c>
      <c r="AD22" s="17" t="n">
        <f aca="false">IF(OR($U$3=0,$U$9=0,$A22=""),0,IFERROR(INDEX(SPA_ЦІНИ,MATCH(INDEX(ДОВ_SPA,MATCH($A22,КАТЕГОРІЇ,0)),SPA_РОЛЬ,0),$U$3),0))</f>
        <v>400</v>
      </c>
      <c r="AE22" s="6" t="n">
        <f aca="false">IF(OR($A22="",W22=0,X22=0,AND($U$8=1,AB22=0),AND($U$9=1,AD22=0)),0,1)</f>
        <v>1</v>
      </c>
      <c r="AF22" s="6" t="n">
        <f aca="false">IF(OR(AE22=0,Y22=0,AND($U$8=1,AC22=0)),0,1)</f>
        <v>1</v>
      </c>
    </row>
    <row r="23" customFormat="false" ht="15" hidden="false" customHeight="false" outlineLevel="0" collapsed="false">
      <c r="A23" s="13" t="str">
        <f aca="false">IF('Довідник категорій'!A19="","",'Довідник категорій'!A19)</f>
        <v>Апартаменти з ванною 2-й поверх</v>
      </c>
      <c r="B23" s="14" t="str">
        <f aca="false">IF($A23="","",IFERROR(INDEX(ДОВ_BOOKING,MATCH($A23,КАТЕГОРІЇ,0)),""))</f>
        <v>Апартаменти з балконом 45 м²</v>
      </c>
      <c r="C23" s="15" t="str">
        <f aca="false">IF($A23="","",IFERROR(INDEX(ДОВ_ГРУПА,MATCH($A23,КАТЕГОРІЇ,0)),""))</f>
        <v>Apartments B</v>
      </c>
      <c r="D23" s="16" t="n">
        <f aca="false">IF(OR($AE23=0,D$8&gt;$Z23),"",ROUND(((W23*X23+MAX(0,D$8-$AA23)*КРОК_ГОСТЯ)*(1-$U$5)+D$8*$AB23*(1-$U$5*$U$6)+$AD23*(1-$U$5*$U$7))/ОКРУГЛЕННЯ,0)*ОКРУГЛЕННЯ)</f>
        <v>3594</v>
      </c>
      <c r="E23" s="16" t="n">
        <f aca="false">IF(OR($AE23=0,E$8&gt;$Z23),"",ROUND(((W23*X23+MAX(0,E$8-$AA23)*КРОК_ГОСТЯ)*(1-$U$5)+E$8*$AB23*(1-$U$5*$U$6)+$AD23*(1-$U$5*$U$7))/ОКРУГЛЕННЯ,0)*ОКРУГЛЕННЯ)</f>
        <v>3594</v>
      </c>
      <c r="F23" s="16" t="n">
        <f aca="false">IF(OR($AE23=0,F$8&gt;$Z23),"",ROUND(((W23*X23+MAX(0,F$8-$AA23)*КРОК_ГОСТЯ)*(1-$U$5)+F$8*$AB23*(1-$U$5*$U$6)+$AD23*(1-$U$5*$U$7))/ОКРУГЛЕННЯ,0)*ОКРУГЛЕННЯ)</f>
        <v>4094</v>
      </c>
      <c r="G23" s="16" t="str">
        <f aca="false">IF(OR($AE23=0,G$8&gt;$Z23),"",ROUND(((W23*X23+MAX(0,G$8-$AA23)*КРОК_ГОСТЯ)*(1-$U$5)+G$8*$AB23*(1-$U$5*$U$6)+$AD23*(1-$U$5*$U$7))/ОКРУГЛЕННЯ,0)*ОКРУГЛЕННЯ)</f>
        <v/>
      </c>
      <c r="H23" s="16" t="str">
        <f aca="false">IF(OR($AE23=0,H$8&gt;$Z23),"",ROUND(((W23*X23+MAX(0,H$8-$AA23)*КРОК_ГОСТЯ)*(1-$U$5)+H$8*$AB23*(1-$U$5*$U$6)+$AD23*(1-$U$5*$U$7))/ОКРУГЛЕННЯ,0)*ОКРУГЛЕННЯ)</f>
        <v/>
      </c>
      <c r="I23" s="16" t="str">
        <f aca="false">IF(OR($AE23=0,I$8&gt;$Z23),"",ROUND(((W23*X23+MAX(0,I$8-$AA23)*КРОК_ГОСТЯ)*(1-$U$5)+I$8*$AB23*(1-$U$5*$U$6)+$AD23*(1-$U$5*$U$7))/ОКРУГЛЕННЯ,0)*ОКРУГЛЕННЯ)</f>
        <v/>
      </c>
      <c r="J23" s="16" t="str">
        <f aca="false">IF(OR($AE23=0,J$8&gt;$Z23),"",ROUND(((W23*X23+MAX(0,J$8-$AA23)*КРОК_ГОСТЯ)*(1-$U$5)+J$8*$AB23*(1-$U$5*$U$6)+$AD23*(1-$U$5*$U$7))/ОКРУГЛЕННЯ,0)*ОКРУГЛЕННЯ)</f>
        <v/>
      </c>
      <c r="K23" s="16" t="str">
        <f aca="false">IF(OR($AE23=0,K$8&gt;$Z23),"",ROUND(((W23*X23+MAX(0,K$8-$AA23)*КРОК_ГОСТЯ)*(1-$U$5)+K$8*$AB23*(1-$U$5*$U$6)+$AD23*(1-$U$5*$U$7))/ОКРУГЛЕННЯ,0)*ОКРУГЛЕННЯ)</f>
        <v/>
      </c>
      <c r="L23" s="16" t="n">
        <f aca="false">IF(OR($AF23=0,L$8&gt;$Z23),"",ROUND(((W23*X23*Y23+MAX(0,L$8-$AA23)*КРОК_ГОСТЯ)*(1-$U$5)+L$8*$AC23*(1-$U$5*$U$6)+$AD23*(1-$U$5*$U$7))/ОКРУГЛЕННЯ,0)*ОКРУГЛЕННЯ)</f>
        <v>3802</v>
      </c>
      <c r="M23" s="16" t="n">
        <f aca="false">IF(OR($AF23=0,M$8&gt;$Z23),"",ROUND(((W23*X23*Y23+MAX(0,M$8-$AA23)*КРОК_ГОСТЯ)*(1-$U$5)+M$8*$AC23*(1-$U$5*$U$6)+$AD23*(1-$U$5*$U$7))/ОКРУГЛЕННЯ,0)*ОКРУГЛЕННЯ)</f>
        <v>3802</v>
      </c>
      <c r="N23" s="16" t="n">
        <f aca="false">IF(OR($AF23=0,N$8&gt;$Z23),"",ROUND(((W23*X23*Y23+MAX(0,N$8-$AA23)*КРОК_ГОСТЯ)*(1-$U$5)+N$8*$AC23*(1-$U$5*$U$6)+$AD23*(1-$U$5*$U$7))/ОКРУГЛЕННЯ,0)*ОКРУГЛЕННЯ)</f>
        <v>4302</v>
      </c>
      <c r="O23" s="16" t="str">
        <f aca="false">IF(OR($AF23=0,O$8&gt;$Z23),"",ROUND(((W23*X23*Y23+MAX(0,O$8-$AA23)*КРОК_ГОСТЯ)*(1-$U$5)+O$8*$AC23*(1-$U$5*$U$6)+$AD23*(1-$U$5*$U$7))/ОКРУГЛЕННЯ,0)*ОКРУГЛЕННЯ)</f>
        <v/>
      </c>
      <c r="P23" s="16" t="str">
        <f aca="false">IF(OR($AF23=0,P$8&gt;$Z23),"",ROUND(((W23*X23*Y23+MAX(0,P$8-$AA23)*КРОК_ГОСТЯ)*(1-$U$5)+P$8*$AC23*(1-$U$5*$U$6)+$AD23*(1-$U$5*$U$7))/ОКРУГЛЕННЯ,0)*ОКРУГЛЕННЯ)</f>
        <v/>
      </c>
      <c r="Q23" s="16" t="str">
        <f aca="false">IF(OR($AF23=0,Q$8&gt;$Z23),"",ROUND(((W23*X23*Y23+MAX(0,Q$8-$AA23)*КРОК_ГОСТЯ)*(1-$U$5)+Q$8*$AC23*(1-$U$5*$U$6)+$AD23*(1-$U$5*$U$7))/ОКРУГЛЕННЯ,0)*ОКРУГЛЕННЯ)</f>
        <v/>
      </c>
      <c r="R23" s="16" t="str">
        <f aca="false">IF(OR($AF23=0,R$8&gt;$Z23),"",ROUND(((W23*X23*Y23+MAX(0,R$8-$AA23)*КРОК_ГОСТЯ)*(1-$U$5)+R$8*$AC23*(1-$U$5*$U$6)+$AD23*(1-$U$5*$U$7))/ОКРУГЛЕННЯ,0)*ОКРУГЛЕННЯ)</f>
        <v/>
      </c>
      <c r="S23" s="16" t="str">
        <f aca="false">IF(OR($AF23=0,S$8&gt;$Z23),"",ROUND(((W23*X23*Y23+MAX(0,S$8-$AA23)*КРОК_ГОСТЯ)*(1-$U$5)+S$8*$AC23*(1-$U$5*$U$6)+$AD23*(1-$U$5*$U$7))/ОКРУГЛЕННЯ,0)*ОКРУГЛЕННЯ)</f>
        <v/>
      </c>
      <c r="W23" s="17" t="n">
        <f aca="false">IF(OR($U$3=0,$A23=""),0,IFERROR(INDEX(БАЗА_RO,MATCH(INDEX(ДОВ_ОПОРА,MATCH($A23,КАТЕГОРІЇ,0)),БАЗА_КАТ,0),$U$3),0))</f>
        <v>2930</v>
      </c>
      <c r="X23" s="18" t="n">
        <f aca="false">IF(OR($U$3=0,$A23=""),0,IFERROR(INDEX(МНОЖНИКИ,MATCH($A23,МНОЖ_КАТ,0),$U$3),0))</f>
        <v>1.09</v>
      </c>
      <c r="Y23" s="18" t="n">
        <f aca="false">IF(OR($U$3=0,$A23=""),0,IFERROR(INDEX(МНОЖНИКИ,MATCH($A23,МНОЖ_КАТ,0),$U$3+1),0))</f>
        <v>1.0652</v>
      </c>
      <c r="Z23" s="9" t="n">
        <f aca="false">IF($A23="",0,IFERROR(INDEX(ДОВ_МАКС,MATCH($A23,КАТЕГОРІЇ,0)),0))</f>
        <v>3</v>
      </c>
      <c r="AA23" s="9" t="n">
        <f aca="false">IF($A23="",0,IFERROR(INDEX(ДОВ_ВКЛ,MATCH($A23,КАТЕГОРІЇ,0)),0))</f>
        <v>2</v>
      </c>
      <c r="AB23" s="6" t="n">
        <f aca="false">IF(OR($U$3=0,$U$8=0),0,IFERROR(INDEX(ПАКЕТИ_ЦІНИ,MATCH($U$10&amp;"|Будні",ПАКЕТИ_КЛЮЧ,0),$U$3),0))</f>
        <v>0</v>
      </c>
      <c r="AC23" s="6" t="n">
        <f aca="false">IF(OR($U$3=0,$U$8=0),0,IFERROR(INDEX(ПАКЕТИ_ЦІНИ,MATCH($U$10&amp;"|Вихідні",ПАКЕТИ_КЛЮЧ,0),$U$3),0))</f>
        <v>0</v>
      </c>
      <c r="AD23" s="17" t="n">
        <f aca="false">IF(OR($U$3=0,$U$9=0,$A23=""),0,IFERROR(INDEX(SPA_ЦІНИ,MATCH(INDEX(ДОВ_SPA,MATCH($A23,КАТЕГОРІЇ,0)),SPA_РОЛЬ,0),$U$3),0))</f>
        <v>400</v>
      </c>
      <c r="AE23" s="6" t="n">
        <f aca="false">IF(OR($A23="",W23=0,X23=0,AND($U$8=1,AB23=0),AND($U$9=1,AD23=0)),0,1)</f>
        <v>1</v>
      </c>
      <c r="AF23" s="6" t="n">
        <f aca="false">IF(OR(AE23=0,Y23=0,AND($U$8=1,AC23=0)),0,1)</f>
        <v>1</v>
      </c>
    </row>
    <row r="24" customFormat="false" ht="15" hidden="false" customHeight="false" outlineLevel="0" collapsed="false">
      <c r="A24" s="19" t="str">
        <f aca="false">IF('Довідник категорій'!A20="","",'Довідник категорій'!A20)</f>
        <v>Апартаменти 2-х місні стандартні</v>
      </c>
      <c r="B24" s="20" t="str">
        <f aca="false">IF($A24="","",IFERROR(INDEX(ДОВ_BOOKING,MATCH($A24,КАТЕГОРІЇ,0)),""))</f>
        <v>Апартаменти з балконом 40 м²</v>
      </c>
      <c r="C24" s="21" t="str">
        <f aca="false">IF($A24="","",IFERROR(INDEX(ДОВ_ГРУПА,MATCH($A24,КАТЕГОРІЇ,0)),""))</f>
        <v>Apartments B</v>
      </c>
      <c r="D24" s="22" t="n">
        <f aca="false">IF(OR($AE24=0,D$8&gt;$Z24),"",ROUND(((W24*X24+MAX(0,D$8-$AA24)*КРОК_ГОСТЯ)*(1-$U$5)+D$8*$AB24*(1-$U$5*$U$6)+$AD24*(1-$U$5*$U$7))/ОКРУГЛЕННЯ,0)*ОКРУГЛЕННЯ)</f>
        <v>3594</v>
      </c>
      <c r="E24" s="22" t="n">
        <f aca="false">IF(OR($AE24=0,E$8&gt;$Z24),"",ROUND(((W24*X24+MAX(0,E$8-$AA24)*КРОК_ГОСТЯ)*(1-$U$5)+E$8*$AB24*(1-$U$5*$U$6)+$AD24*(1-$U$5*$U$7))/ОКРУГЛЕННЯ,0)*ОКРУГЛЕННЯ)</f>
        <v>3594</v>
      </c>
      <c r="F24" s="22" t="n">
        <f aca="false">IF(OR($AE24=0,F$8&gt;$Z24),"",ROUND(((W24*X24+MAX(0,F$8-$AA24)*КРОК_ГОСТЯ)*(1-$U$5)+F$8*$AB24*(1-$U$5*$U$6)+$AD24*(1-$U$5*$U$7))/ОКРУГЛЕННЯ,0)*ОКРУГЛЕННЯ)</f>
        <v>4094</v>
      </c>
      <c r="G24" s="22" t="str">
        <f aca="false">IF(OR($AE24=0,G$8&gt;$Z24),"",ROUND(((W24*X24+MAX(0,G$8-$AA24)*КРОК_ГОСТЯ)*(1-$U$5)+G$8*$AB24*(1-$U$5*$U$6)+$AD24*(1-$U$5*$U$7))/ОКРУГЛЕННЯ,0)*ОКРУГЛЕННЯ)</f>
        <v/>
      </c>
      <c r="H24" s="22" t="str">
        <f aca="false">IF(OR($AE24=0,H$8&gt;$Z24),"",ROUND(((W24*X24+MAX(0,H$8-$AA24)*КРОК_ГОСТЯ)*(1-$U$5)+H$8*$AB24*(1-$U$5*$U$6)+$AD24*(1-$U$5*$U$7))/ОКРУГЛЕННЯ,0)*ОКРУГЛЕННЯ)</f>
        <v/>
      </c>
      <c r="I24" s="22" t="str">
        <f aca="false">IF(OR($AE24=0,I$8&gt;$Z24),"",ROUND(((W24*X24+MAX(0,I$8-$AA24)*КРОК_ГОСТЯ)*(1-$U$5)+I$8*$AB24*(1-$U$5*$U$6)+$AD24*(1-$U$5*$U$7))/ОКРУГЛЕННЯ,0)*ОКРУГЛЕННЯ)</f>
        <v/>
      </c>
      <c r="J24" s="22" t="str">
        <f aca="false">IF(OR($AE24=0,J$8&gt;$Z24),"",ROUND(((W24*X24+MAX(0,J$8-$AA24)*КРОК_ГОСТЯ)*(1-$U$5)+J$8*$AB24*(1-$U$5*$U$6)+$AD24*(1-$U$5*$U$7))/ОКРУГЛЕННЯ,0)*ОКРУГЛЕННЯ)</f>
        <v/>
      </c>
      <c r="K24" s="22" t="str">
        <f aca="false">IF(OR($AE24=0,K$8&gt;$Z24),"",ROUND(((W24*X24+MAX(0,K$8-$AA24)*КРОК_ГОСТЯ)*(1-$U$5)+K$8*$AB24*(1-$U$5*$U$6)+$AD24*(1-$U$5*$U$7))/ОКРУГЛЕННЯ,0)*ОКРУГЛЕННЯ)</f>
        <v/>
      </c>
      <c r="L24" s="22" t="n">
        <f aca="false">IF(OR($AF24=0,L$8&gt;$Z24),"",ROUND(((W24*X24*Y24+MAX(0,L$8-$AA24)*КРОК_ГОСТЯ)*(1-$U$5)+L$8*$AC24*(1-$U$5*$U$6)+$AD24*(1-$U$5*$U$7))/ОКРУГЛЕННЯ,0)*ОКРУГЛЕННЯ)</f>
        <v>3802</v>
      </c>
      <c r="M24" s="22" t="n">
        <f aca="false">IF(OR($AF24=0,M$8&gt;$Z24),"",ROUND(((W24*X24*Y24+MAX(0,M$8-$AA24)*КРОК_ГОСТЯ)*(1-$U$5)+M$8*$AC24*(1-$U$5*$U$6)+$AD24*(1-$U$5*$U$7))/ОКРУГЛЕННЯ,0)*ОКРУГЛЕННЯ)</f>
        <v>3802</v>
      </c>
      <c r="N24" s="22" t="n">
        <f aca="false">IF(OR($AF24=0,N$8&gt;$Z24),"",ROUND(((W24*X24*Y24+MAX(0,N$8-$AA24)*КРОК_ГОСТЯ)*(1-$U$5)+N$8*$AC24*(1-$U$5*$U$6)+$AD24*(1-$U$5*$U$7))/ОКРУГЛЕННЯ,0)*ОКРУГЛЕННЯ)</f>
        <v>4302</v>
      </c>
      <c r="O24" s="22" t="str">
        <f aca="false">IF(OR($AF24=0,O$8&gt;$Z24),"",ROUND(((W24*X24*Y24+MAX(0,O$8-$AA24)*КРОК_ГОСТЯ)*(1-$U$5)+O$8*$AC24*(1-$U$5*$U$6)+$AD24*(1-$U$5*$U$7))/ОКРУГЛЕННЯ,0)*ОКРУГЛЕННЯ)</f>
        <v/>
      </c>
      <c r="P24" s="22" t="str">
        <f aca="false">IF(OR($AF24=0,P$8&gt;$Z24),"",ROUND(((W24*X24*Y24+MAX(0,P$8-$AA24)*КРОК_ГОСТЯ)*(1-$U$5)+P$8*$AC24*(1-$U$5*$U$6)+$AD24*(1-$U$5*$U$7))/ОКРУГЛЕННЯ,0)*ОКРУГЛЕННЯ)</f>
        <v/>
      </c>
      <c r="Q24" s="22" t="str">
        <f aca="false">IF(OR($AF24=0,Q$8&gt;$Z24),"",ROUND(((W24*X24*Y24+MAX(0,Q$8-$AA24)*КРОК_ГОСТЯ)*(1-$U$5)+Q$8*$AC24*(1-$U$5*$U$6)+$AD24*(1-$U$5*$U$7))/ОКРУГЛЕННЯ,0)*ОКРУГЛЕННЯ)</f>
        <v/>
      </c>
      <c r="R24" s="22" t="str">
        <f aca="false">IF(OR($AF24=0,R$8&gt;$Z24),"",ROUND(((W24*X24*Y24+MAX(0,R$8-$AA24)*КРОК_ГОСТЯ)*(1-$U$5)+R$8*$AC24*(1-$U$5*$U$6)+$AD24*(1-$U$5*$U$7))/ОКРУГЛЕННЯ,0)*ОКРУГЛЕННЯ)</f>
        <v/>
      </c>
      <c r="S24" s="22" t="str">
        <f aca="false">IF(OR($AF24=0,S$8&gt;$Z24),"",ROUND(((W24*X24*Y24+MAX(0,S$8-$AA24)*КРОК_ГОСТЯ)*(1-$U$5)+S$8*$AC24*(1-$U$5*$U$6)+$AD24*(1-$U$5*$U$7))/ОКРУГЛЕННЯ,0)*ОКРУГЛЕННЯ)</f>
        <v/>
      </c>
      <c r="W24" s="17" t="n">
        <f aca="false">IF(OR($U$3=0,$A24=""),0,IFERROR(INDEX(БАЗА_RO,MATCH(INDEX(ДОВ_ОПОРА,MATCH($A24,КАТЕГОРІЇ,0)),БАЗА_КАТ,0),$U$3),0))</f>
        <v>2930</v>
      </c>
      <c r="X24" s="18" t="n">
        <f aca="false">IF(OR($U$3=0,$A24=""),0,IFERROR(INDEX(МНОЖНИКИ,MATCH($A24,МНОЖ_КАТ,0),$U$3),0))</f>
        <v>1.09</v>
      </c>
      <c r="Y24" s="18" t="n">
        <f aca="false">IF(OR($U$3=0,$A24=""),0,IFERROR(INDEX(МНОЖНИКИ,MATCH($A24,МНОЖ_КАТ,0),$U$3+1),0))</f>
        <v>1.0652</v>
      </c>
      <c r="Z24" s="9" t="n">
        <f aca="false">IF($A24="",0,IFERROR(INDEX(ДОВ_МАКС,MATCH($A24,КАТЕГОРІЇ,0)),0))</f>
        <v>3</v>
      </c>
      <c r="AA24" s="9" t="n">
        <f aca="false">IF($A24="",0,IFERROR(INDEX(ДОВ_ВКЛ,MATCH($A24,КАТЕГОРІЇ,0)),0))</f>
        <v>2</v>
      </c>
      <c r="AB24" s="6" t="n">
        <f aca="false">IF(OR($U$3=0,$U$8=0),0,IFERROR(INDEX(ПАКЕТИ_ЦІНИ,MATCH($U$10&amp;"|Будні",ПАКЕТИ_КЛЮЧ,0),$U$3),0))</f>
        <v>0</v>
      </c>
      <c r="AC24" s="6" t="n">
        <f aca="false">IF(OR($U$3=0,$U$8=0),0,IFERROR(INDEX(ПАКЕТИ_ЦІНИ,MATCH($U$10&amp;"|Вихідні",ПАКЕТИ_КЛЮЧ,0),$U$3),0))</f>
        <v>0</v>
      </c>
      <c r="AD24" s="17" t="n">
        <f aca="false">IF(OR($U$3=0,$U$9=0,$A24=""),0,IFERROR(INDEX(SPA_ЦІНИ,MATCH(INDEX(ДОВ_SPA,MATCH($A24,КАТЕГОРІЇ,0)),SPA_РОЛЬ,0),$U$3),0))</f>
        <v>400</v>
      </c>
      <c r="AE24" s="6" t="n">
        <f aca="false">IF(OR($A24="",W24=0,X24=0,AND($U$8=1,AB24=0),AND($U$9=1,AD24=0)),0,1)</f>
        <v>1</v>
      </c>
      <c r="AF24" s="6" t="n">
        <f aca="false">IF(OR(AE24=0,Y24=0,AND($U$8=1,AC24=0)),0,1)</f>
        <v>1</v>
      </c>
    </row>
    <row r="25" customFormat="false" ht="15" hidden="false" customHeight="false" outlineLevel="0" collapsed="false">
      <c r="A25" s="13" t="str">
        <f aca="false">IF('Довідник категорій'!A21="","",'Довідник категорій'!A21)</f>
        <v>Апартаменти 3-й поверх</v>
      </c>
      <c r="B25" s="14" t="str">
        <f aca="false">IF($A25="","",IFERROR(INDEX(ДОВ_BOOKING,MATCH($A25,КАТЕГОРІЇ,0)),""))</f>
        <v>Апартаменти з видом на гори 50 м²</v>
      </c>
      <c r="C25" s="15" t="str">
        <f aca="false">IF($A25="","",IFERROR(INDEX(ДОВ_ГРУПА,MATCH($A25,КАТЕГОРІЇ,0)),""))</f>
        <v>Apartments B</v>
      </c>
      <c r="D25" s="16" t="n">
        <f aca="false">IF(OR($AE25=0,D$8&gt;$Z25),"",ROUND(((W25*X25+MAX(0,D$8-$AA25)*КРОК_ГОСТЯ)*(1-$U$5)+D$8*$AB25*(1-$U$5*$U$6)+$AD25*(1-$U$5*$U$7))/ОКРУГЛЕННЯ,0)*ОКРУГЛЕННЯ)</f>
        <v>3594</v>
      </c>
      <c r="E25" s="16" t="n">
        <f aca="false">IF(OR($AE25=0,E$8&gt;$Z25),"",ROUND(((W25*X25+MAX(0,E$8-$AA25)*КРОК_ГОСТЯ)*(1-$U$5)+E$8*$AB25*(1-$U$5*$U$6)+$AD25*(1-$U$5*$U$7))/ОКРУГЛЕННЯ,0)*ОКРУГЛЕННЯ)</f>
        <v>3594</v>
      </c>
      <c r="F25" s="16" t="n">
        <f aca="false">IF(OR($AE25=0,F$8&gt;$Z25),"",ROUND(((W25*X25+MAX(0,F$8-$AA25)*КРОК_ГОСТЯ)*(1-$U$5)+F$8*$AB25*(1-$U$5*$U$6)+$AD25*(1-$U$5*$U$7))/ОКРУГЛЕННЯ,0)*ОКРУГЛЕННЯ)</f>
        <v>4094</v>
      </c>
      <c r="G25" s="16" t="str">
        <f aca="false">IF(OR($AE25=0,G$8&gt;$Z25),"",ROUND(((W25*X25+MAX(0,G$8-$AA25)*КРОК_ГОСТЯ)*(1-$U$5)+G$8*$AB25*(1-$U$5*$U$6)+$AD25*(1-$U$5*$U$7))/ОКРУГЛЕННЯ,0)*ОКРУГЛЕННЯ)</f>
        <v/>
      </c>
      <c r="H25" s="16" t="str">
        <f aca="false">IF(OR($AE25=0,H$8&gt;$Z25),"",ROUND(((W25*X25+MAX(0,H$8-$AA25)*КРОК_ГОСТЯ)*(1-$U$5)+H$8*$AB25*(1-$U$5*$U$6)+$AD25*(1-$U$5*$U$7))/ОКРУГЛЕННЯ,0)*ОКРУГЛЕННЯ)</f>
        <v/>
      </c>
      <c r="I25" s="16" t="str">
        <f aca="false">IF(OR($AE25=0,I$8&gt;$Z25),"",ROUND(((W25*X25+MAX(0,I$8-$AA25)*КРОК_ГОСТЯ)*(1-$U$5)+I$8*$AB25*(1-$U$5*$U$6)+$AD25*(1-$U$5*$U$7))/ОКРУГЛЕННЯ,0)*ОКРУГЛЕННЯ)</f>
        <v/>
      </c>
      <c r="J25" s="16" t="str">
        <f aca="false">IF(OR($AE25=0,J$8&gt;$Z25),"",ROUND(((W25*X25+MAX(0,J$8-$AA25)*КРОК_ГОСТЯ)*(1-$U$5)+J$8*$AB25*(1-$U$5*$U$6)+$AD25*(1-$U$5*$U$7))/ОКРУГЛЕННЯ,0)*ОКРУГЛЕННЯ)</f>
        <v/>
      </c>
      <c r="K25" s="16" t="str">
        <f aca="false">IF(OR($AE25=0,K$8&gt;$Z25),"",ROUND(((W25*X25+MAX(0,K$8-$AA25)*КРОК_ГОСТЯ)*(1-$U$5)+K$8*$AB25*(1-$U$5*$U$6)+$AD25*(1-$U$5*$U$7))/ОКРУГЛЕННЯ,0)*ОКРУГЛЕННЯ)</f>
        <v/>
      </c>
      <c r="L25" s="16" t="n">
        <f aca="false">IF(OR($AF25=0,L$8&gt;$Z25),"",ROUND(((W25*X25*Y25+MAX(0,L$8-$AA25)*КРОК_ГОСТЯ)*(1-$U$5)+L$8*$AC25*(1-$U$5*$U$6)+$AD25*(1-$U$5*$U$7))/ОКРУГЛЕННЯ,0)*ОКРУГЛЕННЯ)</f>
        <v>3802</v>
      </c>
      <c r="M25" s="16" t="n">
        <f aca="false">IF(OR($AF25=0,M$8&gt;$Z25),"",ROUND(((W25*X25*Y25+MAX(0,M$8-$AA25)*КРОК_ГОСТЯ)*(1-$U$5)+M$8*$AC25*(1-$U$5*$U$6)+$AD25*(1-$U$5*$U$7))/ОКРУГЛЕННЯ,0)*ОКРУГЛЕННЯ)</f>
        <v>3802</v>
      </c>
      <c r="N25" s="16" t="n">
        <f aca="false">IF(OR($AF25=0,N$8&gt;$Z25),"",ROUND(((W25*X25*Y25+MAX(0,N$8-$AA25)*КРОК_ГОСТЯ)*(1-$U$5)+N$8*$AC25*(1-$U$5*$U$6)+$AD25*(1-$U$5*$U$7))/ОКРУГЛЕННЯ,0)*ОКРУГЛЕННЯ)</f>
        <v>4302</v>
      </c>
      <c r="O25" s="16" t="str">
        <f aca="false">IF(OR($AF25=0,O$8&gt;$Z25),"",ROUND(((W25*X25*Y25+MAX(0,O$8-$AA25)*КРОК_ГОСТЯ)*(1-$U$5)+O$8*$AC25*(1-$U$5*$U$6)+$AD25*(1-$U$5*$U$7))/ОКРУГЛЕННЯ,0)*ОКРУГЛЕННЯ)</f>
        <v/>
      </c>
      <c r="P25" s="16" t="str">
        <f aca="false">IF(OR($AF25=0,P$8&gt;$Z25),"",ROUND(((W25*X25*Y25+MAX(0,P$8-$AA25)*КРОК_ГОСТЯ)*(1-$U$5)+P$8*$AC25*(1-$U$5*$U$6)+$AD25*(1-$U$5*$U$7))/ОКРУГЛЕННЯ,0)*ОКРУГЛЕННЯ)</f>
        <v/>
      </c>
      <c r="Q25" s="16" t="str">
        <f aca="false">IF(OR($AF25=0,Q$8&gt;$Z25),"",ROUND(((W25*X25*Y25+MAX(0,Q$8-$AA25)*КРОК_ГОСТЯ)*(1-$U$5)+Q$8*$AC25*(1-$U$5*$U$6)+$AD25*(1-$U$5*$U$7))/ОКРУГЛЕННЯ,0)*ОКРУГЛЕННЯ)</f>
        <v/>
      </c>
      <c r="R25" s="16" t="str">
        <f aca="false">IF(OR($AF25=0,R$8&gt;$Z25),"",ROUND(((W25*X25*Y25+MAX(0,R$8-$AA25)*КРОК_ГОСТЯ)*(1-$U$5)+R$8*$AC25*(1-$U$5*$U$6)+$AD25*(1-$U$5*$U$7))/ОКРУГЛЕННЯ,0)*ОКРУГЛЕННЯ)</f>
        <v/>
      </c>
      <c r="S25" s="16" t="str">
        <f aca="false">IF(OR($AF25=0,S$8&gt;$Z25),"",ROUND(((W25*X25*Y25+MAX(0,S$8-$AA25)*КРОК_ГОСТЯ)*(1-$U$5)+S$8*$AC25*(1-$U$5*$U$6)+$AD25*(1-$U$5*$U$7))/ОКРУГЛЕННЯ,0)*ОКРУГЛЕННЯ)</f>
        <v/>
      </c>
      <c r="W25" s="17" t="n">
        <f aca="false">IF(OR($U$3=0,$A25=""),0,IFERROR(INDEX(БАЗА_RO,MATCH(INDEX(ДОВ_ОПОРА,MATCH($A25,КАТЕГОРІЇ,0)),БАЗА_КАТ,0),$U$3),0))</f>
        <v>2930</v>
      </c>
      <c r="X25" s="18" t="n">
        <f aca="false">IF(OR($U$3=0,$A25=""),0,IFERROR(INDEX(МНОЖНИКИ,MATCH($A25,МНОЖ_КАТ,0),$U$3),0))</f>
        <v>1.09</v>
      </c>
      <c r="Y25" s="18" t="n">
        <f aca="false">IF(OR($U$3=0,$A25=""),0,IFERROR(INDEX(МНОЖНИКИ,MATCH($A25,МНОЖ_КАТ,0),$U$3+1),0))</f>
        <v>1.0652</v>
      </c>
      <c r="Z25" s="9" t="n">
        <f aca="false">IF($A25="",0,IFERROR(INDEX(ДОВ_МАКС,MATCH($A25,КАТЕГОРІЇ,0)),0))</f>
        <v>3</v>
      </c>
      <c r="AA25" s="9" t="n">
        <f aca="false">IF($A25="",0,IFERROR(INDEX(ДОВ_ВКЛ,MATCH($A25,КАТЕГОРІЇ,0)),0))</f>
        <v>2</v>
      </c>
      <c r="AB25" s="6" t="n">
        <f aca="false">IF(OR($U$3=0,$U$8=0),0,IFERROR(INDEX(ПАКЕТИ_ЦІНИ,MATCH($U$10&amp;"|Будні",ПАКЕТИ_КЛЮЧ,0),$U$3),0))</f>
        <v>0</v>
      </c>
      <c r="AC25" s="6" t="n">
        <f aca="false">IF(OR($U$3=0,$U$8=0),0,IFERROR(INDEX(ПАКЕТИ_ЦІНИ,MATCH($U$10&amp;"|Вихідні",ПАКЕТИ_КЛЮЧ,0),$U$3),0))</f>
        <v>0</v>
      </c>
      <c r="AD25" s="17" t="n">
        <f aca="false">IF(OR($U$3=0,$U$9=0,$A25=""),0,IFERROR(INDEX(SPA_ЦІНИ,MATCH(INDEX(ДОВ_SPA,MATCH($A25,КАТЕГОРІЇ,0)),SPA_РОЛЬ,0),$U$3),0))</f>
        <v>400</v>
      </c>
      <c r="AE25" s="6" t="n">
        <f aca="false">IF(OR($A25="",W25=0,X25=0,AND($U$8=1,AB25=0),AND($U$9=1,AD25=0)),0,1)</f>
        <v>1</v>
      </c>
      <c r="AF25" s="6" t="n">
        <f aca="false">IF(OR(AE25=0,Y25=0,AND($U$8=1,AC25=0)),0,1)</f>
        <v>1</v>
      </c>
    </row>
    <row r="26" customFormat="false" ht="15" hidden="false" customHeight="false" outlineLevel="0" collapsed="false">
      <c r="A26" s="19" t="str">
        <f aca="false">IF('Довідник категорій'!A22="","",'Довідник категорій'!A22)</f>
        <v>Апартаменти президентські</v>
      </c>
      <c r="B26" s="20" t="str">
        <f aca="false">IF($A26="","",IFERROR(INDEX(ДОВ_BOOKING,MATCH($A26,КАТЕГОРІЇ,0)),""))</f>
        <v>Дворівневі апартаменти 60 м²</v>
      </c>
      <c r="C26" s="21" t="str">
        <f aca="false">IF($A26="","",IFERROR(INDEX(ДОВ_ГРУПА,MATCH($A26,КАТЕГОРІЇ,0)),""))</f>
        <v>Apartments B</v>
      </c>
      <c r="D26" s="22" t="n">
        <f aca="false">IF(OR($AE26=0,D$8&gt;$Z26),"",ROUND(((W26*X26+MAX(0,D$8-$AA26)*КРОК_ГОСТЯ)*(1-$U$5)+D$8*$AB26*(1-$U$5*$U$6)+$AD26*(1-$U$5*$U$7))/ОКРУГЛЕННЯ,0)*ОКРУГЛЕННЯ)</f>
        <v>5000</v>
      </c>
      <c r="E26" s="22" t="n">
        <f aca="false">IF(OR($AE26=0,E$8&gt;$Z26),"",ROUND(((W26*X26+MAX(0,E$8-$AA26)*КРОК_ГОСТЯ)*(1-$U$5)+E$8*$AB26*(1-$U$5*$U$6)+$AD26*(1-$U$5*$U$7))/ОКРУГЛЕННЯ,0)*ОКРУГЛЕННЯ)</f>
        <v>5000</v>
      </c>
      <c r="F26" s="22" t="n">
        <f aca="false">IF(OR($AE26=0,F$8&gt;$Z26),"",ROUND(((W26*X26+MAX(0,F$8-$AA26)*КРОК_ГОСТЯ)*(1-$U$5)+F$8*$AB26*(1-$U$5*$U$6)+$AD26*(1-$U$5*$U$7))/ОКРУГЛЕННЯ,0)*ОКРУГЛЕННЯ)</f>
        <v>5500</v>
      </c>
      <c r="G26" s="22" t="str">
        <f aca="false">IF(OR($AE26=0,G$8&gt;$Z26),"",ROUND(((W26*X26+MAX(0,G$8-$AA26)*КРОК_ГОСТЯ)*(1-$U$5)+G$8*$AB26*(1-$U$5*$U$6)+$AD26*(1-$U$5*$U$7))/ОКРУГЛЕННЯ,0)*ОКРУГЛЕННЯ)</f>
        <v/>
      </c>
      <c r="H26" s="22" t="str">
        <f aca="false">IF(OR($AE26=0,H$8&gt;$Z26),"",ROUND(((W26*X26+MAX(0,H$8-$AA26)*КРОК_ГОСТЯ)*(1-$U$5)+H$8*$AB26*(1-$U$5*$U$6)+$AD26*(1-$U$5*$U$7))/ОКРУГЛЕННЯ,0)*ОКРУГЛЕННЯ)</f>
        <v/>
      </c>
      <c r="I26" s="22" t="str">
        <f aca="false">IF(OR($AE26=0,I$8&gt;$Z26),"",ROUND(((W26*X26+MAX(0,I$8-$AA26)*КРОК_ГОСТЯ)*(1-$U$5)+I$8*$AB26*(1-$U$5*$U$6)+$AD26*(1-$U$5*$U$7))/ОКРУГЛЕННЯ,0)*ОКРУГЛЕННЯ)</f>
        <v/>
      </c>
      <c r="J26" s="22" t="str">
        <f aca="false">IF(OR($AE26=0,J$8&gt;$Z26),"",ROUND(((W26*X26+MAX(0,J$8-$AA26)*КРОК_ГОСТЯ)*(1-$U$5)+J$8*$AB26*(1-$U$5*$U$6)+$AD26*(1-$U$5*$U$7))/ОКРУГЛЕННЯ,0)*ОКРУГЛЕННЯ)</f>
        <v/>
      </c>
      <c r="K26" s="22" t="str">
        <f aca="false">IF(OR($AE26=0,K$8&gt;$Z26),"",ROUND(((W26*X26+MAX(0,K$8-$AA26)*КРОК_ГОСТЯ)*(1-$U$5)+K$8*$AB26*(1-$U$5*$U$6)+$AD26*(1-$U$5*$U$7))/ОКРУГЛЕННЯ,0)*ОКРУГЛЕННЯ)</f>
        <v/>
      </c>
      <c r="L26" s="22" t="n">
        <f aca="false">IF(OR($AF26=0,L$8&gt;$Z26),"",ROUND(((W26*X26*Y26+MAX(0,L$8-$AA26)*КРОК_ГОСТЯ)*(1-$U$5)+L$8*$AC26*(1-$U$5*$U$6)+$AD26*(1-$U$5*$U$7))/ОКРУГЛЕННЯ,0)*ОКРУГЛЕННЯ)</f>
        <v>5276</v>
      </c>
      <c r="M26" s="22" t="n">
        <f aca="false">IF(OR($AF26=0,M$8&gt;$Z26),"",ROUND(((W26*X26*Y26+MAX(0,M$8-$AA26)*КРОК_ГОСТЯ)*(1-$U$5)+M$8*$AC26*(1-$U$5*$U$6)+$AD26*(1-$U$5*$U$7))/ОКРУГЛЕННЯ,0)*ОКРУГЛЕННЯ)</f>
        <v>5276</v>
      </c>
      <c r="N26" s="22" t="n">
        <f aca="false">IF(OR($AF26=0,N$8&gt;$Z26),"",ROUND(((W26*X26*Y26+MAX(0,N$8-$AA26)*КРОК_ГОСТЯ)*(1-$U$5)+N$8*$AC26*(1-$U$5*$U$6)+$AD26*(1-$U$5*$U$7))/ОКРУГЛЕННЯ,0)*ОКРУГЛЕННЯ)</f>
        <v>5776</v>
      </c>
      <c r="O26" s="22" t="str">
        <f aca="false">IF(OR($AF26=0,O$8&gt;$Z26),"",ROUND(((W26*X26*Y26+MAX(0,O$8-$AA26)*КРОК_ГОСТЯ)*(1-$U$5)+O$8*$AC26*(1-$U$5*$U$6)+$AD26*(1-$U$5*$U$7))/ОКРУГЛЕННЯ,0)*ОКРУГЛЕННЯ)</f>
        <v/>
      </c>
      <c r="P26" s="22" t="str">
        <f aca="false">IF(OR($AF26=0,P$8&gt;$Z26),"",ROUND(((W26*X26*Y26+MAX(0,P$8-$AA26)*КРОК_ГОСТЯ)*(1-$U$5)+P$8*$AC26*(1-$U$5*$U$6)+$AD26*(1-$U$5*$U$7))/ОКРУГЛЕННЯ,0)*ОКРУГЛЕННЯ)</f>
        <v/>
      </c>
      <c r="Q26" s="22" t="str">
        <f aca="false">IF(OR($AF26=0,Q$8&gt;$Z26),"",ROUND(((W26*X26*Y26+MAX(0,Q$8-$AA26)*КРОК_ГОСТЯ)*(1-$U$5)+Q$8*$AC26*(1-$U$5*$U$6)+$AD26*(1-$U$5*$U$7))/ОКРУГЛЕННЯ,0)*ОКРУГЛЕННЯ)</f>
        <v/>
      </c>
      <c r="R26" s="22" t="str">
        <f aca="false">IF(OR($AF26=0,R$8&gt;$Z26),"",ROUND(((W26*X26*Y26+MAX(0,R$8-$AA26)*КРОК_ГОСТЯ)*(1-$U$5)+R$8*$AC26*(1-$U$5*$U$6)+$AD26*(1-$U$5*$U$7))/ОКРУГЛЕННЯ,0)*ОКРУГЛЕННЯ)</f>
        <v/>
      </c>
      <c r="S26" s="22" t="str">
        <f aca="false">IF(OR($AF26=0,S$8&gt;$Z26),"",ROUND(((W26*X26*Y26+MAX(0,S$8-$AA26)*КРОК_ГОСТЯ)*(1-$U$5)+S$8*$AC26*(1-$U$5*$U$6)+$AD26*(1-$U$5*$U$7))/ОКРУГЛЕННЯ,0)*ОКРУГЛЕННЯ)</f>
        <v/>
      </c>
      <c r="W26" s="17" t="n">
        <f aca="false">IF(OR($U$3=0,$A26=""),0,IFERROR(INDEX(БАЗА_RO,MATCH(INDEX(ДОВ_ОПОРА,MATCH($A26,КАТЕГОРІЇ,0)),БАЗА_КАТ,0),$U$3),0))</f>
        <v>2930</v>
      </c>
      <c r="X26" s="18" t="n">
        <f aca="false">IF(OR($U$3=0,$A26=""),0,IFERROR(INDEX(МНОЖНИКИ,MATCH($A26,МНОЖ_КАТ,0),$U$3),0))</f>
        <v>1.57</v>
      </c>
      <c r="Y26" s="18" t="n">
        <f aca="false">IF(OR($U$3=0,$A26=""),0,IFERROR(INDEX(МНОЖНИКИ,MATCH($A26,МНОЖ_КАТ,0),$U$3+1),0))</f>
        <v>1.06</v>
      </c>
      <c r="Z26" s="9" t="n">
        <f aca="false">IF($A26="",0,IFERROR(INDEX(ДОВ_МАКС,MATCH($A26,КАТЕГОРІЇ,0)),0))</f>
        <v>3</v>
      </c>
      <c r="AA26" s="9" t="n">
        <f aca="false">IF($A26="",0,IFERROR(INDEX(ДОВ_ВКЛ,MATCH($A26,КАТЕГОРІЇ,0)),0))</f>
        <v>2</v>
      </c>
      <c r="AB26" s="6" t="n">
        <f aca="false">IF(OR($U$3=0,$U$8=0),0,IFERROR(INDEX(ПАКЕТИ_ЦІНИ,MATCH($U$10&amp;"|Будні",ПАКЕТИ_КЛЮЧ,0),$U$3),0))</f>
        <v>0</v>
      </c>
      <c r="AC26" s="6" t="n">
        <f aca="false">IF(OR($U$3=0,$U$8=0),0,IFERROR(INDEX(ПАКЕТИ_ЦІНИ,MATCH($U$10&amp;"|Вихідні",ПАКЕТИ_КЛЮЧ,0),$U$3),0))</f>
        <v>0</v>
      </c>
      <c r="AD26" s="17" t="n">
        <f aca="false">IF(OR($U$3=0,$U$9=0,$A26=""),0,IFERROR(INDEX(SPA_ЦІНИ,MATCH(INDEX(ДОВ_SPA,MATCH($A26,КАТЕГОРІЇ,0)),SPA_РОЛЬ,0),$U$3),0))</f>
        <v>400</v>
      </c>
      <c r="AE26" s="6" t="n">
        <f aca="false">IF(OR($A26="",W26=0,X26=0,AND($U$8=1,AB26=0),AND($U$9=1,AD26=0)),0,1)</f>
        <v>1</v>
      </c>
      <c r="AF26" s="6" t="n">
        <f aca="false">IF(OR(AE26=0,Y26=0,AND($U$8=1,AC26=0)),0,1)</f>
        <v>1</v>
      </c>
    </row>
  </sheetData>
  <sheetProtection sheet="true"/>
  <mergeCells count="7">
    <mergeCell ref="A1:S1"/>
    <mergeCell ref="D3:S3"/>
    <mergeCell ref="D4:S4"/>
    <mergeCell ref="D5:S5"/>
    <mergeCell ref="A6:S6"/>
    <mergeCell ref="D7:K7"/>
    <mergeCell ref="L7:S7"/>
  </mergeCells>
  <conditionalFormatting sqref="A6:S6">
    <cfRule type="expression" priority="2" aboveAverage="0" equalAverage="0" bottom="0" percent="0" rank="0" text="" dxfId="0">
      <formula>OR($U$3=0,$U$13=0)</formula>
    </cfRule>
  </conditionalFormatting>
  <conditionalFormatting sqref="A9:C26">
    <cfRule type="expression" priority="3" aboveAverage="0" equalAverage="0" bottom="0" percent="0" rank="0" text="" dxfId="1">
      <formula>IFERROR(INDEX(ДОВ_РОЛЬ,MATCH($A9,КАТЕГОРІЇ,0))="Базова",0)</formula>
    </cfRule>
  </conditionalFormatting>
  <dataValidations count="3"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3" type="list">
      <formula1>ПРАЙС_ЛИСТИ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4" type="list">
      <formula1>ТАРИФИ_НАЗВИ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5" type="list">
      <formula1>СПИСОК_ПАКЕТІВ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&amp;LPhoenix Relax Park Bukovel&amp;C&amp;A&amp;RСторінка &amp;P 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true" outlineLevel="0" max="22" min="21" style="0" width="13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U1" s="2" t="s">
        <v>0</v>
      </c>
    </row>
    <row r="3" customFormat="false" ht="39.75" hidden="false" customHeight="true" outlineLevel="0" collapsed="false">
      <c r="A3" s="8" t="s">
        <v>24</v>
      </c>
      <c r="B3" s="8"/>
      <c r="C3" s="8"/>
      <c r="D3" s="8"/>
      <c r="E3" s="8"/>
      <c r="F3" s="8"/>
      <c r="U3" s="6" t="n">
        <f aca="false">IFERROR(MATCH($B$6,ПЛ_РЯДОК,0),0)</f>
        <v>5</v>
      </c>
      <c r="V3" s="7" t="s">
        <v>3</v>
      </c>
    </row>
    <row r="5" customFormat="false" ht="15" hidden="false" customHeight="false" outlineLevel="0" collapsed="false">
      <c r="A5" s="23" t="s">
        <v>25</v>
      </c>
      <c r="B5" s="23"/>
      <c r="D5" s="23" t="s">
        <v>26</v>
      </c>
      <c r="E5" s="23"/>
      <c r="F5" s="23"/>
    </row>
    <row r="6" customFormat="false" ht="15" hidden="false" customHeight="false" outlineLevel="0" collapsed="false">
      <c r="A6" s="24" t="s">
        <v>1</v>
      </c>
      <c r="B6" s="25" t="str">
        <f aca="false">Прайс!$B$3</f>
        <v>Осінь 2026 (00-10%)</v>
      </c>
      <c r="D6" s="26" t="s">
        <v>27</v>
      </c>
      <c r="F6" s="14" t="str">
        <f aca="false">IF(OR($B$6="",$B$8="",$U$3=0,F7&lt;F8,F7&gt;F10,F11=0,F12=0,AND($B$9="Вихідні",F13=0),AND($U$8=1,OR(AND($B$10&gt;0,F18=0),AND($B$11&gt;0,F19=0))),AND($U$9=1,F20=0)),"ПЕРЕВІРТЕ ПАРАМЕТРИ","OK")</f>
        <v>OK</v>
      </c>
    </row>
    <row r="7" customFormat="false" ht="15" hidden="false" customHeight="false" outlineLevel="0" collapsed="false">
      <c r="A7" s="3" t="s">
        <v>4</v>
      </c>
      <c r="B7" s="4" t="s">
        <v>5</v>
      </c>
      <c r="D7" s="26" t="s">
        <v>28</v>
      </c>
      <c r="F7" s="27" t="n">
        <f aca="false">$B$10+$B$11</f>
        <v>2</v>
      </c>
    </row>
    <row r="8" customFormat="false" ht="15" hidden="false" customHeight="false" outlineLevel="0" collapsed="false">
      <c r="A8" s="3" t="s">
        <v>14</v>
      </c>
      <c r="B8" s="4" t="s">
        <v>29</v>
      </c>
      <c r="D8" s="26" t="s">
        <v>30</v>
      </c>
      <c r="F8" s="27" t="n">
        <f aca="false">IFERROR(INDEX(ДОВ_МІН,MATCH($B$8,КАТЕГОРІЇ,0)),0)</f>
        <v>1</v>
      </c>
      <c r="U8" s="6" t="n">
        <f aca="false">IF(OR($B$12="BB",$B$12="BBSPA",$B$12="ROSPABB"),1,0)</f>
        <v>0</v>
      </c>
      <c r="V8" s="7" t="s">
        <v>17</v>
      </c>
    </row>
    <row r="9" customFormat="false" ht="15" hidden="false" customHeight="false" outlineLevel="0" collapsed="false">
      <c r="A9" s="3" t="s">
        <v>31</v>
      </c>
      <c r="B9" s="4" t="s">
        <v>32</v>
      </c>
      <c r="D9" s="26" t="s">
        <v>33</v>
      </c>
      <c r="F9" s="27" t="n">
        <f aca="false">IFERROR(INDEX(ДОВ_ВКЛ,MATCH($B$8,КАТЕГОРІЇ,0)),0)</f>
        <v>2</v>
      </c>
      <c r="U9" s="6" t="n">
        <f aca="false">IF(OR($B$12="ROSPA",$B$12="ROSPABB"),1,0)</f>
        <v>0</v>
      </c>
      <c r="V9" s="7" t="s">
        <v>18</v>
      </c>
    </row>
    <row r="10" customFormat="false" ht="15" hidden="false" customHeight="false" outlineLevel="0" collapsed="false">
      <c r="A10" s="3" t="s">
        <v>34</v>
      </c>
      <c r="B10" s="28" t="n">
        <v>2</v>
      </c>
      <c r="D10" s="26" t="s">
        <v>35</v>
      </c>
      <c r="F10" s="27" t="n">
        <f aca="false">IFERROR(INDEX(ДОВ_МАКС,MATCH($B$8,КАТЕГОРІЇ,0)),0)</f>
        <v>6</v>
      </c>
      <c r="U10" s="6" t="str">
        <f aca="false">IF($U$8=0,"",IF($B$12="ROSPABB","BB",$B$12))</f>
        <v/>
      </c>
      <c r="V10" s="7" t="s">
        <v>19</v>
      </c>
    </row>
    <row r="11" customFormat="false" ht="15" hidden="false" customHeight="false" outlineLevel="0" collapsed="false">
      <c r="A11" s="3" t="s">
        <v>36</v>
      </c>
      <c r="B11" s="28" t="n">
        <v>0</v>
      </c>
      <c r="D11" s="26" t="s">
        <v>37</v>
      </c>
      <c r="F11" s="29" t="n">
        <f aca="false">IF($U$3=0,0,IFERROR(INDEX(БАЗА_RO,MATCH(INDEX(ДОВ_ОПОРА,MATCH($B$8,КАТЕГОРІЇ,0)),БАЗА_КАТ,0),$U$3)*INDEX(МНОЖНИКИ,MATCH($B$8,МНОЖ_КАТ,0),$U$3),0))</f>
        <v>6909</v>
      </c>
    </row>
    <row r="12" customFormat="false" ht="15" hidden="false" customHeight="false" outlineLevel="0" collapsed="false">
      <c r="A12" s="3" t="s">
        <v>7</v>
      </c>
      <c r="B12" s="4" t="s">
        <v>38</v>
      </c>
      <c r="D12" s="26" t="s">
        <v>39</v>
      </c>
      <c r="F12" s="30" t="n">
        <f aca="false">IF($U$3=0,0,IFERROR(INDEX(МНОЖНИКИ,MATCH($B$8,МНОЖ_КАТ,0),$U$3),0))</f>
        <v>1.05</v>
      </c>
    </row>
    <row r="13" customFormat="false" ht="15" hidden="false" customHeight="false" outlineLevel="0" collapsed="false">
      <c r="A13" s="3" t="s">
        <v>40</v>
      </c>
      <c r="B13" s="28" t="n">
        <v>0</v>
      </c>
      <c r="D13" s="26" t="s">
        <v>41</v>
      </c>
      <c r="F13" s="30" t="n">
        <f aca="false">IF($U$3=0,0,IFERROR(INDEX(МНОЖНИКИ,MATCH($B$8,МНОЖ_КАТ,0),$U$3+1),0))</f>
        <v>1.08</v>
      </c>
    </row>
    <row r="14" customFormat="false" ht="15" hidden="false" customHeight="false" outlineLevel="0" collapsed="false">
      <c r="A14" s="3" t="s">
        <v>42</v>
      </c>
      <c r="B14" s="28" t="n">
        <v>1</v>
      </c>
      <c r="D14" s="26" t="s">
        <v>43</v>
      </c>
      <c r="F14" s="27" t="n">
        <f aca="false">MAX(0,F7-F9)</f>
        <v>0</v>
      </c>
    </row>
    <row r="15" customFormat="false" ht="15" hidden="false" customHeight="false" outlineLevel="0" collapsed="false">
      <c r="A15" s="3" t="s">
        <v>44</v>
      </c>
      <c r="B15" s="31"/>
      <c r="D15" s="26" t="s">
        <v>45</v>
      </c>
      <c r="F15" s="32" t="n">
        <f aca="false">IF($B$12="BBSPA",ЗНИЖКА_BBSPA,IFERROR(SUMIFS(ТАРИФИ_ЗНИЖКИ,ТАРИФИ_НАЗВИ,$B$7),0))</f>
        <v>0</v>
      </c>
    </row>
    <row r="16" customFormat="false" ht="15" hidden="false" customHeight="false" outlineLevel="0" collapsed="false">
      <c r="D16" s="26" t="s">
        <v>46</v>
      </c>
      <c r="F16" s="27" t="n">
        <f aca="false">IF($U$3=0,0,IFERROR(INDEX(ПЕРЕМИКАЧІ,IF($B$12="BBSPA",2,1),$U$3),0))</f>
        <v>0</v>
      </c>
    </row>
    <row r="17" customFormat="false" ht="15" hidden="false" customHeight="false" outlineLevel="0" collapsed="false">
      <c r="D17" s="26" t="s">
        <v>47</v>
      </c>
      <c r="F17" s="27" t="n">
        <f aca="false">IF($U$3=0,0,IFERROR(INDEX(ПЕРЕМИКАЧІ,3,$U$3),0))</f>
        <v>0</v>
      </c>
    </row>
    <row r="18" customFormat="false" ht="15" hidden="false" customHeight="false" outlineLevel="0" collapsed="false">
      <c r="D18" s="26" t="s">
        <v>48</v>
      </c>
      <c r="F18" s="33" t="n">
        <f aca="false">IF(OR($U$3=0,$U$8=0),0,IFERROR(INDEX(ПАКЕТИ_ЦІНИ,MATCH($U$10&amp;"|"&amp;$B$9,ПАКЕТИ_КЛЮЧ,0),$U$3),0))</f>
        <v>0</v>
      </c>
    </row>
    <row r="19" customFormat="false" ht="15" hidden="false" customHeight="false" outlineLevel="0" collapsed="false">
      <c r="D19" s="26" t="s">
        <v>49</v>
      </c>
      <c r="F19" s="33" t="n">
        <f aca="false">IF(OR($U$3=0,$U$8=0),0,IFERROR(INDEX(ПАКЕТИ_ЦІНИ,MATCH($U$10&amp;"|"&amp;$B$9,ПАКЕТИ_КЛЮЧ,0),$U$3+1),0))</f>
        <v>0</v>
      </c>
    </row>
    <row r="20" customFormat="false" ht="15" hidden="false" customHeight="false" outlineLevel="0" collapsed="false">
      <c r="D20" s="26" t="s">
        <v>50</v>
      </c>
      <c r="F20" s="33" t="n">
        <f aca="false">IF(OR($U$3=0,$U$9=0),0,IFERROR(INDEX(SPA_ЦІНИ,MATCH(INDEX(ДОВ_SPA,MATCH($B$8,КАТЕГОРІЇ,0)),SPA_РОЛЬ,0),$U$3),0))</f>
        <v>0</v>
      </c>
    </row>
    <row r="21" customFormat="false" ht="15" hidden="false" customHeight="false" outlineLevel="0" collapsed="false">
      <c r="D21" s="26" t="s">
        <v>51</v>
      </c>
      <c r="F21" s="33" t="n">
        <f aca="false">$B$13*ТВАРИНИ</f>
        <v>0</v>
      </c>
    </row>
    <row r="22" customFormat="false" ht="15" hidden="false" customHeight="false" outlineLevel="0" collapsed="false">
      <c r="D22" s="26" t="s">
        <v>52</v>
      </c>
      <c r="F22" s="29" t="n">
        <f aca="false">F11*IF($B$9="Вихідні",F13,1)+F14*КРОК_ГОСТЯ</f>
        <v>6909</v>
      </c>
    </row>
    <row r="23" customFormat="false" ht="21.75" hidden="false" customHeight="true" outlineLevel="0" collapsed="false">
      <c r="D23" s="34" t="s">
        <v>53</v>
      </c>
      <c r="F23" s="35" t="n">
        <f aca="false">IF($F$6&lt;&gt;"OK","",ROUND((F22*(1-F15)+($B$10*F18+$B$11*F19)*(1-F15*F16)+F20*(1-F15*F17)+F21)/ОКРУГЛЕННЯ,0)*ОКРУГЛЕННЯ)</f>
        <v>6909</v>
      </c>
    </row>
    <row r="24" customFormat="false" ht="21.75" hidden="false" customHeight="true" outlineLevel="0" collapsed="false">
      <c r="D24" s="34" t="s">
        <v>54</v>
      </c>
      <c r="F24" s="35" t="n">
        <f aca="false">IF(F23="","",F23*$B$14)</f>
        <v>6909</v>
      </c>
    </row>
    <row r="26" customFormat="false" ht="15" hidden="false" customHeight="false" outlineLevel="0" collapsed="false">
      <c r="D26" s="23" t="s">
        <v>55</v>
      </c>
      <c r="E26" s="23"/>
      <c r="F26" s="23"/>
    </row>
    <row r="27" customFormat="false" ht="15" hidden="false" customHeight="false" outlineLevel="0" collapsed="false">
      <c r="D27" s="26" t="s">
        <v>56</v>
      </c>
      <c r="F27" s="20" t="str">
        <f aca="false">IF($B$15="","",IFERROR(INDEX(ПРАЙС_ЛИСТИ,SUMPRODUCT(MAX((ПЛ_ДАТА_З&lt;=$B$15)*(ПЛ_ДАТА_ПО&gt;=$B$15)*(ПЛ_СТАТУС="Активний")*(ПРАЙС_ЛИСТИ&lt;&gt;"")*ROW(ПРАЙС_ЛИСТИ)))-5),"— не знайдено —"))</f>
        <v/>
      </c>
    </row>
    <row r="28" customFormat="false" ht="15" hidden="false" customHeight="false" outlineLevel="0" collapsed="false">
      <c r="D28" s="26" t="s">
        <v>57</v>
      </c>
      <c r="F28" s="20" t="str">
        <f aca="false">IF($B$15="","",IF(WEEKDAY($B$15,2)&gt;=ПЕРШИЙ_ВИХІДНИЙ,"Вихідні","Будні"))</f>
        <v/>
      </c>
    </row>
    <row r="29" customFormat="false" ht="15" hidden="false" customHeight="false" outlineLevel="0" collapsed="false">
      <c r="D29" s="36" t="s">
        <v>58</v>
      </c>
      <c r="E29" s="36"/>
      <c r="F29" s="36"/>
    </row>
  </sheetData>
  <sheetProtection sheet="true"/>
  <mergeCells count="6">
    <mergeCell ref="A1:F1"/>
    <mergeCell ref="A3:F3"/>
    <mergeCell ref="A5:B5"/>
    <mergeCell ref="D5:F5"/>
    <mergeCell ref="D26:F26"/>
    <mergeCell ref="D29:F29"/>
  </mergeCells>
  <conditionalFormatting sqref="F6">
    <cfRule type="expression" priority="2" aboveAverage="0" equalAverage="0" bottom="0" percent="0" rank="0" text="" dxfId="2">
      <formula>$F$6="OK"</formula>
    </cfRule>
    <cfRule type="expression" priority="3" aboveAverage="0" equalAverage="0" bottom="0" percent="0" rank="0" text="" dxfId="3">
      <formula>$F$6&lt;&gt;"OK"</formula>
    </cfRule>
  </conditionalFormatting>
  <dataValidations count="7">
    <dataValidation allowBlank="false" error="Введіть ціле число від 0 до 20." errorStyle="stop" errorTitle="Кількість гостей" operator="between" showDropDown="false" showErrorMessage="true" showInputMessage="false" sqref="B10:B11 B13" type="whole">
      <formula1>0</formula1>
      <formula2>20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7" type="list">
      <formula1>ТАРИФИ_НАЗВИ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8" type="list">
      <formula1>КАТЕГОРІЇ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9" type="list">
      <formula1>СПИСОК_ДНІВ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12" type="list">
      <formula1>СПИСОК_ПАКЕТІВ</formula1>
      <formula2>0</formula2>
    </dataValidation>
    <dataValidation allowBlank="false" error="Введіть ціле число від 1 до 365." errorStyle="stop" errorTitle="Кількість ночей" operator="between" showDropDown="false" showErrorMessage="true" showInputMessage="false" sqref="B14" type="whole">
      <formula1>1</formula1>
      <formula2>365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15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&amp;LPhoenix Relax Park Bukovel — розрахунок бронювання&amp;R&amp;D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X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44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6" min="16" style="0" width="17"/>
    <col collapsed="false" customWidth="true" hidden="false" outlineLevel="0" max="17" min="17" style="0" width="15"/>
    <col collapsed="false" customWidth="true" hidden="false" outlineLevel="0" max="18" min="18" style="0" width="17"/>
    <col collapsed="false" customWidth="true" hidden="false" outlineLevel="0" max="19" min="19" style="0" width="15"/>
    <col collapsed="false" customWidth="true" hidden="false" outlineLevel="0" max="20" min="20" style="0" width="17"/>
    <col collapsed="false" customWidth="true" hidden="false" outlineLevel="0" max="21" min="21" style="0" width="15"/>
    <col collapsed="false" customWidth="true" hidden="false" outlineLevel="0" max="22" min="22" style="0" width="17"/>
    <col collapsed="false" customWidth="true" hidden="false" outlineLevel="0" max="23" min="23" style="0" width="15"/>
    <col collapsed="false" customWidth="true" hidden="false" outlineLevel="0" max="24" min="24" style="0" width="17"/>
    <col collapsed="false" customWidth="true" hidden="false" outlineLevel="0" max="25" min="25" style="0" width="15"/>
    <col collapsed="false" customWidth="true" hidden="false" outlineLevel="0" max="26" min="26" style="0" width="17"/>
    <col collapsed="false" customWidth="true" hidden="false" outlineLevel="0" max="27" min="27" style="0" width="15"/>
    <col collapsed="false" customWidth="true" hidden="false" outlineLevel="0" max="28" min="28" style="0" width="17"/>
    <col collapsed="false" customWidth="true" hidden="false" outlineLevel="0" max="29" min="29" style="0" width="15"/>
    <col collapsed="false" customWidth="true" hidden="false" outlineLevel="0" max="30" min="30" style="0" width="17"/>
    <col collapsed="false" customWidth="true" hidden="false" outlineLevel="0" max="31" min="31" style="0" width="15"/>
    <col collapsed="false" customWidth="true" hidden="false" outlineLevel="0" max="32" min="32" style="0" width="17"/>
    <col collapsed="false" customWidth="true" hidden="false" outlineLevel="0" max="33" min="33" style="0" width="15"/>
    <col collapsed="false" customWidth="true" hidden="false" outlineLevel="0" max="34" min="34" style="0" width="17"/>
    <col collapsed="false" customWidth="true" hidden="false" outlineLevel="0" max="35" min="35" style="0" width="15"/>
    <col collapsed="false" customWidth="true" hidden="false" outlineLevel="0" max="36" min="36" style="0" width="17"/>
    <col collapsed="false" customWidth="true" hidden="false" outlineLevel="0" max="37" min="37" style="0" width="15"/>
    <col collapsed="false" customWidth="true" hidden="false" outlineLevel="0" max="38" min="38" style="0" width="17"/>
    <col collapsed="false" customWidth="true" hidden="false" outlineLevel="0" max="39" min="39" style="0" width="15"/>
    <col collapsed="false" customWidth="true" hidden="false" outlineLevel="0" max="40" min="40" style="0" width="17"/>
    <col collapsed="false" customWidth="true" hidden="false" outlineLevel="0" max="41" min="41" style="0" width="15"/>
    <col collapsed="false" customWidth="true" hidden="false" outlineLevel="0" max="42" min="42" style="0" width="17"/>
    <col collapsed="false" customWidth="true" hidden="false" outlineLevel="0" max="43" min="43" style="0" width="15"/>
    <col collapsed="false" customWidth="true" hidden="false" outlineLevel="0" max="44" min="44" style="0" width="17"/>
    <col collapsed="false" customWidth="true" hidden="false" outlineLevel="0" max="45" min="45" style="0" width="15"/>
    <col collapsed="false" customWidth="true" hidden="false" outlineLevel="0" max="46" min="46" style="0" width="17"/>
    <col collapsed="false" customWidth="true" hidden="false" outlineLevel="0" max="47" min="47" style="0" width="15"/>
    <col collapsed="false" customWidth="true" hidden="false" outlineLevel="0" max="48" min="48" style="0" width="17"/>
    <col collapsed="false" customWidth="true" hidden="false" outlineLevel="0" max="49" min="49" style="0" width="15"/>
    <col collapsed="false" customWidth="true" hidden="false" outlineLevel="0" max="50" min="50" style="0" width="17"/>
    <col collapsed="false" customWidth="true" hidden="false" outlineLevel="0" max="51" min="51" style="0" width="15"/>
    <col collapsed="false" customWidth="true" hidden="false" outlineLevel="0" max="52" min="52" style="0" width="17"/>
    <col collapsed="false" customWidth="true" hidden="false" outlineLevel="0" max="53" min="53" style="0" width="15"/>
    <col collapsed="false" customWidth="true" hidden="false" outlineLevel="0" max="54" min="54" style="0" width="17"/>
    <col collapsed="false" customWidth="true" hidden="false" outlineLevel="0" max="55" min="55" style="0" width="15"/>
    <col collapsed="false" customWidth="true" hidden="false" outlineLevel="0" max="56" min="56" style="0" width="17"/>
    <col collapsed="false" customWidth="true" hidden="false" outlineLevel="0" max="57" min="57" style="0" width="15"/>
    <col collapsed="false" customWidth="true" hidden="false" outlineLevel="0" max="58" min="58" style="0" width="17"/>
    <col collapsed="false" customWidth="true" hidden="false" outlineLevel="0" max="59" min="59" style="0" width="15"/>
    <col collapsed="false" customWidth="true" hidden="false" outlineLevel="0" max="60" min="60" style="0" width="17"/>
    <col collapsed="false" customWidth="true" hidden="false" outlineLevel="0" max="61" min="61" style="0" width="15"/>
    <col collapsed="false" customWidth="true" hidden="false" outlineLevel="0" max="62" min="62" style="0" width="17"/>
    <col collapsed="false" customWidth="true" hidden="false" outlineLevel="0" max="63" min="63" style="0" width="15"/>
    <col collapsed="false" customWidth="true" hidden="false" outlineLevel="0" max="64" min="64" style="0" width="17"/>
    <col collapsed="false" customWidth="true" hidden="false" outlineLevel="0" max="65" min="65" style="0" width="15"/>
    <col collapsed="false" customWidth="true" hidden="false" outlineLevel="0" max="66" min="66" style="0" width="17"/>
    <col collapsed="false" customWidth="true" hidden="false" outlineLevel="0" max="67" min="67" style="0" width="15"/>
    <col collapsed="false" customWidth="true" hidden="false" outlineLevel="0" max="68" min="68" style="0" width="17"/>
    <col collapsed="false" customWidth="true" hidden="false" outlineLevel="0" max="69" min="69" style="0" width="15"/>
    <col collapsed="false" customWidth="true" hidden="false" outlineLevel="0" max="70" min="70" style="0" width="17"/>
    <col collapsed="false" customWidth="true" hidden="false" outlineLevel="0" max="71" min="71" style="0" width="15"/>
    <col collapsed="false" customWidth="true" hidden="false" outlineLevel="0" max="72" min="72" style="0" width="17"/>
    <col collapsed="false" customWidth="true" hidden="false" outlineLevel="0" max="73" min="73" style="0" width="15"/>
    <col collapsed="false" customWidth="true" hidden="false" outlineLevel="0" max="74" min="74" style="0" width="17"/>
    <col collapsed="false" customWidth="true" hidden="false" outlineLevel="0" max="75" min="75" style="0" width="15"/>
    <col collapsed="false" customWidth="true" hidden="false" outlineLevel="0" max="76" min="76" style="0" width="17"/>
    <col collapsed="false" customWidth="true" hidden="false" outlineLevel="0" max="77" min="77" style="0" width="15"/>
    <col collapsed="false" customWidth="true" hidden="false" outlineLevel="0" max="78" min="78" style="0" width="17"/>
    <col collapsed="false" customWidth="true" hidden="false" outlineLevel="0" max="79" min="79" style="0" width="15"/>
    <col collapsed="false" customWidth="true" hidden="false" outlineLevel="0" max="80" min="80" style="0" width="17"/>
    <col collapsed="false" customWidth="true" hidden="false" outlineLevel="0" max="81" min="81" style="0" width="15"/>
    <col collapsed="false" customWidth="true" hidden="false" outlineLevel="0" max="82" min="82" style="0" width="17"/>
    <col collapsed="false" customWidth="true" hidden="false" outlineLevel="0" max="83" min="83" style="0" width="15"/>
    <col collapsed="false" customWidth="true" hidden="false" outlineLevel="0" max="84" min="84" style="0" width="17"/>
    <col collapsed="false" customWidth="true" hidden="false" outlineLevel="0" max="85" min="85" style="0" width="15"/>
    <col collapsed="false" customWidth="true" hidden="false" outlineLevel="0" max="86" min="86" style="0" width="17"/>
    <col collapsed="false" customWidth="true" hidden="false" outlineLevel="0" max="87" min="87" style="0" width="15"/>
    <col collapsed="false" customWidth="true" hidden="false" outlineLevel="0" max="88" min="88" style="0" width="17"/>
    <col collapsed="false" customWidth="true" hidden="false" outlineLevel="0" max="89" min="89" style="0" width="15"/>
    <col collapsed="false" customWidth="true" hidden="false" outlineLevel="0" max="90" min="90" style="0" width="17"/>
    <col collapsed="false" customWidth="true" hidden="false" outlineLevel="0" max="91" min="91" style="0" width="15"/>
    <col collapsed="false" customWidth="true" hidden="false" outlineLevel="0" max="92" min="92" style="0" width="17"/>
    <col collapsed="false" customWidth="true" hidden="false" outlineLevel="0" max="93" min="93" style="0" width="15"/>
    <col collapsed="false" customWidth="true" hidden="false" outlineLevel="0" max="94" min="94" style="0" width="17"/>
    <col collapsed="false" customWidth="true" hidden="false" outlineLevel="0" max="95" min="95" style="0" width="15"/>
    <col collapsed="false" customWidth="true" hidden="false" outlineLevel="0" max="96" min="96" style="0" width="17"/>
    <col collapsed="false" customWidth="true" hidden="false" outlineLevel="0" max="97" min="97" style="0" width="15"/>
    <col collapsed="false" customWidth="true" hidden="false" outlineLevel="0" max="98" min="98" style="0" width="17"/>
    <col collapsed="false" customWidth="true" hidden="false" outlineLevel="0" max="99" min="99" style="0" width="15"/>
    <col collapsed="false" customWidth="true" hidden="false" outlineLevel="0" max="100" min="100" style="0" width="17"/>
    <col collapsed="false" customWidth="true" hidden="false" outlineLevel="0" max="101" min="101" style="0" width="15"/>
    <col collapsed="false" customWidth="true" hidden="false" outlineLevel="0" max="102" min="102" style="0" width="17"/>
    <col collapsed="false" customWidth="true" hidden="false" outlineLevel="0" max="103" min="103" style="0" width="15"/>
    <col collapsed="false" customWidth="true" hidden="false" outlineLevel="0" max="104" min="104" style="0" width="17"/>
    <col collapsed="false" customWidth="true" hidden="false" outlineLevel="0" max="105" min="105" style="0" width="15"/>
    <col collapsed="false" customWidth="true" hidden="false" outlineLevel="0" max="106" min="106" style="0" width="17"/>
    <col collapsed="false" customWidth="true" hidden="false" outlineLevel="0" max="107" min="107" style="0" width="15"/>
    <col collapsed="false" customWidth="true" hidden="false" outlineLevel="0" max="108" min="108" style="0" width="17"/>
    <col collapsed="false" customWidth="true" hidden="false" outlineLevel="0" max="109" min="109" style="0" width="15"/>
    <col collapsed="false" customWidth="true" hidden="false" outlineLevel="0" max="110" min="110" style="0" width="17"/>
    <col collapsed="false" customWidth="true" hidden="false" outlineLevel="0" max="111" min="111" style="0" width="15"/>
    <col collapsed="false" customWidth="true" hidden="false" outlineLevel="0" max="112" min="112" style="0" width="17"/>
    <col collapsed="false" customWidth="true" hidden="false" outlineLevel="0" max="113" min="113" style="0" width="15"/>
    <col collapsed="false" customWidth="true" hidden="false" outlineLevel="0" max="114" min="114" style="0" width="17"/>
    <col collapsed="false" customWidth="true" hidden="false" outlineLevel="0" max="115" min="115" style="0" width="15"/>
    <col collapsed="false" customWidth="true" hidden="false" outlineLevel="0" max="116" min="116" style="0" width="17"/>
    <col collapsed="false" customWidth="true" hidden="false" outlineLevel="0" max="117" min="117" style="0" width="15"/>
    <col collapsed="false" customWidth="true" hidden="false" outlineLevel="0" max="118" min="118" style="0" width="17"/>
    <col collapsed="false" customWidth="true" hidden="false" outlineLevel="0" max="119" min="119" style="0" width="15"/>
    <col collapsed="false" customWidth="true" hidden="false" outlineLevel="0" max="120" min="120" style="0" width="17"/>
    <col collapsed="false" customWidth="true" hidden="false" outlineLevel="0" max="121" min="121" style="0" width="15"/>
    <col collapsed="false" customWidth="true" hidden="false" outlineLevel="0" max="122" min="122" style="0" width="17"/>
    <col collapsed="false" customWidth="true" hidden="false" outlineLevel="0" max="123" min="123" style="0" width="15"/>
    <col collapsed="false" customWidth="true" hidden="false" outlineLevel="0" max="124" min="124" style="0" width="17"/>
    <col collapsed="false" customWidth="true" hidden="false" outlineLevel="0" max="125" min="125" style="0" width="15"/>
    <col collapsed="false" customWidth="true" hidden="false" outlineLevel="0" max="126" min="126" style="0" width="17"/>
    <col collapsed="false" customWidth="true" hidden="false" outlineLevel="0" max="127" min="127" style="0" width="15"/>
    <col collapsed="false" customWidth="true" hidden="false" outlineLevel="0" max="128" min="128" style="0" width="17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8" t="s">
        <v>60</v>
      </c>
      <c r="B2" s="8"/>
      <c r="C2" s="8"/>
      <c r="D2" s="8"/>
      <c r="E2" s="8"/>
      <c r="F2" s="8"/>
      <c r="G2" s="8"/>
      <c r="I2" s="37" t="str">
        <f aca="false">IF($A$6="","",$A$6)</f>
        <v>Осінь 2025</v>
      </c>
      <c r="J2" s="37" t="str">
        <f aca="false">IF($A$6="","",$A$6)</f>
        <v>Осінь 2025</v>
      </c>
      <c r="K2" s="37" t="str">
        <f aca="false">IF($A$7="","",$A$7)</f>
        <v>Осінь 2026 База</v>
      </c>
      <c r="L2" s="37" t="str">
        <f aca="false">IF($A$7="","",$A$7)</f>
        <v>Осінь 2026 База</v>
      </c>
      <c r="M2" s="37" t="str">
        <f aca="false">IF($A$8="","",$A$8)</f>
        <v>Осінь 2026 (00-10%)</v>
      </c>
      <c r="N2" s="37" t="str">
        <f aca="false">IF($A$8="","",$A$8)</f>
        <v>Осінь 2026 (00-10%)</v>
      </c>
      <c r="O2" s="37" t="str">
        <f aca="false">IF($A$9="","",$A$9)</f>
        <v>Осінь 2026 (Канікули) 0-10%</v>
      </c>
      <c r="P2" s="37" t="str">
        <f aca="false">IF($A$9="","",$A$9)</f>
        <v>Осінь 2026 (Канікули) 0-10%</v>
      </c>
      <c r="Q2" s="37" t="str">
        <f aca="false">IF($A$10="","",$A$10)</f>
        <v>Осінь 2026 (10-20%)</v>
      </c>
      <c r="R2" s="37" t="str">
        <f aca="false">IF($A$10="","",$A$10)</f>
        <v>Осінь 2026 (10-20%)</v>
      </c>
      <c r="S2" s="37" t="str">
        <f aca="false">IF($A$11="","",$A$11)</f>
        <v>Осінь 2026 (Канікули) 10%-20%</v>
      </c>
      <c r="T2" s="37" t="str">
        <f aca="false">IF($A$11="","",$A$11)</f>
        <v>Осінь 2026 (Канікули) 10%-20%</v>
      </c>
      <c r="U2" s="37" t="str">
        <f aca="false">IF($A$12="","",$A$12)</f>
        <v>Осінь 2026 (20-30%)</v>
      </c>
      <c r="V2" s="37" t="str">
        <f aca="false">IF($A$12="","",$A$12)</f>
        <v>Осінь 2026 (20-30%)</v>
      </c>
      <c r="W2" s="37" t="str">
        <f aca="false">IF($A$13="","",$A$13)</f>
        <v>Осінь 2026 (Канікули) 20-30%</v>
      </c>
      <c r="X2" s="37" t="str">
        <f aca="false">IF($A$13="","",$A$13)</f>
        <v>Осінь 2026 (Канікули) 20-30%</v>
      </c>
      <c r="Y2" s="37" t="str">
        <f aca="false">IF($A$14="","",$A$14)</f>
        <v>Осінь 2026 (30-40%)</v>
      </c>
      <c r="Z2" s="37" t="str">
        <f aca="false">IF($A$14="","",$A$14)</f>
        <v>Осінь 2026 (30-40%)</v>
      </c>
      <c r="AA2" s="37" t="str">
        <f aca="false">IF($A$15="","",$A$15)</f>
        <v>Осінь 2026 (Канікули) 30-40%</v>
      </c>
      <c r="AB2" s="37" t="str">
        <f aca="false">IF($A$15="","",$A$15)</f>
        <v>Осінь 2026 (Канікули) 30-40%</v>
      </c>
      <c r="AC2" s="37" t="str">
        <f aca="false">IF($A$16="","",$A$16)</f>
        <v>Осінь 2026 (40-50%)</v>
      </c>
      <c r="AD2" s="37" t="str">
        <f aca="false">IF($A$16="","",$A$16)</f>
        <v>Осінь 2026 (40-50%)</v>
      </c>
      <c r="AE2" s="37" t="str">
        <f aca="false">IF($A$17="","",$A$17)</f>
        <v>Осінь 2026 (Канікули) 40-50%</v>
      </c>
      <c r="AF2" s="37" t="str">
        <f aca="false">IF($A$17="","",$A$17)</f>
        <v>Осінь 2026 (Канікули) 40-50%</v>
      </c>
      <c r="AG2" s="37" t="str">
        <f aca="false">IF($A$18="","",$A$18)</f>
        <v>Осінь 2026 (50-60%)</v>
      </c>
      <c r="AH2" s="37" t="str">
        <f aca="false">IF($A$18="","",$A$18)</f>
        <v>Осінь 2026 (50-60%)</v>
      </c>
      <c r="AI2" s="37" t="str">
        <f aca="false">IF($A$19="","",$A$19)</f>
        <v>Осінь 2026 (Канікули) 50-60%</v>
      </c>
      <c r="AJ2" s="37" t="str">
        <f aca="false">IF($A$19="","",$A$19)</f>
        <v>Осінь 2026 (Канікули) 50-60%</v>
      </c>
      <c r="AK2" s="37" t="str">
        <f aca="false">IF($A$20="","",$A$20)</f>
        <v/>
      </c>
      <c r="AL2" s="37" t="str">
        <f aca="false">IF($A$20="","",$A$20)</f>
        <v/>
      </c>
      <c r="AM2" s="37" t="str">
        <f aca="false">IF($A$21="","",$A$21)</f>
        <v/>
      </c>
      <c r="AN2" s="37" t="str">
        <f aca="false">IF($A$21="","",$A$21)</f>
        <v/>
      </c>
      <c r="AO2" s="37" t="str">
        <f aca="false">IF($A$22="","",$A$22)</f>
        <v/>
      </c>
      <c r="AP2" s="37" t="str">
        <f aca="false">IF($A$22="","",$A$22)</f>
        <v/>
      </c>
      <c r="AQ2" s="37" t="str">
        <f aca="false">IF($A$23="","",$A$23)</f>
        <v/>
      </c>
      <c r="AR2" s="37" t="str">
        <f aca="false">IF($A$23="","",$A$23)</f>
        <v/>
      </c>
      <c r="AS2" s="37" t="str">
        <f aca="false">IF($A$24="","",$A$24)</f>
        <v/>
      </c>
      <c r="AT2" s="37" t="str">
        <f aca="false">IF($A$24="","",$A$24)</f>
        <v/>
      </c>
      <c r="AU2" s="37" t="str">
        <f aca="false">IF($A$25="","",$A$25)</f>
        <v/>
      </c>
      <c r="AV2" s="37" t="str">
        <f aca="false">IF($A$25="","",$A$25)</f>
        <v/>
      </c>
      <c r="AW2" s="37" t="str">
        <f aca="false">IF($A$26="","",$A$26)</f>
        <v/>
      </c>
      <c r="AX2" s="37" t="str">
        <f aca="false">IF($A$26="","",$A$26)</f>
        <v/>
      </c>
      <c r="AY2" s="37" t="str">
        <f aca="false">IF($A$27="","",$A$27)</f>
        <v/>
      </c>
      <c r="AZ2" s="37" t="str">
        <f aca="false">IF($A$27="","",$A$27)</f>
        <v/>
      </c>
      <c r="BA2" s="37" t="str">
        <f aca="false">IF($A$28="","",$A$28)</f>
        <v/>
      </c>
      <c r="BB2" s="37" t="str">
        <f aca="false">IF($A$28="","",$A$28)</f>
        <v/>
      </c>
      <c r="BC2" s="37" t="str">
        <f aca="false">IF($A$29="","",$A$29)</f>
        <v/>
      </c>
      <c r="BD2" s="37" t="str">
        <f aca="false">IF($A$29="","",$A$29)</f>
        <v/>
      </c>
      <c r="BE2" s="37" t="str">
        <f aca="false">IF($A$30="","",$A$30)</f>
        <v/>
      </c>
      <c r="BF2" s="37" t="str">
        <f aca="false">IF($A$30="","",$A$30)</f>
        <v/>
      </c>
      <c r="BG2" s="37" t="str">
        <f aca="false">IF($A$31="","",$A$31)</f>
        <v/>
      </c>
      <c r="BH2" s="37" t="str">
        <f aca="false">IF($A$31="","",$A$31)</f>
        <v/>
      </c>
      <c r="BI2" s="37" t="str">
        <f aca="false">IF($A$32="","",$A$32)</f>
        <v/>
      </c>
      <c r="BJ2" s="37" t="str">
        <f aca="false">IF($A$32="","",$A$32)</f>
        <v/>
      </c>
      <c r="BK2" s="37" t="str">
        <f aca="false">IF($A$33="","",$A$33)</f>
        <v/>
      </c>
      <c r="BL2" s="37" t="str">
        <f aca="false">IF($A$33="","",$A$33)</f>
        <v/>
      </c>
      <c r="BM2" s="37" t="str">
        <f aca="false">IF($A$34="","",$A$34)</f>
        <v/>
      </c>
      <c r="BN2" s="37" t="str">
        <f aca="false">IF($A$34="","",$A$34)</f>
        <v/>
      </c>
      <c r="BO2" s="37" t="str">
        <f aca="false">IF($A$35="","",$A$35)</f>
        <v/>
      </c>
      <c r="BP2" s="37" t="str">
        <f aca="false">IF($A$35="","",$A$35)</f>
        <v/>
      </c>
      <c r="BQ2" s="37" t="str">
        <f aca="false">IF($A$36="","",$A$36)</f>
        <v/>
      </c>
      <c r="BR2" s="37" t="str">
        <f aca="false">IF($A$36="","",$A$36)</f>
        <v/>
      </c>
      <c r="BS2" s="37" t="str">
        <f aca="false">IF($A$37="","",$A$37)</f>
        <v/>
      </c>
      <c r="BT2" s="37" t="str">
        <f aca="false">IF($A$37="","",$A$37)</f>
        <v/>
      </c>
      <c r="BU2" s="37" t="str">
        <f aca="false">IF($A$38="","",$A$38)</f>
        <v/>
      </c>
      <c r="BV2" s="37" t="str">
        <f aca="false">IF($A$38="","",$A$38)</f>
        <v/>
      </c>
      <c r="BW2" s="37" t="str">
        <f aca="false">IF($A$39="","",$A$39)</f>
        <v/>
      </c>
      <c r="BX2" s="37" t="str">
        <f aca="false">IF($A$39="","",$A$39)</f>
        <v/>
      </c>
      <c r="BY2" s="37" t="str">
        <f aca="false">IF($A$40="","",$A$40)</f>
        <v/>
      </c>
      <c r="BZ2" s="37" t="str">
        <f aca="false">IF($A$40="","",$A$40)</f>
        <v/>
      </c>
      <c r="CA2" s="37" t="str">
        <f aca="false">IF($A$41="","",$A$41)</f>
        <v/>
      </c>
      <c r="CB2" s="37" t="str">
        <f aca="false">IF($A$41="","",$A$41)</f>
        <v/>
      </c>
      <c r="CC2" s="37" t="str">
        <f aca="false">IF($A$42="","",$A$42)</f>
        <v/>
      </c>
      <c r="CD2" s="37" t="str">
        <f aca="false">IF($A$42="","",$A$42)</f>
        <v/>
      </c>
      <c r="CE2" s="37" t="str">
        <f aca="false">IF($A$43="","",$A$43)</f>
        <v/>
      </c>
      <c r="CF2" s="37" t="str">
        <f aca="false">IF($A$43="","",$A$43)</f>
        <v/>
      </c>
      <c r="CG2" s="37" t="str">
        <f aca="false">IF($A$44="","",$A$44)</f>
        <v/>
      </c>
      <c r="CH2" s="37" t="str">
        <f aca="false">IF($A$44="","",$A$44)</f>
        <v/>
      </c>
      <c r="CI2" s="37" t="str">
        <f aca="false">IF($A$45="","",$A$45)</f>
        <v/>
      </c>
      <c r="CJ2" s="37" t="str">
        <f aca="false">IF($A$45="","",$A$45)</f>
        <v/>
      </c>
      <c r="CK2" s="37" t="str">
        <f aca="false">IF($A$46="","",$A$46)</f>
        <v/>
      </c>
      <c r="CL2" s="37" t="str">
        <f aca="false">IF($A$46="","",$A$46)</f>
        <v/>
      </c>
      <c r="CM2" s="37" t="str">
        <f aca="false">IF($A$47="","",$A$47)</f>
        <v/>
      </c>
      <c r="CN2" s="37" t="str">
        <f aca="false">IF($A$47="","",$A$47)</f>
        <v/>
      </c>
      <c r="CO2" s="37" t="str">
        <f aca="false">IF($A$48="","",$A$48)</f>
        <v/>
      </c>
      <c r="CP2" s="37" t="str">
        <f aca="false">IF($A$48="","",$A$48)</f>
        <v/>
      </c>
      <c r="CQ2" s="37" t="str">
        <f aca="false">IF($A$49="","",$A$49)</f>
        <v/>
      </c>
      <c r="CR2" s="37" t="str">
        <f aca="false">IF($A$49="","",$A$49)</f>
        <v/>
      </c>
      <c r="CS2" s="37" t="str">
        <f aca="false">IF($A$50="","",$A$50)</f>
        <v/>
      </c>
      <c r="CT2" s="37" t="str">
        <f aca="false">IF($A$50="","",$A$50)</f>
        <v/>
      </c>
      <c r="CU2" s="37" t="str">
        <f aca="false">IF($A$51="","",$A$51)</f>
        <v/>
      </c>
      <c r="CV2" s="37" t="str">
        <f aca="false">IF($A$51="","",$A$51)</f>
        <v/>
      </c>
      <c r="CW2" s="37" t="str">
        <f aca="false">IF($A$52="","",$A$52)</f>
        <v/>
      </c>
      <c r="CX2" s="37" t="str">
        <f aca="false">IF($A$52="","",$A$52)</f>
        <v/>
      </c>
      <c r="CY2" s="37" t="str">
        <f aca="false">IF($A$53="","",$A$53)</f>
        <v/>
      </c>
      <c r="CZ2" s="37" t="str">
        <f aca="false">IF($A$53="","",$A$53)</f>
        <v/>
      </c>
      <c r="DA2" s="37" t="str">
        <f aca="false">IF($A$54="","",$A$54)</f>
        <v/>
      </c>
      <c r="DB2" s="37" t="str">
        <f aca="false">IF($A$54="","",$A$54)</f>
        <v/>
      </c>
      <c r="DC2" s="37" t="str">
        <f aca="false">IF($A$55="","",$A$55)</f>
        <v/>
      </c>
      <c r="DD2" s="37" t="str">
        <f aca="false">IF($A$55="","",$A$55)</f>
        <v/>
      </c>
      <c r="DE2" s="37" t="str">
        <f aca="false">IF($A$56="","",$A$56)</f>
        <v/>
      </c>
      <c r="DF2" s="37" t="str">
        <f aca="false">IF($A$56="","",$A$56)</f>
        <v/>
      </c>
      <c r="DG2" s="37" t="str">
        <f aca="false">IF($A$57="","",$A$57)</f>
        <v/>
      </c>
      <c r="DH2" s="37" t="str">
        <f aca="false">IF($A$57="","",$A$57)</f>
        <v/>
      </c>
      <c r="DI2" s="37" t="str">
        <f aca="false">IF($A$58="","",$A$58)</f>
        <v/>
      </c>
      <c r="DJ2" s="37" t="str">
        <f aca="false">IF($A$58="","",$A$58)</f>
        <v/>
      </c>
      <c r="DK2" s="37" t="str">
        <f aca="false">IF($A$59="","",$A$59)</f>
        <v/>
      </c>
      <c r="DL2" s="37" t="str">
        <f aca="false">IF($A$59="","",$A$59)</f>
        <v/>
      </c>
      <c r="DM2" s="37" t="str">
        <f aca="false">IF($A$60="","",$A$60)</f>
        <v/>
      </c>
      <c r="DN2" s="37" t="str">
        <f aca="false">IF($A$60="","",$A$60)</f>
        <v/>
      </c>
      <c r="DO2" s="37" t="str">
        <f aca="false">IF($A$61="","",$A$61)</f>
        <v/>
      </c>
      <c r="DP2" s="37" t="str">
        <f aca="false">IF($A$61="","",$A$61)</f>
        <v/>
      </c>
      <c r="DQ2" s="37" t="str">
        <f aca="false">IF($A$62="","",$A$62)</f>
        <v/>
      </c>
      <c r="DR2" s="37" t="str">
        <f aca="false">IF($A$62="","",$A$62)</f>
        <v/>
      </c>
      <c r="DS2" s="37" t="str">
        <f aca="false">IF($A$63="","",$A$63)</f>
        <v/>
      </c>
      <c r="DT2" s="37" t="str">
        <f aca="false">IF($A$63="","",$A$63)</f>
        <v/>
      </c>
      <c r="DU2" s="37" t="str">
        <f aca="false">IF($A$64="","",$A$64)</f>
        <v/>
      </c>
      <c r="DV2" s="37" t="str">
        <f aca="false">IF($A$64="","",$A$64)</f>
        <v/>
      </c>
      <c r="DW2" s="37" t="str">
        <f aca="false">IF($A$65="","",$A$65)</f>
        <v/>
      </c>
      <c r="DX2" s="37" t="str">
        <f aca="false">IF($A$65="","",$A$65)</f>
        <v/>
      </c>
    </row>
    <row r="4" customFormat="false" ht="15" hidden="false" customHeight="false" outlineLevel="0" collapsed="false">
      <c r="A4" s="38" t="s">
        <v>61</v>
      </c>
      <c r="F4" s="38" t="s">
        <v>62</v>
      </c>
    </row>
    <row r="5" customFormat="false" ht="30" hidden="false" customHeight="true" outlineLevel="0" collapsed="false">
      <c r="A5" s="11" t="s">
        <v>63</v>
      </c>
      <c r="B5" s="11" t="s">
        <v>64</v>
      </c>
      <c r="C5" s="11" t="s">
        <v>65</v>
      </c>
      <c r="D5" s="11" t="s">
        <v>27</v>
      </c>
      <c r="E5" s="11" t="s">
        <v>66</v>
      </c>
      <c r="F5" s="26" t="s">
        <v>67</v>
      </c>
      <c r="G5" s="25" t="str">
        <f aca="false">Прайс!$B$3</f>
        <v>Осінь 2026 (00-10%)</v>
      </c>
      <c r="H5" s="39" t="s">
        <v>68</v>
      </c>
      <c r="I5" s="40" t="str">
        <f aca="false">IF($A$6="","",$A$6)</f>
        <v>Осінь 2025</v>
      </c>
      <c r="J5" s="40"/>
      <c r="K5" s="40" t="str">
        <f aca="false">IF($A$7="","",$A$7)</f>
        <v>Осінь 2026 База</v>
      </c>
      <c r="L5" s="40"/>
      <c r="M5" s="40" t="str">
        <f aca="false">IF($A$8="","",$A$8)</f>
        <v>Осінь 2026 (00-10%)</v>
      </c>
      <c r="N5" s="40"/>
      <c r="O5" s="40" t="str">
        <f aca="false">IF($A$9="","",$A$9)</f>
        <v>Осінь 2026 (Канікули) 0-10%</v>
      </c>
      <c r="P5" s="40"/>
      <c r="Q5" s="40" t="str">
        <f aca="false">IF($A$10="","",$A$10)</f>
        <v>Осінь 2026 (10-20%)</v>
      </c>
      <c r="R5" s="40"/>
      <c r="S5" s="40" t="str">
        <f aca="false">IF($A$11="","",$A$11)</f>
        <v>Осінь 2026 (Канікули) 10%-20%</v>
      </c>
      <c r="T5" s="40"/>
      <c r="U5" s="40" t="str">
        <f aca="false">IF($A$12="","",$A$12)</f>
        <v>Осінь 2026 (20-30%)</v>
      </c>
      <c r="V5" s="40"/>
      <c r="W5" s="40" t="str">
        <f aca="false">IF($A$13="","",$A$13)</f>
        <v>Осінь 2026 (Канікули) 20-30%</v>
      </c>
      <c r="X5" s="40"/>
      <c r="Y5" s="40" t="str">
        <f aca="false">IF($A$14="","",$A$14)</f>
        <v>Осінь 2026 (30-40%)</v>
      </c>
      <c r="Z5" s="40"/>
      <c r="AA5" s="40" t="str">
        <f aca="false">IF($A$15="","",$A$15)</f>
        <v>Осінь 2026 (Канікули) 30-40%</v>
      </c>
      <c r="AB5" s="40"/>
      <c r="AC5" s="40" t="str">
        <f aca="false">IF($A$16="","",$A$16)</f>
        <v>Осінь 2026 (40-50%)</v>
      </c>
      <c r="AD5" s="40"/>
      <c r="AE5" s="40" t="str">
        <f aca="false">IF($A$17="","",$A$17)</f>
        <v>Осінь 2026 (Канікули) 40-50%</v>
      </c>
      <c r="AF5" s="40"/>
      <c r="AG5" s="40" t="str">
        <f aca="false">IF($A$18="","",$A$18)</f>
        <v>Осінь 2026 (50-60%)</v>
      </c>
      <c r="AH5" s="40"/>
      <c r="AI5" s="40" t="str">
        <f aca="false">IF($A$19="","",$A$19)</f>
        <v>Осінь 2026 (Канікули) 50-60%</v>
      </c>
      <c r="AJ5" s="40"/>
      <c r="AK5" s="40" t="str">
        <f aca="false">IF($A$20="","",$A$20)</f>
        <v/>
      </c>
      <c r="AL5" s="40"/>
      <c r="AM5" s="40" t="str">
        <f aca="false">IF($A$21="","",$A$21)</f>
        <v/>
      </c>
      <c r="AN5" s="40"/>
      <c r="AO5" s="40" t="str">
        <f aca="false">IF($A$22="","",$A$22)</f>
        <v/>
      </c>
      <c r="AP5" s="40"/>
      <c r="AQ5" s="40" t="str">
        <f aca="false">IF($A$23="","",$A$23)</f>
        <v/>
      </c>
      <c r="AR5" s="40"/>
      <c r="AS5" s="40" t="str">
        <f aca="false">IF($A$24="","",$A$24)</f>
        <v/>
      </c>
      <c r="AT5" s="40"/>
      <c r="AU5" s="40" t="str">
        <f aca="false">IF($A$25="","",$A$25)</f>
        <v/>
      </c>
      <c r="AV5" s="40"/>
      <c r="AW5" s="40" t="str">
        <f aca="false">IF($A$26="","",$A$26)</f>
        <v/>
      </c>
      <c r="AX5" s="40"/>
      <c r="AY5" s="40" t="str">
        <f aca="false">IF($A$27="","",$A$27)</f>
        <v/>
      </c>
      <c r="AZ5" s="40"/>
      <c r="BA5" s="40" t="str">
        <f aca="false">IF($A$28="","",$A$28)</f>
        <v/>
      </c>
      <c r="BB5" s="40"/>
      <c r="BC5" s="40" t="str">
        <f aca="false">IF($A$29="","",$A$29)</f>
        <v/>
      </c>
      <c r="BD5" s="40"/>
      <c r="BE5" s="40" t="str">
        <f aca="false">IF($A$30="","",$A$30)</f>
        <v/>
      </c>
      <c r="BF5" s="40"/>
      <c r="BG5" s="40" t="str">
        <f aca="false">IF($A$31="","",$A$31)</f>
        <v/>
      </c>
      <c r="BH5" s="40"/>
      <c r="BI5" s="40" t="str">
        <f aca="false">IF($A$32="","",$A$32)</f>
        <v/>
      </c>
      <c r="BJ5" s="40"/>
      <c r="BK5" s="40" t="str">
        <f aca="false">IF($A$33="","",$A$33)</f>
        <v/>
      </c>
      <c r="BL5" s="40"/>
      <c r="BM5" s="40" t="str">
        <f aca="false">IF($A$34="","",$A$34)</f>
        <v/>
      </c>
      <c r="BN5" s="40"/>
      <c r="BO5" s="40" t="str">
        <f aca="false">IF($A$35="","",$A$35)</f>
        <v/>
      </c>
      <c r="BP5" s="40"/>
      <c r="BQ5" s="40" t="str">
        <f aca="false">IF($A$36="","",$A$36)</f>
        <v/>
      </c>
      <c r="BR5" s="40"/>
      <c r="BS5" s="40" t="str">
        <f aca="false">IF($A$37="","",$A$37)</f>
        <v/>
      </c>
      <c r="BT5" s="40"/>
      <c r="BU5" s="40" t="str">
        <f aca="false">IF($A$38="","",$A$38)</f>
        <v/>
      </c>
      <c r="BV5" s="40"/>
      <c r="BW5" s="40" t="str">
        <f aca="false">IF($A$39="","",$A$39)</f>
        <v/>
      </c>
      <c r="BX5" s="40"/>
      <c r="BY5" s="40" t="str">
        <f aca="false">IF($A$40="","",$A$40)</f>
        <v/>
      </c>
      <c r="BZ5" s="40"/>
      <c r="CA5" s="40" t="str">
        <f aca="false">IF($A$41="","",$A$41)</f>
        <v/>
      </c>
      <c r="CB5" s="40"/>
      <c r="CC5" s="40" t="str">
        <f aca="false">IF($A$42="","",$A$42)</f>
        <v/>
      </c>
      <c r="CD5" s="40"/>
      <c r="CE5" s="40" t="str">
        <f aca="false">IF($A$43="","",$A$43)</f>
        <v/>
      </c>
      <c r="CF5" s="40"/>
      <c r="CG5" s="40" t="str">
        <f aca="false">IF($A$44="","",$A$44)</f>
        <v/>
      </c>
      <c r="CH5" s="40"/>
      <c r="CI5" s="40" t="str">
        <f aca="false">IF($A$45="","",$A$45)</f>
        <v/>
      </c>
      <c r="CJ5" s="40"/>
      <c r="CK5" s="40" t="str">
        <f aca="false">IF($A$46="","",$A$46)</f>
        <v/>
      </c>
      <c r="CL5" s="40"/>
      <c r="CM5" s="40" t="str">
        <f aca="false">IF($A$47="","",$A$47)</f>
        <v/>
      </c>
      <c r="CN5" s="40"/>
      <c r="CO5" s="40" t="str">
        <f aca="false">IF($A$48="","",$A$48)</f>
        <v/>
      </c>
      <c r="CP5" s="40"/>
      <c r="CQ5" s="40" t="str">
        <f aca="false">IF($A$49="","",$A$49)</f>
        <v/>
      </c>
      <c r="CR5" s="40"/>
      <c r="CS5" s="40" t="str">
        <f aca="false">IF($A$50="","",$A$50)</f>
        <v/>
      </c>
      <c r="CT5" s="40"/>
      <c r="CU5" s="40" t="str">
        <f aca="false">IF($A$51="","",$A$51)</f>
        <v/>
      </c>
      <c r="CV5" s="40"/>
      <c r="CW5" s="40" t="str">
        <f aca="false">IF($A$52="","",$A$52)</f>
        <v/>
      </c>
      <c r="CX5" s="40"/>
      <c r="CY5" s="40" t="str">
        <f aca="false">IF($A$53="","",$A$53)</f>
        <v/>
      </c>
      <c r="CZ5" s="40"/>
      <c r="DA5" s="40" t="str">
        <f aca="false">IF($A$54="","",$A$54)</f>
        <v/>
      </c>
      <c r="DB5" s="40"/>
      <c r="DC5" s="40" t="str">
        <f aca="false">IF($A$55="","",$A$55)</f>
        <v/>
      </c>
      <c r="DD5" s="40"/>
      <c r="DE5" s="40" t="str">
        <f aca="false">IF($A$56="","",$A$56)</f>
        <v/>
      </c>
      <c r="DF5" s="40"/>
      <c r="DG5" s="40" t="str">
        <f aca="false">IF($A$57="","",$A$57)</f>
        <v/>
      </c>
      <c r="DH5" s="40"/>
      <c r="DI5" s="40" t="str">
        <f aca="false">IF($A$58="","",$A$58)</f>
        <v/>
      </c>
      <c r="DJ5" s="40"/>
      <c r="DK5" s="40" t="str">
        <f aca="false">IF($A$59="","",$A$59)</f>
        <v/>
      </c>
      <c r="DL5" s="40"/>
      <c r="DM5" s="40" t="str">
        <f aca="false">IF($A$60="","",$A$60)</f>
        <v/>
      </c>
      <c r="DN5" s="40"/>
      <c r="DO5" s="40" t="str">
        <f aca="false">IF($A$61="","",$A$61)</f>
        <v/>
      </c>
      <c r="DP5" s="40"/>
      <c r="DQ5" s="40" t="str">
        <f aca="false">IF($A$62="","",$A$62)</f>
        <v/>
      </c>
      <c r="DR5" s="40"/>
      <c r="DS5" s="40" t="str">
        <f aca="false">IF($A$63="","",$A$63)</f>
        <v/>
      </c>
      <c r="DT5" s="40"/>
      <c r="DU5" s="40" t="str">
        <f aca="false">IF($A$64="","",$A$64)</f>
        <v/>
      </c>
      <c r="DV5" s="40"/>
      <c r="DW5" s="40" t="str">
        <f aca="false">IF($A$65="","",$A$65)</f>
        <v/>
      </c>
      <c r="DX5" s="40"/>
    </row>
    <row r="6" customFormat="false" ht="15" hidden="false" customHeight="false" outlineLevel="0" collapsed="false">
      <c r="A6" s="4" t="s">
        <v>69</v>
      </c>
      <c r="B6" s="31"/>
      <c r="C6" s="31"/>
      <c r="D6" s="41" t="s">
        <v>70</v>
      </c>
      <c r="E6" s="4"/>
      <c r="F6" s="26" t="s">
        <v>71</v>
      </c>
      <c r="G6" s="42" t="n">
        <v>500</v>
      </c>
      <c r="H6" s="26" t="s">
        <v>72</v>
      </c>
      <c r="I6" s="43" t="str">
        <f aca="false">IF($A$6="","",IF(OR($B$6="",$C$6=""),"— період не заданий —",TEXT(DAY($B$6),"00")&amp;"."&amp;TEXT(MONTH($B$6),"00")&amp;"."&amp;YEAR($B$6)&amp;" – "&amp;TEXT(DAY($C$6),"00")&amp;"."&amp;TEXT(MONTH($C$6),"00")&amp;"."&amp;YEAR($C$6)))</f>
        <v>— період не заданий —</v>
      </c>
      <c r="J6" s="43"/>
      <c r="K6" s="43" t="str">
        <f aca="false">IF($A$7="","",IF(OR($B$7="",$C$7=""),"— період не заданий —",TEXT(DAY($B$7),"00")&amp;"."&amp;TEXT(MONTH($B$7),"00")&amp;"."&amp;YEAR($B$7)&amp;" – "&amp;TEXT(DAY($C$7),"00")&amp;"."&amp;TEXT(MONTH($C$7),"00")&amp;"."&amp;YEAR($C$7)))</f>
        <v>— період не заданий —</v>
      </c>
      <c r="L6" s="43"/>
      <c r="M6" s="43" t="str">
        <f aca="false">IF($A$8="","",IF(OR($B$8="",$C$8=""),"— період не заданий —",TEXT(DAY($B$8),"00")&amp;"."&amp;TEXT(MONTH($B$8),"00")&amp;"."&amp;YEAR($B$8)&amp;" – "&amp;TEXT(DAY($C$8),"00")&amp;"."&amp;TEXT(MONTH($C$8),"00")&amp;"."&amp;YEAR($C$8)))</f>
        <v>01.10.2026 – 30.11.2026</v>
      </c>
      <c r="N6" s="43"/>
      <c r="O6" s="43" t="str">
        <f aca="false">IF($A$9="","",IF(OR($B$9="",$C$9=""),"— період не заданий —",TEXT(DAY($B$9),"00")&amp;"."&amp;TEXT(MONTH($B$9),"00")&amp;"."&amp;YEAR($B$9)&amp;" – "&amp;TEXT(DAY($C$9),"00")&amp;"."&amp;TEXT(MONTH($C$9),"00")&amp;"."&amp;YEAR($C$9)))</f>
        <v>— період не заданий —</v>
      </c>
      <c r="P6" s="43"/>
      <c r="Q6" s="43" t="str">
        <f aca="false">IF($A$10="","",IF(OR($B$10="",$C$10=""),"— період не заданий —",TEXT(DAY($B$10),"00")&amp;"."&amp;TEXT(MONTH($B$10),"00")&amp;"."&amp;YEAR($B$10)&amp;" – "&amp;TEXT(DAY($C$10),"00")&amp;"."&amp;TEXT(MONTH($C$10),"00")&amp;"."&amp;YEAR($C$10)))</f>
        <v>01.09.2026 – 30.09.2026</v>
      </c>
      <c r="R6" s="43"/>
      <c r="S6" s="43" t="str">
        <f aca="false">IF($A$11="","",IF(OR($B$11="",$C$11=""),"— період не заданий —",TEXT(DAY($B$11),"00")&amp;"."&amp;TEXT(MONTH($B$11),"00")&amp;"."&amp;YEAR($B$11)&amp;" – "&amp;TEXT(DAY($C$11),"00")&amp;"."&amp;TEXT(MONTH($C$11),"00")&amp;"."&amp;YEAR($C$11)))</f>
        <v>— період не заданий —</v>
      </c>
      <c r="T6" s="43"/>
      <c r="U6" s="43" t="str">
        <f aca="false">IF($A$12="","",IF(OR($B$12="",$C$12=""),"— період не заданий —",TEXT(DAY($B$12),"00")&amp;"."&amp;TEXT(MONTH($B$12),"00")&amp;"."&amp;YEAR($B$12)&amp;" – "&amp;TEXT(DAY($C$12),"00")&amp;"."&amp;TEXT(MONTH($C$12),"00")&amp;"."&amp;YEAR($C$12)))</f>
        <v>— період не заданий —</v>
      </c>
      <c r="V6" s="43"/>
      <c r="W6" s="43" t="str">
        <f aca="false">IF($A$13="","",IF(OR($B$13="",$C$13=""),"— період не заданий —",TEXT(DAY($B$13),"00")&amp;"."&amp;TEXT(MONTH($B$13),"00")&amp;"."&amp;YEAR($B$13)&amp;" – "&amp;TEXT(DAY($C$13),"00")&amp;"."&amp;TEXT(MONTH($C$13),"00")&amp;"."&amp;YEAR($C$13)))</f>
        <v>— період не заданий —</v>
      </c>
      <c r="X6" s="43"/>
      <c r="Y6" s="43" t="str">
        <f aca="false">IF($A$14="","",IF(OR($B$14="",$C$14=""),"— період не заданий —",TEXT(DAY($B$14),"00")&amp;"."&amp;TEXT(MONTH($B$14),"00")&amp;"."&amp;YEAR($B$14)&amp;" – "&amp;TEXT(DAY($C$14),"00")&amp;"."&amp;TEXT(MONTH($C$14),"00")&amp;"."&amp;YEAR($C$14)))</f>
        <v>— період не заданий —</v>
      </c>
      <c r="Z6" s="43"/>
      <c r="AA6" s="43" t="str">
        <f aca="false">IF($A$15="","",IF(OR($B$15="",$C$15=""),"— період не заданий —",TEXT(DAY($B$15),"00")&amp;"."&amp;TEXT(MONTH($B$15),"00")&amp;"."&amp;YEAR($B$15)&amp;" – "&amp;TEXT(DAY($C$15),"00")&amp;"."&amp;TEXT(MONTH($C$15),"00")&amp;"."&amp;YEAR($C$15)))</f>
        <v>— період не заданий —</v>
      </c>
      <c r="AB6" s="43"/>
      <c r="AC6" s="43" t="str">
        <f aca="false">IF($A$16="","",IF(OR($B$16="",$C$16=""),"— період не заданий —",TEXT(DAY($B$16),"00")&amp;"."&amp;TEXT(MONTH($B$16),"00")&amp;"."&amp;YEAR($B$16)&amp;" – "&amp;TEXT(DAY($C$16),"00")&amp;"."&amp;TEXT(MONTH($C$16),"00")&amp;"."&amp;YEAR($C$16)))</f>
        <v>— період не заданий —</v>
      </c>
      <c r="AD6" s="43"/>
      <c r="AE6" s="43" t="str">
        <f aca="false">IF($A$17="","",IF(OR($B$17="",$C$17=""),"— період не заданий —",TEXT(DAY($B$17),"00")&amp;"."&amp;TEXT(MONTH($B$17),"00")&amp;"."&amp;YEAR($B$17)&amp;" – "&amp;TEXT(DAY($C$17),"00")&amp;"."&amp;TEXT(MONTH($C$17),"00")&amp;"."&amp;YEAR($C$17)))</f>
        <v>— період не заданий —</v>
      </c>
      <c r="AF6" s="43"/>
      <c r="AG6" s="43" t="str">
        <f aca="false">IF($A$18="","",IF(OR($B$18="",$C$18=""),"— період не заданий —",TEXT(DAY($B$18),"00")&amp;"."&amp;TEXT(MONTH($B$18),"00")&amp;"."&amp;YEAR($B$18)&amp;" – "&amp;TEXT(DAY($C$18),"00")&amp;"."&amp;TEXT(MONTH($C$18),"00")&amp;"."&amp;YEAR($C$18)))</f>
        <v>— період не заданий —</v>
      </c>
      <c r="AH6" s="43"/>
      <c r="AI6" s="43" t="str">
        <f aca="false">IF($A$19="","",IF(OR($B$19="",$C$19=""),"— період не заданий —",TEXT(DAY($B$19),"00")&amp;"."&amp;TEXT(MONTH($B$19),"00")&amp;"."&amp;YEAR($B$19)&amp;" – "&amp;TEXT(DAY($C$19),"00")&amp;"."&amp;TEXT(MONTH($C$19),"00")&amp;"."&amp;YEAR($C$19)))</f>
        <v>— період не заданий —</v>
      </c>
      <c r="AJ6" s="43"/>
      <c r="AK6" s="43" t="str">
        <f aca="false">IF($A$20="","",IF(OR($B$20="",$C$20=""),"— період не заданий —",TEXT(DAY($B$20),"00")&amp;"."&amp;TEXT(MONTH($B$20),"00")&amp;"."&amp;YEAR($B$20)&amp;" – "&amp;TEXT(DAY($C$20),"00")&amp;"."&amp;TEXT(MONTH($C$20),"00")&amp;"."&amp;YEAR($C$20)))</f>
        <v/>
      </c>
      <c r="AL6" s="43"/>
      <c r="AM6" s="43" t="str">
        <f aca="false">IF($A$21="","",IF(OR($B$21="",$C$21=""),"— період не заданий —",TEXT(DAY($B$21),"00")&amp;"."&amp;TEXT(MONTH($B$21),"00")&amp;"."&amp;YEAR($B$21)&amp;" – "&amp;TEXT(DAY($C$21),"00")&amp;"."&amp;TEXT(MONTH($C$21),"00")&amp;"."&amp;YEAR($C$21)))</f>
        <v/>
      </c>
      <c r="AN6" s="43"/>
      <c r="AO6" s="43" t="str">
        <f aca="false">IF($A$22="","",IF(OR($B$22="",$C$22=""),"— період не заданий —",TEXT(DAY($B$22),"00")&amp;"."&amp;TEXT(MONTH($B$22),"00")&amp;"."&amp;YEAR($B$22)&amp;" – "&amp;TEXT(DAY($C$22),"00")&amp;"."&amp;TEXT(MONTH($C$22),"00")&amp;"."&amp;YEAR($C$22)))</f>
        <v/>
      </c>
      <c r="AP6" s="43"/>
      <c r="AQ6" s="43" t="str">
        <f aca="false">IF($A$23="","",IF(OR($B$23="",$C$23=""),"— період не заданий —",TEXT(DAY($B$23),"00")&amp;"."&amp;TEXT(MONTH($B$23),"00")&amp;"."&amp;YEAR($B$23)&amp;" – "&amp;TEXT(DAY($C$23),"00")&amp;"."&amp;TEXT(MONTH($C$23),"00")&amp;"."&amp;YEAR($C$23)))</f>
        <v/>
      </c>
      <c r="AR6" s="43"/>
      <c r="AS6" s="43" t="str">
        <f aca="false">IF($A$24="","",IF(OR($B$24="",$C$24=""),"— період не заданий —",TEXT(DAY($B$24),"00")&amp;"."&amp;TEXT(MONTH($B$24),"00")&amp;"."&amp;YEAR($B$24)&amp;" – "&amp;TEXT(DAY($C$24),"00")&amp;"."&amp;TEXT(MONTH($C$24),"00")&amp;"."&amp;YEAR($C$24)))</f>
        <v/>
      </c>
      <c r="AT6" s="43"/>
      <c r="AU6" s="43" t="str">
        <f aca="false">IF($A$25="","",IF(OR($B$25="",$C$25=""),"— період не заданий —",TEXT(DAY($B$25),"00")&amp;"."&amp;TEXT(MONTH($B$25),"00")&amp;"."&amp;YEAR($B$25)&amp;" – "&amp;TEXT(DAY($C$25),"00")&amp;"."&amp;TEXT(MONTH($C$25),"00")&amp;"."&amp;YEAR($C$25)))</f>
        <v/>
      </c>
      <c r="AV6" s="43"/>
      <c r="AW6" s="43" t="str">
        <f aca="false">IF($A$26="","",IF(OR($B$26="",$C$26=""),"— період не заданий —",TEXT(DAY($B$26),"00")&amp;"."&amp;TEXT(MONTH($B$26),"00")&amp;"."&amp;YEAR($B$26)&amp;" – "&amp;TEXT(DAY($C$26),"00")&amp;"."&amp;TEXT(MONTH($C$26),"00")&amp;"."&amp;YEAR($C$26)))</f>
        <v/>
      </c>
      <c r="AX6" s="43"/>
      <c r="AY6" s="43" t="str">
        <f aca="false">IF($A$27="","",IF(OR($B$27="",$C$27=""),"— період не заданий —",TEXT(DAY($B$27),"00")&amp;"."&amp;TEXT(MONTH($B$27),"00")&amp;"."&amp;YEAR($B$27)&amp;" – "&amp;TEXT(DAY($C$27),"00")&amp;"."&amp;TEXT(MONTH($C$27),"00")&amp;"."&amp;YEAR($C$27)))</f>
        <v/>
      </c>
      <c r="AZ6" s="43"/>
      <c r="BA6" s="43" t="str">
        <f aca="false">IF($A$28="","",IF(OR($B$28="",$C$28=""),"— період не заданий —",TEXT(DAY($B$28),"00")&amp;"."&amp;TEXT(MONTH($B$28),"00")&amp;"."&amp;YEAR($B$28)&amp;" – "&amp;TEXT(DAY($C$28),"00")&amp;"."&amp;TEXT(MONTH($C$28),"00")&amp;"."&amp;YEAR($C$28)))</f>
        <v/>
      </c>
      <c r="BB6" s="43"/>
      <c r="BC6" s="43" t="str">
        <f aca="false">IF($A$29="","",IF(OR($B$29="",$C$29=""),"— період не заданий —",TEXT(DAY($B$29),"00")&amp;"."&amp;TEXT(MONTH($B$29),"00")&amp;"."&amp;YEAR($B$29)&amp;" – "&amp;TEXT(DAY($C$29),"00")&amp;"."&amp;TEXT(MONTH($C$29),"00")&amp;"."&amp;YEAR($C$29)))</f>
        <v/>
      </c>
      <c r="BD6" s="43"/>
      <c r="BE6" s="43" t="str">
        <f aca="false">IF($A$30="","",IF(OR($B$30="",$C$30=""),"— період не заданий —",TEXT(DAY($B$30),"00")&amp;"."&amp;TEXT(MONTH($B$30),"00")&amp;"."&amp;YEAR($B$30)&amp;" – "&amp;TEXT(DAY($C$30),"00")&amp;"."&amp;TEXT(MONTH($C$30),"00")&amp;"."&amp;YEAR($C$30)))</f>
        <v/>
      </c>
      <c r="BF6" s="43"/>
      <c r="BG6" s="43" t="str">
        <f aca="false">IF($A$31="","",IF(OR($B$31="",$C$31=""),"— період не заданий —",TEXT(DAY($B$31),"00")&amp;"."&amp;TEXT(MONTH($B$31),"00")&amp;"."&amp;YEAR($B$31)&amp;" – "&amp;TEXT(DAY($C$31),"00")&amp;"."&amp;TEXT(MONTH($C$31),"00")&amp;"."&amp;YEAR($C$31)))</f>
        <v/>
      </c>
      <c r="BH6" s="43"/>
      <c r="BI6" s="43" t="str">
        <f aca="false">IF($A$32="","",IF(OR($B$32="",$C$32=""),"— період не заданий —",TEXT(DAY($B$32),"00")&amp;"."&amp;TEXT(MONTH($B$32),"00")&amp;"."&amp;YEAR($B$32)&amp;" – "&amp;TEXT(DAY($C$32),"00")&amp;"."&amp;TEXT(MONTH($C$32),"00")&amp;"."&amp;YEAR($C$32)))</f>
        <v/>
      </c>
      <c r="BJ6" s="43"/>
      <c r="BK6" s="43" t="str">
        <f aca="false">IF($A$33="","",IF(OR($B$33="",$C$33=""),"— період не заданий —",TEXT(DAY($B$33),"00")&amp;"."&amp;TEXT(MONTH($B$33),"00")&amp;"."&amp;YEAR($B$33)&amp;" – "&amp;TEXT(DAY($C$33),"00")&amp;"."&amp;TEXT(MONTH($C$33),"00")&amp;"."&amp;YEAR($C$33)))</f>
        <v/>
      </c>
      <c r="BL6" s="43"/>
      <c r="BM6" s="43" t="str">
        <f aca="false">IF($A$34="","",IF(OR($B$34="",$C$34=""),"— період не заданий —",TEXT(DAY($B$34),"00")&amp;"."&amp;TEXT(MONTH($B$34),"00")&amp;"."&amp;YEAR($B$34)&amp;" – "&amp;TEXT(DAY($C$34),"00")&amp;"."&amp;TEXT(MONTH($C$34),"00")&amp;"."&amp;YEAR($C$34)))</f>
        <v/>
      </c>
      <c r="BN6" s="43"/>
      <c r="BO6" s="43" t="str">
        <f aca="false">IF($A$35="","",IF(OR($B$35="",$C$35=""),"— період не заданий —",TEXT(DAY($B$35),"00")&amp;"."&amp;TEXT(MONTH($B$35),"00")&amp;"."&amp;YEAR($B$35)&amp;" – "&amp;TEXT(DAY($C$35),"00")&amp;"."&amp;TEXT(MONTH($C$35),"00")&amp;"."&amp;YEAR($C$35)))</f>
        <v/>
      </c>
      <c r="BP6" s="43"/>
      <c r="BQ6" s="43" t="str">
        <f aca="false">IF($A$36="","",IF(OR($B$36="",$C$36=""),"— період не заданий —",TEXT(DAY($B$36),"00")&amp;"."&amp;TEXT(MONTH($B$36),"00")&amp;"."&amp;YEAR($B$36)&amp;" – "&amp;TEXT(DAY($C$36),"00")&amp;"."&amp;TEXT(MONTH($C$36),"00")&amp;"."&amp;YEAR($C$36)))</f>
        <v/>
      </c>
      <c r="BR6" s="43"/>
      <c r="BS6" s="43" t="str">
        <f aca="false">IF($A$37="","",IF(OR($B$37="",$C$37=""),"— період не заданий —",TEXT(DAY($B$37),"00")&amp;"."&amp;TEXT(MONTH($B$37),"00")&amp;"."&amp;YEAR($B$37)&amp;" – "&amp;TEXT(DAY($C$37),"00")&amp;"."&amp;TEXT(MONTH($C$37),"00")&amp;"."&amp;YEAR($C$37)))</f>
        <v/>
      </c>
      <c r="BT6" s="43"/>
      <c r="BU6" s="43" t="str">
        <f aca="false">IF($A$38="","",IF(OR($B$38="",$C$38=""),"— період не заданий —",TEXT(DAY($B$38),"00")&amp;"."&amp;TEXT(MONTH($B$38),"00")&amp;"."&amp;YEAR($B$38)&amp;" – "&amp;TEXT(DAY($C$38),"00")&amp;"."&amp;TEXT(MONTH($C$38),"00")&amp;"."&amp;YEAR($C$38)))</f>
        <v/>
      </c>
      <c r="BV6" s="43"/>
      <c r="BW6" s="43" t="str">
        <f aca="false">IF($A$39="","",IF(OR($B$39="",$C$39=""),"— період не заданий —",TEXT(DAY($B$39),"00")&amp;"."&amp;TEXT(MONTH($B$39),"00")&amp;"."&amp;YEAR($B$39)&amp;" – "&amp;TEXT(DAY($C$39),"00")&amp;"."&amp;TEXT(MONTH($C$39),"00")&amp;"."&amp;YEAR($C$39)))</f>
        <v/>
      </c>
      <c r="BX6" s="43"/>
      <c r="BY6" s="43" t="str">
        <f aca="false">IF($A$40="","",IF(OR($B$40="",$C$40=""),"— період не заданий —",TEXT(DAY($B$40),"00")&amp;"."&amp;TEXT(MONTH($B$40),"00")&amp;"."&amp;YEAR($B$40)&amp;" – "&amp;TEXT(DAY($C$40),"00")&amp;"."&amp;TEXT(MONTH($C$40),"00")&amp;"."&amp;YEAR($C$40)))</f>
        <v/>
      </c>
      <c r="BZ6" s="43"/>
      <c r="CA6" s="43" t="str">
        <f aca="false">IF($A$41="","",IF(OR($B$41="",$C$41=""),"— період не заданий —",TEXT(DAY($B$41),"00")&amp;"."&amp;TEXT(MONTH($B$41),"00")&amp;"."&amp;YEAR($B$41)&amp;" – "&amp;TEXT(DAY($C$41),"00")&amp;"."&amp;TEXT(MONTH($C$41),"00")&amp;"."&amp;YEAR($C$41)))</f>
        <v/>
      </c>
      <c r="CB6" s="43"/>
      <c r="CC6" s="43" t="str">
        <f aca="false">IF($A$42="","",IF(OR($B$42="",$C$42=""),"— період не заданий —",TEXT(DAY($B$42),"00")&amp;"."&amp;TEXT(MONTH($B$42),"00")&amp;"."&amp;YEAR($B$42)&amp;" – "&amp;TEXT(DAY($C$42),"00")&amp;"."&amp;TEXT(MONTH($C$42),"00")&amp;"."&amp;YEAR($C$42)))</f>
        <v/>
      </c>
      <c r="CD6" s="43"/>
      <c r="CE6" s="43" t="str">
        <f aca="false">IF($A$43="","",IF(OR($B$43="",$C$43=""),"— період не заданий —",TEXT(DAY($B$43),"00")&amp;"."&amp;TEXT(MONTH($B$43),"00")&amp;"."&amp;YEAR($B$43)&amp;" – "&amp;TEXT(DAY($C$43),"00")&amp;"."&amp;TEXT(MONTH($C$43),"00")&amp;"."&amp;YEAR($C$43)))</f>
        <v/>
      </c>
      <c r="CF6" s="43"/>
      <c r="CG6" s="43" t="str">
        <f aca="false">IF($A$44="","",IF(OR($B$44="",$C$44=""),"— період не заданий —",TEXT(DAY($B$44),"00")&amp;"."&amp;TEXT(MONTH($B$44),"00")&amp;"."&amp;YEAR($B$44)&amp;" – "&amp;TEXT(DAY($C$44),"00")&amp;"."&amp;TEXT(MONTH($C$44),"00")&amp;"."&amp;YEAR($C$44)))</f>
        <v/>
      </c>
      <c r="CH6" s="43"/>
      <c r="CI6" s="43" t="str">
        <f aca="false">IF($A$45="","",IF(OR($B$45="",$C$45=""),"— період не заданий —",TEXT(DAY($B$45),"00")&amp;"."&amp;TEXT(MONTH($B$45),"00")&amp;"."&amp;YEAR($B$45)&amp;" – "&amp;TEXT(DAY($C$45),"00")&amp;"."&amp;TEXT(MONTH($C$45),"00")&amp;"."&amp;YEAR($C$45)))</f>
        <v/>
      </c>
      <c r="CJ6" s="43"/>
      <c r="CK6" s="43" t="str">
        <f aca="false">IF($A$46="","",IF(OR($B$46="",$C$46=""),"— період не заданий —",TEXT(DAY($B$46),"00")&amp;"."&amp;TEXT(MONTH($B$46),"00")&amp;"."&amp;YEAR($B$46)&amp;" – "&amp;TEXT(DAY($C$46),"00")&amp;"."&amp;TEXT(MONTH($C$46),"00")&amp;"."&amp;YEAR($C$46)))</f>
        <v/>
      </c>
      <c r="CL6" s="43"/>
      <c r="CM6" s="43" t="str">
        <f aca="false">IF($A$47="","",IF(OR($B$47="",$C$47=""),"— період не заданий —",TEXT(DAY($B$47),"00")&amp;"."&amp;TEXT(MONTH($B$47),"00")&amp;"."&amp;YEAR($B$47)&amp;" – "&amp;TEXT(DAY($C$47),"00")&amp;"."&amp;TEXT(MONTH($C$47),"00")&amp;"."&amp;YEAR($C$47)))</f>
        <v/>
      </c>
      <c r="CN6" s="43"/>
      <c r="CO6" s="43" t="str">
        <f aca="false">IF($A$48="","",IF(OR($B$48="",$C$48=""),"— період не заданий —",TEXT(DAY($B$48),"00")&amp;"."&amp;TEXT(MONTH($B$48),"00")&amp;"."&amp;YEAR($B$48)&amp;" – "&amp;TEXT(DAY($C$48),"00")&amp;"."&amp;TEXT(MONTH($C$48),"00")&amp;"."&amp;YEAR($C$48)))</f>
        <v/>
      </c>
      <c r="CP6" s="43"/>
      <c r="CQ6" s="43" t="str">
        <f aca="false">IF($A$49="","",IF(OR($B$49="",$C$49=""),"— період не заданий —",TEXT(DAY($B$49),"00")&amp;"."&amp;TEXT(MONTH($B$49),"00")&amp;"."&amp;YEAR($B$49)&amp;" – "&amp;TEXT(DAY($C$49),"00")&amp;"."&amp;TEXT(MONTH($C$49),"00")&amp;"."&amp;YEAR($C$49)))</f>
        <v/>
      </c>
      <c r="CR6" s="43"/>
      <c r="CS6" s="43" t="str">
        <f aca="false">IF($A$50="","",IF(OR($B$50="",$C$50=""),"— період не заданий —",TEXT(DAY($B$50),"00")&amp;"."&amp;TEXT(MONTH($B$50),"00")&amp;"."&amp;YEAR($B$50)&amp;" – "&amp;TEXT(DAY($C$50),"00")&amp;"."&amp;TEXT(MONTH($C$50),"00")&amp;"."&amp;YEAR($C$50)))</f>
        <v/>
      </c>
      <c r="CT6" s="43"/>
      <c r="CU6" s="43" t="str">
        <f aca="false">IF($A$51="","",IF(OR($B$51="",$C$51=""),"— період не заданий —",TEXT(DAY($B$51),"00")&amp;"."&amp;TEXT(MONTH($B$51),"00")&amp;"."&amp;YEAR($B$51)&amp;" – "&amp;TEXT(DAY($C$51),"00")&amp;"."&amp;TEXT(MONTH($C$51),"00")&amp;"."&amp;YEAR($C$51)))</f>
        <v/>
      </c>
      <c r="CV6" s="43"/>
      <c r="CW6" s="43" t="str">
        <f aca="false">IF($A$52="","",IF(OR($B$52="",$C$52=""),"— період не заданий —",TEXT(DAY($B$52),"00")&amp;"."&amp;TEXT(MONTH($B$52),"00")&amp;"."&amp;YEAR($B$52)&amp;" – "&amp;TEXT(DAY($C$52),"00")&amp;"."&amp;TEXT(MONTH($C$52),"00")&amp;"."&amp;YEAR($C$52)))</f>
        <v/>
      </c>
      <c r="CX6" s="43"/>
      <c r="CY6" s="43" t="str">
        <f aca="false">IF($A$53="","",IF(OR($B$53="",$C$53=""),"— період не заданий —",TEXT(DAY($B$53),"00")&amp;"."&amp;TEXT(MONTH($B$53),"00")&amp;"."&amp;YEAR($B$53)&amp;" – "&amp;TEXT(DAY($C$53),"00")&amp;"."&amp;TEXT(MONTH($C$53),"00")&amp;"."&amp;YEAR($C$53)))</f>
        <v/>
      </c>
      <c r="CZ6" s="43"/>
      <c r="DA6" s="43" t="str">
        <f aca="false">IF($A$54="","",IF(OR($B$54="",$C$54=""),"— період не заданий —",TEXT(DAY($B$54),"00")&amp;"."&amp;TEXT(MONTH($B$54),"00")&amp;"."&amp;YEAR($B$54)&amp;" – "&amp;TEXT(DAY($C$54),"00")&amp;"."&amp;TEXT(MONTH($C$54),"00")&amp;"."&amp;YEAR($C$54)))</f>
        <v/>
      </c>
      <c r="DB6" s="43"/>
      <c r="DC6" s="43" t="str">
        <f aca="false">IF($A$55="","",IF(OR($B$55="",$C$55=""),"— період не заданий —",TEXT(DAY($B$55),"00")&amp;"."&amp;TEXT(MONTH($B$55),"00")&amp;"."&amp;YEAR($B$55)&amp;" – "&amp;TEXT(DAY($C$55),"00")&amp;"."&amp;TEXT(MONTH($C$55),"00")&amp;"."&amp;YEAR($C$55)))</f>
        <v/>
      </c>
      <c r="DD6" s="43"/>
      <c r="DE6" s="43" t="str">
        <f aca="false">IF($A$56="","",IF(OR($B$56="",$C$56=""),"— період не заданий —",TEXT(DAY($B$56),"00")&amp;"."&amp;TEXT(MONTH($B$56),"00")&amp;"."&amp;YEAR($B$56)&amp;" – "&amp;TEXT(DAY($C$56),"00")&amp;"."&amp;TEXT(MONTH($C$56),"00")&amp;"."&amp;YEAR($C$56)))</f>
        <v/>
      </c>
      <c r="DF6" s="43"/>
      <c r="DG6" s="43" t="str">
        <f aca="false">IF($A$57="","",IF(OR($B$57="",$C$57=""),"— період не заданий —",TEXT(DAY($B$57),"00")&amp;"."&amp;TEXT(MONTH($B$57),"00")&amp;"."&amp;YEAR($B$57)&amp;" – "&amp;TEXT(DAY($C$57),"00")&amp;"."&amp;TEXT(MONTH($C$57),"00")&amp;"."&amp;YEAR($C$57)))</f>
        <v/>
      </c>
      <c r="DH6" s="43"/>
      <c r="DI6" s="43" t="str">
        <f aca="false">IF($A$58="","",IF(OR($B$58="",$C$58=""),"— період не заданий —",TEXT(DAY($B$58),"00")&amp;"."&amp;TEXT(MONTH($B$58),"00")&amp;"."&amp;YEAR($B$58)&amp;" – "&amp;TEXT(DAY($C$58),"00")&amp;"."&amp;TEXT(MONTH($C$58),"00")&amp;"."&amp;YEAR($C$58)))</f>
        <v/>
      </c>
      <c r="DJ6" s="43"/>
      <c r="DK6" s="43" t="str">
        <f aca="false">IF($A$59="","",IF(OR($B$59="",$C$59=""),"— період не заданий —",TEXT(DAY($B$59),"00")&amp;"."&amp;TEXT(MONTH($B$59),"00")&amp;"."&amp;YEAR($B$59)&amp;" – "&amp;TEXT(DAY($C$59),"00")&amp;"."&amp;TEXT(MONTH($C$59),"00")&amp;"."&amp;YEAR($C$59)))</f>
        <v/>
      </c>
      <c r="DL6" s="43"/>
      <c r="DM6" s="43" t="str">
        <f aca="false">IF($A$60="","",IF(OR($B$60="",$C$60=""),"— період не заданий —",TEXT(DAY($B$60),"00")&amp;"."&amp;TEXT(MONTH($B$60),"00")&amp;"."&amp;YEAR($B$60)&amp;" – "&amp;TEXT(DAY($C$60),"00")&amp;"."&amp;TEXT(MONTH($C$60),"00")&amp;"."&amp;YEAR($C$60)))</f>
        <v/>
      </c>
      <c r="DN6" s="43"/>
      <c r="DO6" s="43" t="str">
        <f aca="false">IF($A$61="","",IF(OR($B$61="",$C$61=""),"— період не заданий —",TEXT(DAY($B$61),"00")&amp;"."&amp;TEXT(MONTH($B$61),"00")&amp;"."&amp;YEAR($B$61)&amp;" – "&amp;TEXT(DAY($C$61),"00")&amp;"."&amp;TEXT(MONTH($C$61),"00")&amp;"."&amp;YEAR($C$61)))</f>
        <v/>
      </c>
      <c r="DP6" s="43"/>
      <c r="DQ6" s="43" t="str">
        <f aca="false">IF($A$62="","",IF(OR($B$62="",$C$62=""),"— період не заданий —",TEXT(DAY($B$62),"00")&amp;"."&amp;TEXT(MONTH($B$62),"00")&amp;"."&amp;YEAR($B$62)&amp;" – "&amp;TEXT(DAY($C$62),"00")&amp;"."&amp;TEXT(MONTH($C$62),"00")&amp;"."&amp;YEAR($C$62)))</f>
        <v/>
      </c>
      <c r="DR6" s="43"/>
      <c r="DS6" s="43" t="str">
        <f aca="false">IF($A$63="","",IF(OR($B$63="",$C$63=""),"— період не заданий —",TEXT(DAY($B$63),"00")&amp;"."&amp;TEXT(MONTH($B$63),"00")&amp;"."&amp;YEAR($B$63)&amp;" – "&amp;TEXT(DAY($C$63),"00")&amp;"."&amp;TEXT(MONTH($C$63),"00")&amp;"."&amp;YEAR($C$63)))</f>
        <v/>
      </c>
      <c r="DT6" s="43"/>
      <c r="DU6" s="43" t="str">
        <f aca="false">IF($A$64="","",IF(OR($B$64="",$C$64=""),"— період не заданий —",TEXT(DAY($B$64),"00")&amp;"."&amp;TEXT(MONTH($B$64),"00")&amp;"."&amp;YEAR($B$64)&amp;" – "&amp;TEXT(DAY($C$64),"00")&amp;"."&amp;TEXT(MONTH($C$64),"00")&amp;"."&amp;YEAR($C$64)))</f>
        <v/>
      </c>
      <c r="DV6" s="43"/>
      <c r="DW6" s="43" t="str">
        <f aca="false">IF($A$65="","",IF(OR($B$65="",$C$65=""),"— період не заданий —",TEXT(DAY($B$65),"00")&amp;"."&amp;TEXT(MONTH($B$65),"00")&amp;"."&amp;YEAR($B$65)&amp;" – "&amp;TEXT(DAY($C$65),"00")&amp;"."&amp;TEXT(MONTH($C$65),"00")&amp;"."&amp;YEAR($C$65)))</f>
        <v/>
      </c>
      <c r="DX6" s="43"/>
    </row>
    <row r="7" customFormat="false" ht="15" hidden="false" customHeight="false" outlineLevel="0" collapsed="false">
      <c r="A7" s="4" t="s">
        <v>73</v>
      </c>
      <c r="B7" s="31"/>
      <c r="C7" s="31"/>
      <c r="D7" s="41" t="s">
        <v>70</v>
      </c>
      <c r="E7" s="4"/>
      <c r="F7" s="26" t="s">
        <v>74</v>
      </c>
      <c r="G7" s="42" t="n">
        <v>1</v>
      </c>
      <c r="H7" s="26" t="s">
        <v>27</v>
      </c>
      <c r="I7" s="43" t="str">
        <f aca="false">IF($A$6="","",$D$6)</f>
        <v>Чернетка</v>
      </c>
      <c r="J7" s="43"/>
      <c r="K7" s="43" t="str">
        <f aca="false">IF($A$7="","",$D$7)</f>
        <v>Чернетка</v>
      </c>
      <c r="L7" s="43"/>
      <c r="M7" s="43" t="str">
        <f aca="false">IF($A$8="","",$D$8)</f>
        <v>Активний</v>
      </c>
      <c r="N7" s="43"/>
      <c r="O7" s="43" t="str">
        <f aca="false">IF($A$9="","",$D$9)</f>
        <v>Чернетка</v>
      </c>
      <c r="P7" s="43"/>
      <c r="Q7" s="43" t="str">
        <f aca="false">IF($A$10="","",$D$10)</f>
        <v>Активний</v>
      </c>
      <c r="R7" s="43"/>
      <c r="S7" s="43" t="str">
        <f aca="false">IF($A$11="","",$D$11)</f>
        <v>Чернетка</v>
      </c>
      <c r="T7" s="43"/>
      <c r="U7" s="43" t="str">
        <f aca="false">IF($A$12="","",$D$12)</f>
        <v>Чернетка</v>
      </c>
      <c r="V7" s="43"/>
      <c r="W7" s="43" t="str">
        <f aca="false">IF($A$13="","",$D$13)</f>
        <v>Чернетка</v>
      </c>
      <c r="X7" s="43"/>
      <c r="Y7" s="43" t="str">
        <f aca="false">IF($A$14="","",$D$14)</f>
        <v>Чернетка</v>
      </c>
      <c r="Z7" s="43"/>
      <c r="AA7" s="43" t="str">
        <f aca="false">IF($A$15="","",$D$15)</f>
        <v>Чернетка</v>
      </c>
      <c r="AB7" s="43"/>
      <c r="AC7" s="43" t="str">
        <f aca="false">IF($A$16="","",$D$16)</f>
        <v>Чернетка</v>
      </c>
      <c r="AD7" s="43"/>
      <c r="AE7" s="43" t="str">
        <f aca="false">IF($A$17="","",$D$17)</f>
        <v>Чернетка</v>
      </c>
      <c r="AF7" s="43"/>
      <c r="AG7" s="43" t="str">
        <f aca="false">IF($A$18="","",$D$18)</f>
        <v>Чернетка</v>
      </c>
      <c r="AH7" s="43"/>
      <c r="AI7" s="43" t="str">
        <f aca="false">IF($A$19="","",$D$19)</f>
        <v>Чернетка</v>
      </c>
      <c r="AJ7" s="43"/>
      <c r="AK7" s="43" t="str">
        <f aca="false">IF($A$20="","",$D$20)</f>
        <v/>
      </c>
      <c r="AL7" s="43"/>
      <c r="AM7" s="43" t="str">
        <f aca="false">IF($A$21="","",$D$21)</f>
        <v/>
      </c>
      <c r="AN7" s="43"/>
      <c r="AO7" s="43" t="str">
        <f aca="false">IF($A$22="","",$D$22)</f>
        <v/>
      </c>
      <c r="AP7" s="43"/>
      <c r="AQ7" s="43" t="str">
        <f aca="false">IF($A$23="","",$D$23)</f>
        <v/>
      </c>
      <c r="AR7" s="43"/>
      <c r="AS7" s="43" t="str">
        <f aca="false">IF($A$24="","",$D$24)</f>
        <v/>
      </c>
      <c r="AT7" s="43"/>
      <c r="AU7" s="43" t="str">
        <f aca="false">IF($A$25="","",$D$25)</f>
        <v/>
      </c>
      <c r="AV7" s="43"/>
      <c r="AW7" s="43" t="str">
        <f aca="false">IF($A$26="","",$D$26)</f>
        <v/>
      </c>
      <c r="AX7" s="43"/>
      <c r="AY7" s="43" t="str">
        <f aca="false">IF($A$27="","",$D$27)</f>
        <v/>
      </c>
      <c r="AZ7" s="43"/>
      <c r="BA7" s="43" t="str">
        <f aca="false">IF($A$28="","",$D$28)</f>
        <v/>
      </c>
      <c r="BB7" s="43"/>
      <c r="BC7" s="43" t="str">
        <f aca="false">IF($A$29="","",$D$29)</f>
        <v/>
      </c>
      <c r="BD7" s="43"/>
      <c r="BE7" s="43" t="str">
        <f aca="false">IF($A$30="","",$D$30)</f>
        <v/>
      </c>
      <c r="BF7" s="43"/>
      <c r="BG7" s="43" t="str">
        <f aca="false">IF($A$31="","",$D$31)</f>
        <v/>
      </c>
      <c r="BH7" s="43"/>
      <c r="BI7" s="43" t="str">
        <f aca="false">IF($A$32="","",$D$32)</f>
        <v/>
      </c>
      <c r="BJ7" s="43"/>
      <c r="BK7" s="43" t="str">
        <f aca="false">IF($A$33="","",$D$33)</f>
        <v/>
      </c>
      <c r="BL7" s="43"/>
      <c r="BM7" s="43" t="str">
        <f aca="false">IF($A$34="","",$D$34)</f>
        <v/>
      </c>
      <c r="BN7" s="43"/>
      <c r="BO7" s="43" t="str">
        <f aca="false">IF($A$35="","",$D$35)</f>
        <v/>
      </c>
      <c r="BP7" s="43"/>
      <c r="BQ7" s="43" t="str">
        <f aca="false">IF($A$36="","",$D$36)</f>
        <v/>
      </c>
      <c r="BR7" s="43"/>
      <c r="BS7" s="43" t="str">
        <f aca="false">IF($A$37="","",$D$37)</f>
        <v/>
      </c>
      <c r="BT7" s="43"/>
      <c r="BU7" s="43" t="str">
        <f aca="false">IF($A$38="","",$D$38)</f>
        <v/>
      </c>
      <c r="BV7" s="43"/>
      <c r="BW7" s="43" t="str">
        <f aca="false">IF($A$39="","",$D$39)</f>
        <v/>
      </c>
      <c r="BX7" s="43"/>
      <c r="BY7" s="43" t="str">
        <f aca="false">IF($A$40="","",$D$40)</f>
        <v/>
      </c>
      <c r="BZ7" s="43"/>
      <c r="CA7" s="43" t="str">
        <f aca="false">IF($A$41="","",$D$41)</f>
        <v/>
      </c>
      <c r="CB7" s="43"/>
      <c r="CC7" s="43" t="str">
        <f aca="false">IF($A$42="","",$D$42)</f>
        <v/>
      </c>
      <c r="CD7" s="43"/>
      <c r="CE7" s="43" t="str">
        <f aca="false">IF($A$43="","",$D$43)</f>
        <v/>
      </c>
      <c r="CF7" s="43"/>
      <c r="CG7" s="43" t="str">
        <f aca="false">IF($A$44="","",$D$44)</f>
        <v/>
      </c>
      <c r="CH7" s="43"/>
      <c r="CI7" s="43" t="str">
        <f aca="false">IF($A$45="","",$D$45)</f>
        <v/>
      </c>
      <c r="CJ7" s="43"/>
      <c r="CK7" s="43" t="str">
        <f aca="false">IF($A$46="","",$D$46)</f>
        <v/>
      </c>
      <c r="CL7" s="43"/>
      <c r="CM7" s="43" t="str">
        <f aca="false">IF($A$47="","",$D$47)</f>
        <v/>
      </c>
      <c r="CN7" s="43"/>
      <c r="CO7" s="43" t="str">
        <f aca="false">IF($A$48="","",$D$48)</f>
        <v/>
      </c>
      <c r="CP7" s="43"/>
      <c r="CQ7" s="43" t="str">
        <f aca="false">IF($A$49="","",$D$49)</f>
        <v/>
      </c>
      <c r="CR7" s="43"/>
      <c r="CS7" s="43" t="str">
        <f aca="false">IF($A$50="","",$D$50)</f>
        <v/>
      </c>
      <c r="CT7" s="43"/>
      <c r="CU7" s="43" t="str">
        <f aca="false">IF($A$51="","",$D$51)</f>
        <v/>
      </c>
      <c r="CV7" s="43"/>
      <c r="CW7" s="43" t="str">
        <f aca="false">IF($A$52="","",$D$52)</f>
        <v/>
      </c>
      <c r="CX7" s="43"/>
      <c r="CY7" s="43" t="str">
        <f aca="false">IF($A$53="","",$D$53)</f>
        <v/>
      </c>
      <c r="CZ7" s="43"/>
      <c r="DA7" s="43" t="str">
        <f aca="false">IF($A$54="","",$D$54)</f>
        <v/>
      </c>
      <c r="DB7" s="43"/>
      <c r="DC7" s="43" t="str">
        <f aca="false">IF($A$55="","",$D$55)</f>
        <v/>
      </c>
      <c r="DD7" s="43"/>
      <c r="DE7" s="43" t="str">
        <f aca="false">IF($A$56="","",$D$56)</f>
        <v/>
      </c>
      <c r="DF7" s="43"/>
      <c r="DG7" s="43" t="str">
        <f aca="false">IF($A$57="","",$D$57)</f>
        <v/>
      </c>
      <c r="DH7" s="43"/>
      <c r="DI7" s="43" t="str">
        <f aca="false">IF($A$58="","",$D$58)</f>
        <v/>
      </c>
      <c r="DJ7" s="43"/>
      <c r="DK7" s="43" t="str">
        <f aca="false">IF($A$59="","",$D$59)</f>
        <v/>
      </c>
      <c r="DL7" s="43"/>
      <c r="DM7" s="43" t="str">
        <f aca="false">IF($A$60="","",$D$60)</f>
        <v/>
      </c>
      <c r="DN7" s="43"/>
      <c r="DO7" s="43" t="str">
        <f aca="false">IF($A$61="","",$D$61)</f>
        <v/>
      </c>
      <c r="DP7" s="43"/>
      <c r="DQ7" s="43" t="str">
        <f aca="false">IF($A$62="","",$D$62)</f>
        <v/>
      </c>
      <c r="DR7" s="43"/>
      <c r="DS7" s="43" t="str">
        <f aca="false">IF($A$63="","",$D$63)</f>
        <v/>
      </c>
      <c r="DT7" s="43"/>
      <c r="DU7" s="43" t="str">
        <f aca="false">IF($A$64="","",$D$64)</f>
        <v/>
      </c>
      <c r="DV7" s="43"/>
      <c r="DW7" s="43" t="str">
        <f aca="false">IF($A$65="","",$D$65)</f>
        <v/>
      </c>
      <c r="DX7" s="43"/>
    </row>
    <row r="8" customFormat="false" ht="15" hidden="false" customHeight="false" outlineLevel="0" collapsed="false">
      <c r="A8" s="4" t="s">
        <v>2</v>
      </c>
      <c r="B8" s="31" t="n">
        <v>46296</v>
      </c>
      <c r="C8" s="31" t="n">
        <v>46356</v>
      </c>
      <c r="D8" s="41" t="s">
        <v>75</v>
      </c>
      <c r="E8" s="4"/>
      <c r="F8" s="26" t="s">
        <v>76</v>
      </c>
      <c r="G8" s="44" t="n">
        <v>0.1</v>
      </c>
      <c r="H8" s="26" t="s">
        <v>77</v>
      </c>
      <c r="I8" s="43" t="n">
        <f aca="false">IF($A$6="","",$E$6)</f>
        <v>0</v>
      </c>
      <c r="J8" s="43"/>
      <c r="K8" s="43" t="n">
        <f aca="false">IF($A$7="","",$E$7)</f>
        <v>0</v>
      </c>
      <c r="L8" s="43"/>
      <c r="M8" s="43" t="n">
        <f aca="false">IF($A$8="","",$E$8)</f>
        <v>0</v>
      </c>
      <c r="N8" s="43"/>
      <c r="O8" s="43" t="n">
        <f aca="false">IF($A$9="","",$E$9)</f>
        <v>0</v>
      </c>
      <c r="P8" s="43"/>
      <c r="Q8" s="43" t="n">
        <f aca="false">IF($A$10="","",$E$10)</f>
        <v>0</v>
      </c>
      <c r="R8" s="43"/>
      <c r="S8" s="43" t="n">
        <f aca="false">IF($A$11="","",$E$11)</f>
        <v>0</v>
      </c>
      <c r="T8" s="43"/>
      <c r="U8" s="43" t="n">
        <f aca="false">IF($A$12="","",$E$12)</f>
        <v>0</v>
      </c>
      <c r="V8" s="43"/>
      <c r="W8" s="43" t="n">
        <f aca="false">IF($A$13="","",$E$13)</f>
        <v>0</v>
      </c>
      <c r="X8" s="43"/>
      <c r="Y8" s="43" t="n">
        <f aca="false">IF($A$14="","",$E$14)</f>
        <v>0</v>
      </c>
      <c r="Z8" s="43"/>
      <c r="AA8" s="43" t="n">
        <f aca="false">IF($A$15="","",$E$15)</f>
        <v>0</v>
      </c>
      <c r="AB8" s="43"/>
      <c r="AC8" s="43" t="n">
        <f aca="false">IF($A$16="","",$E$16)</f>
        <v>0</v>
      </c>
      <c r="AD8" s="43"/>
      <c r="AE8" s="43" t="n">
        <f aca="false">IF($A$17="","",$E$17)</f>
        <v>0</v>
      </c>
      <c r="AF8" s="43"/>
      <c r="AG8" s="43" t="n">
        <f aca="false">IF($A$18="","",$E$18)</f>
        <v>0</v>
      </c>
      <c r="AH8" s="43"/>
      <c r="AI8" s="43" t="n">
        <f aca="false">IF($A$19="","",$E$19)</f>
        <v>0</v>
      </c>
      <c r="AJ8" s="43"/>
      <c r="AK8" s="43" t="str">
        <f aca="false">IF($A$20="","",$E$20)</f>
        <v/>
      </c>
      <c r="AL8" s="43"/>
      <c r="AM8" s="43" t="str">
        <f aca="false">IF($A$21="","",$E$21)</f>
        <v/>
      </c>
      <c r="AN8" s="43"/>
      <c r="AO8" s="43" t="str">
        <f aca="false">IF($A$22="","",$E$22)</f>
        <v/>
      </c>
      <c r="AP8" s="43"/>
      <c r="AQ8" s="43" t="str">
        <f aca="false">IF($A$23="","",$E$23)</f>
        <v/>
      </c>
      <c r="AR8" s="43"/>
      <c r="AS8" s="43" t="str">
        <f aca="false">IF($A$24="","",$E$24)</f>
        <v/>
      </c>
      <c r="AT8" s="43"/>
      <c r="AU8" s="43" t="str">
        <f aca="false">IF($A$25="","",$E$25)</f>
        <v/>
      </c>
      <c r="AV8" s="43"/>
      <c r="AW8" s="43" t="str">
        <f aca="false">IF($A$26="","",$E$26)</f>
        <v/>
      </c>
      <c r="AX8" s="43"/>
      <c r="AY8" s="43" t="str">
        <f aca="false">IF($A$27="","",$E$27)</f>
        <v/>
      </c>
      <c r="AZ8" s="43"/>
      <c r="BA8" s="43" t="str">
        <f aca="false">IF($A$28="","",$E$28)</f>
        <v/>
      </c>
      <c r="BB8" s="43"/>
      <c r="BC8" s="43" t="str">
        <f aca="false">IF($A$29="","",$E$29)</f>
        <v/>
      </c>
      <c r="BD8" s="43"/>
      <c r="BE8" s="43" t="str">
        <f aca="false">IF($A$30="","",$E$30)</f>
        <v/>
      </c>
      <c r="BF8" s="43"/>
      <c r="BG8" s="43" t="str">
        <f aca="false">IF($A$31="","",$E$31)</f>
        <v/>
      </c>
      <c r="BH8" s="43"/>
      <c r="BI8" s="43" t="str">
        <f aca="false">IF($A$32="","",$E$32)</f>
        <v/>
      </c>
      <c r="BJ8" s="43"/>
      <c r="BK8" s="43" t="str">
        <f aca="false">IF($A$33="","",$E$33)</f>
        <v/>
      </c>
      <c r="BL8" s="43"/>
      <c r="BM8" s="43" t="str">
        <f aca="false">IF($A$34="","",$E$34)</f>
        <v/>
      </c>
      <c r="BN8" s="43"/>
      <c r="BO8" s="43" t="str">
        <f aca="false">IF($A$35="","",$E$35)</f>
        <v/>
      </c>
      <c r="BP8" s="43"/>
      <c r="BQ8" s="43" t="str">
        <f aca="false">IF($A$36="","",$E$36)</f>
        <v/>
      </c>
      <c r="BR8" s="43"/>
      <c r="BS8" s="43" t="str">
        <f aca="false">IF($A$37="","",$E$37)</f>
        <v/>
      </c>
      <c r="BT8" s="43"/>
      <c r="BU8" s="43" t="str">
        <f aca="false">IF($A$38="","",$E$38)</f>
        <v/>
      </c>
      <c r="BV8" s="43"/>
      <c r="BW8" s="43" t="str">
        <f aca="false">IF($A$39="","",$E$39)</f>
        <v/>
      </c>
      <c r="BX8" s="43"/>
      <c r="BY8" s="43" t="str">
        <f aca="false">IF($A$40="","",$E$40)</f>
        <v/>
      </c>
      <c r="BZ8" s="43"/>
      <c r="CA8" s="43" t="str">
        <f aca="false">IF($A$41="","",$E$41)</f>
        <v/>
      </c>
      <c r="CB8" s="43"/>
      <c r="CC8" s="43" t="str">
        <f aca="false">IF($A$42="","",$E$42)</f>
        <v/>
      </c>
      <c r="CD8" s="43"/>
      <c r="CE8" s="43" t="str">
        <f aca="false">IF($A$43="","",$E$43)</f>
        <v/>
      </c>
      <c r="CF8" s="43"/>
      <c r="CG8" s="43" t="str">
        <f aca="false">IF($A$44="","",$E$44)</f>
        <v/>
      </c>
      <c r="CH8" s="43"/>
      <c r="CI8" s="43" t="str">
        <f aca="false">IF($A$45="","",$E$45)</f>
        <v/>
      </c>
      <c r="CJ8" s="43"/>
      <c r="CK8" s="43" t="str">
        <f aca="false">IF($A$46="","",$E$46)</f>
        <v/>
      </c>
      <c r="CL8" s="43"/>
      <c r="CM8" s="43" t="str">
        <f aca="false">IF($A$47="","",$E$47)</f>
        <v/>
      </c>
      <c r="CN8" s="43"/>
      <c r="CO8" s="43" t="str">
        <f aca="false">IF($A$48="","",$E$48)</f>
        <v/>
      </c>
      <c r="CP8" s="43"/>
      <c r="CQ8" s="43" t="str">
        <f aca="false">IF($A$49="","",$E$49)</f>
        <v/>
      </c>
      <c r="CR8" s="43"/>
      <c r="CS8" s="43" t="str">
        <f aca="false">IF($A$50="","",$E$50)</f>
        <v/>
      </c>
      <c r="CT8" s="43"/>
      <c r="CU8" s="43" t="str">
        <f aca="false">IF($A$51="","",$E$51)</f>
        <v/>
      </c>
      <c r="CV8" s="43"/>
      <c r="CW8" s="43" t="str">
        <f aca="false">IF($A$52="","",$E$52)</f>
        <v/>
      </c>
      <c r="CX8" s="43"/>
      <c r="CY8" s="43" t="str">
        <f aca="false">IF($A$53="","",$E$53)</f>
        <v/>
      </c>
      <c r="CZ8" s="43"/>
      <c r="DA8" s="43" t="str">
        <f aca="false">IF($A$54="","",$E$54)</f>
        <v/>
      </c>
      <c r="DB8" s="43"/>
      <c r="DC8" s="43" t="str">
        <f aca="false">IF($A$55="","",$E$55)</f>
        <v/>
      </c>
      <c r="DD8" s="43"/>
      <c r="DE8" s="43" t="str">
        <f aca="false">IF($A$56="","",$E$56)</f>
        <v/>
      </c>
      <c r="DF8" s="43"/>
      <c r="DG8" s="43" t="str">
        <f aca="false">IF($A$57="","",$E$57)</f>
        <v/>
      </c>
      <c r="DH8" s="43"/>
      <c r="DI8" s="43" t="str">
        <f aca="false">IF($A$58="","",$E$58)</f>
        <v/>
      </c>
      <c r="DJ8" s="43"/>
      <c r="DK8" s="43" t="str">
        <f aca="false">IF($A$59="","",$E$59)</f>
        <v/>
      </c>
      <c r="DL8" s="43"/>
      <c r="DM8" s="43" t="str">
        <f aca="false">IF($A$60="","",$E$60)</f>
        <v/>
      </c>
      <c r="DN8" s="43"/>
      <c r="DO8" s="43" t="str">
        <f aca="false">IF($A$61="","",$E$61)</f>
        <v/>
      </c>
      <c r="DP8" s="43"/>
      <c r="DQ8" s="43" t="str">
        <f aca="false">IF($A$62="","",$E$62)</f>
        <v/>
      </c>
      <c r="DR8" s="43"/>
      <c r="DS8" s="43" t="str">
        <f aca="false">IF($A$63="","",$E$63)</f>
        <v/>
      </c>
      <c r="DT8" s="43"/>
      <c r="DU8" s="43" t="str">
        <f aca="false">IF($A$64="","",$E$64)</f>
        <v/>
      </c>
      <c r="DV8" s="43"/>
      <c r="DW8" s="43" t="str">
        <f aca="false">IF($A$65="","",$E$65)</f>
        <v/>
      </c>
      <c r="DX8" s="43"/>
    </row>
    <row r="9" customFormat="false" ht="15" hidden="false" customHeight="false" outlineLevel="0" collapsed="false">
      <c r="A9" s="4" t="s">
        <v>78</v>
      </c>
      <c r="B9" s="31"/>
      <c r="C9" s="31"/>
      <c r="D9" s="41" t="s">
        <v>70</v>
      </c>
      <c r="E9" s="4"/>
      <c r="F9" s="26" t="s">
        <v>79</v>
      </c>
      <c r="G9" s="42" t="n">
        <v>500</v>
      </c>
    </row>
    <row r="10" customFormat="false" ht="15" hidden="false" customHeight="false" outlineLevel="0" collapsed="false">
      <c r="A10" s="4" t="s">
        <v>80</v>
      </c>
      <c r="B10" s="31" t="n">
        <v>46266</v>
      </c>
      <c r="C10" s="31" t="n">
        <v>46295</v>
      </c>
      <c r="D10" s="41" t="s">
        <v>75</v>
      </c>
      <c r="E10" s="4"/>
      <c r="F10" s="26" t="s">
        <v>81</v>
      </c>
      <c r="G10" s="4" t="s">
        <v>73</v>
      </c>
      <c r="H10" s="39" t="s">
        <v>82</v>
      </c>
    </row>
    <row r="11" customFormat="false" ht="28.35" hidden="false" customHeight="false" outlineLevel="0" collapsed="false">
      <c r="A11" s="4" t="s">
        <v>83</v>
      </c>
      <c r="B11" s="31"/>
      <c r="C11" s="31"/>
      <c r="D11" s="41" t="s">
        <v>70</v>
      </c>
      <c r="E11" s="4"/>
      <c r="F11" s="26" t="s">
        <v>84</v>
      </c>
      <c r="G11" s="28" t="n">
        <v>5</v>
      </c>
      <c r="H11" s="11" t="s">
        <v>85</v>
      </c>
      <c r="I11" s="11" t="s">
        <v>86</v>
      </c>
      <c r="J11" s="11" t="s">
        <v>87</v>
      </c>
      <c r="K11" s="11" t="s">
        <v>86</v>
      </c>
      <c r="L11" s="11" t="s">
        <v>87</v>
      </c>
      <c r="M11" s="11" t="s">
        <v>86</v>
      </c>
      <c r="N11" s="11" t="s">
        <v>87</v>
      </c>
      <c r="O11" s="11" t="s">
        <v>86</v>
      </c>
      <c r="P11" s="11" t="s">
        <v>87</v>
      </c>
      <c r="Q11" s="11" t="s">
        <v>86</v>
      </c>
      <c r="R11" s="11" t="s">
        <v>87</v>
      </c>
      <c r="S11" s="11" t="s">
        <v>86</v>
      </c>
      <c r="T11" s="11" t="s">
        <v>87</v>
      </c>
      <c r="U11" s="11" t="s">
        <v>86</v>
      </c>
      <c r="V11" s="11" t="s">
        <v>87</v>
      </c>
      <c r="W11" s="11" t="s">
        <v>86</v>
      </c>
      <c r="X11" s="11" t="s">
        <v>87</v>
      </c>
      <c r="Y11" s="11" t="s">
        <v>86</v>
      </c>
      <c r="Z11" s="11" t="s">
        <v>87</v>
      </c>
      <c r="AA11" s="11" t="s">
        <v>86</v>
      </c>
      <c r="AB11" s="11" t="s">
        <v>87</v>
      </c>
      <c r="AC11" s="11" t="s">
        <v>86</v>
      </c>
      <c r="AD11" s="11" t="s">
        <v>87</v>
      </c>
      <c r="AE11" s="11" t="s">
        <v>86</v>
      </c>
      <c r="AF11" s="11" t="s">
        <v>87</v>
      </c>
      <c r="AG11" s="11" t="s">
        <v>86</v>
      </c>
      <c r="AH11" s="11" t="s">
        <v>87</v>
      </c>
      <c r="AI11" s="11" t="s">
        <v>86</v>
      </c>
      <c r="AJ11" s="11" t="s">
        <v>87</v>
      </c>
      <c r="AK11" s="11" t="s">
        <v>86</v>
      </c>
      <c r="AL11" s="11" t="s">
        <v>87</v>
      </c>
      <c r="AM11" s="11" t="s">
        <v>86</v>
      </c>
      <c r="AN11" s="11" t="s">
        <v>87</v>
      </c>
      <c r="AO11" s="11" t="s">
        <v>86</v>
      </c>
      <c r="AP11" s="11" t="s">
        <v>87</v>
      </c>
      <c r="AQ11" s="11" t="s">
        <v>86</v>
      </c>
      <c r="AR11" s="11" t="s">
        <v>87</v>
      </c>
      <c r="AS11" s="11" t="s">
        <v>86</v>
      </c>
      <c r="AT11" s="11" t="s">
        <v>87</v>
      </c>
      <c r="AU11" s="11" t="s">
        <v>86</v>
      </c>
      <c r="AV11" s="11" t="s">
        <v>87</v>
      </c>
      <c r="AW11" s="11" t="s">
        <v>86</v>
      </c>
      <c r="AX11" s="11" t="s">
        <v>87</v>
      </c>
      <c r="AY11" s="11" t="s">
        <v>86</v>
      </c>
      <c r="AZ11" s="11" t="s">
        <v>87</v>
      </c>
      <c r="BA11" s="11" t="s">
        <v>86</v>
      </c>
      <c r="BB11" s="11" t="s">
        <v>87</v>
      </c>
      <c r="BC11" s="11" t="s">
        <v>86</v>
      </c>
      <c r="BD11" s="11" t="s">
        <v>87</v>
      </c>
      <c r="BE11" s="11" t="s">
        <v>86</v>
      </c>
      <c r="BF11" s="11" t="s">
        <v>87</v>
      </c>
      <c r="BG11" s="11" t="s">
        <v>86</v>
      </c>
      <c r="BH11" s="11" t="s">
        <v>87</v>
      </c>
      <c r="BI11" s="11" t="s">
        <v>86</v>
      </c>
      <c r="BJ11" s="11" t="s">
        <v>87</v>
      </c>
      <c r="BK11" s="11" t="s">
        <v>86</v>
      </c>
      <c r="BL11" s="11" t="s">
        <v>87</v>
      </c>
      <c r="BM11" s="11" t="s">
        <v>86</v>
      </c>
      <c r="BN11" s="11" t="s">
        <v>87</v>
      </c>
      <c r="BO11" s="11" t="s">
        <v>86</v>
      </c>
      <c r="BP11" s="11" t="s">
        <v>87</v>
      </c>
      <c r="BQ11" s="11" t="s">
        <v>86</v>
      </c>
      <c r="BR11" s="11" t="s">
        <v>87</v>
      </c>
      <c r="BS11" s="11" t="s">
        <v>86</v>
      </c>
      <c r="BT11" s="11" t="s">
        <v>87</v>
      </c>
      <c r="BU11" s="11" t="s">
        <v>86</v>
      </c>
      <c r="BV11" s="11" t="s">
        <v>87</v>
      </c>
      <c r="BW11" s="11" t="s">
        <v>86</v>
      </c>
      <c r="BX11" s="11" t="s">
        <v>87</v>
      </c>
      <c r="BY11" s="11" t="s">
        <v>86</v>
      </c>
      <c r="BZ11" s="11" t="s">
        <v>87</v>
      </c>
      <c r="CA11" s="11" t="s">
        <v>86</v>
      </c>
      <c r="CB11" s="11" t="s">
        <v>87</v>
      </c>
      <c r="CC11" s="11" t="s">
        <v>86</v>
      </c>
      <c r="CD11" s="11" t="s">
        <v>87</v>
      </c>
      <c r="CE11" s="11" t="s">
        <v>86</v>
      </c>
      <c r="CF11" s="11" t="s">
        <v>87</v>
      </c>
      <c r="CG11" s="11" t="s">
        <v>86</v>
      </c>
      <c r="CH11" s="11" t="s">
        <v>87</v>
      </c>
      <c r="CI11" s="11" t="s">
        <v>86</v>
      </c>
      <c r="CJ11" s="11" t="s">
        <v>87</v>
      </c>
      <c r="CK11" s="11" t="s">
        <v>86</v>
      </c>
      <c r="CL11" s="11" t="s">
        <v>87</v>
      </c>
      <c r="CM11" s="11" t="s">
        <v>86</v>
      </c>
      <c r="CN11" s="11" t="s">
        <v>87</v>
      </c>
      <c r="CO11" s="11" t="s">
        <v>86</v>
      </c>
      <c r="CP11" s="11" t="s">
        <v>87</v>
      </c>
      <c r="CQ11" s="11" t="s">
        <v>86</v>
      </c>
      <c r="CR11" s="11" t="s">
        <v>87</v>
      </c>
      <c r="CS11" s="11" t="s">
        <v>86</v>
      </c>
      <c r="CT11" s="11" t="s">
        <v>87</v>
      </c>
      <c r="CU11" s="11" t="s">
        <v>86</v>
      </c>
      <c r="CV11" s="11" t="s">
        <v>87</v>
      </c>
      <c r="CW11" s="11" t="s">
        <v>86</v>
      </c>
      <c r="CX11" s="11" t="s">
        <v>87</v>
      </c>
      <c r="CY11" s="11" t="s">
        <v>86</v>
      </c>
      <c r="CZ11" s="11" t="s">
        <v>87</v>
      </c>
      <c r="DA11" s="11" t="s">
        <v>86</v>
      </c>
      <c r="DB11" s="11" t="s">
        <v>87</v>
      </c>
      <c r="DC11" s="11" t="s">
        <v>86</v>
      </c>
      <c r="DD11" s="11" t="s">
        <v>87</v>
      </c>
      <c r="DE11" s="11" t="s">
        <v>86</v>
      </c>
      <c r="DF11" s="11" t="s">
        <v>87</v>
      </c>
      <c r="DG11" s="11" t="s">
        <v>86</v>
      </c>
      <c r="DH11" s="11" t="s">
        <v>87</v>
      </c>
      <c r="DI11" s="11" t="s">
        <v>86</v>
      </c>
      <c r="DJ11" s="11" t="s">
        <v>87</v>
      </c>
      <c r="DK11" s="11" t="s">
        <v>86</v>
      </c>
      <c r="DL11" s="11" t="s">
        <v>87</v>
      </c>
      <c r="DM11" s="11" t="s">
        <v>86</v>
      </c>
      <c r="DN11" s="11" t="s">
        <v>87</v>
      </c>
      <c r="DO11" s="11" t="s">
        <v>86</v>
      </c>
      <c r="DP11" s="11" t="s">
        <v>87</v>
      </c>
      <c r="DQ11" s="11" t="s">
        <v>86</v>
      </c>
      <c r="DR11" s="11" t="s">
        <v>87</v>
      </c>
      <c r="DS11" s="11" t="s">
        <v>86</v>
      </c>
      <c r="DT11" s="11" t="s">
        <v>87</v>
      </c>
      <c r="DU11" s="11" t="s">
        <v>86</v>
      </c>
      <c r="DV11" s="11" t="s">
        <v>87</v>
      </c>
      <c r="DW11" s="11" t="s">
        <v>86</v>
      </c>
      <c r="DX11" s="11" t="s">
        <v>87</v>
      </c>
    </row>
    <row r="12" customFormat="false" ht="15" hidden="false" customHeight="false" outlineLevel="0" collapsed="false">
      <c r="A12" s="4" t="s">
        <v>88</v>
      </c>
      <c r="B12" s="31"/>
      <c r="C12" s="31"/>
      <c r="D12" s="41" t="s">
        <v>70</v>
      </c>
      <c r="E12" s="4"/>
      <c r="F12" s="38" t="s">
        <v>89</v>
      </c>
      <c r="H12" s="13" t="s">
        <v>90</v>
      </c>
      <c r="I12" s="42" t="n">
        <v>5530</v>
      </c>
      <c r="J12" s="45" t="n">
        <f aca="false">IF(OR(I12="",J33=""),"",ROUND(I12*J33/ОКРУГЛЕННЯ,0)*ОКРУГЛЕННЯ)</f>
        <v>6299</v>
      </c>
      <c r="K12" s="42" t="n">
        <v>7140</v>
      </c>
      <c r="L12" s="45" t="n">
        <f aca="false">IF(OR(K12="",L33=""),"",ROUND(K12*L33/ОКРУГЛЕННЯ,0)*ОКРУГЛЕННЯ)</f>
        <v>7854</v>
      </c>
      <c r="M12" s="42" t="n">
        <v>4998</v>
      </c>
      <c r="N12" s="45" t="n">
        <f aca="false">IF(OR(M12="",N33=""),"",ROUND(M12*N33/ОКРУГЛЕННЯ,0)*ОКРУГЛЕННЯ)</f>
        <v>5498</v>
      </c>
      <c r="O12" s="42" t="n">
        <v>5355</v>
      </c>
      <c r="P12" s="45" t="n">
        <f aca="false">IF(OR(O12="",P33=""),"",ROUND(O12*P33/ОКРУГЛЕННЯ,0)*ОКРУГЛЕННЯ)</f>
        <v>5891</v>
      </c>
      <c r="Q12" s="42" t="n">
        <v>5400</v>
      </c>
      <c r="R12" s="45" t="n">
        <f aca="false">IF(OR(Q12="",R33=""),"",ROUND(Q12*R33/ОКРУГЛЕННЯ,0)*ОКРУГЛЕННЯ)</f>
        <v>5940</v>
      </c>
      <c r="S12" s="42"/>
      <c r="T12" s="45" t="str">
        <f aca="false">IF(OR(S12="",T33=""),"",ROUND(S12*T33/ОКРУГЛЕННЯ,0)*ОКРУГЛЕННЯ)</f>
        <v/>
      </c>
      <c r="U12" s="42" t="n">
        <v>5700</v>
      </c>
      <c r="V12" s="45" t="n">
        <f aca="false">IF(OR(U12="",V33=""),"",ROUND(U12*V33/ОКРУГЛЕННЯ,0)*ОКРУГЛЕННЯ)</f>
        <v>6270</v>
      </c>
      <c r="W12" s="42"/>
      <c r="X12" s="45" t="str">
        <f aca="false">IF(OR(W12="",X33=""),"",ROUND(W12*X33/ОКРУГЛЕННЯ,0)*ОКРУГЛЕННЯ)</f>
        <v/>
      </c>
      <c r="Y12" s="42"/>
      <c r="Z12" s="45" t="str">
        <f aca="false">IF(OR(Y12="",Z33=""),"",ROUND(Y12*Z33/ОКРУГЛЕННЯ,0)*ОКРУГЛЕННЯ)</f>
        <v/>
      </c>
      <c r="AA12" s="42"/>
      <c r="AB12" s="45" t="str">
        <f aca="false">IF(OR(AA12="",AB33=""),"",ROUND(AA12*AB33/ОКРУГЛЕННЯ,0)*ОКРУГЛЕННЯ)</f>
        <v/>
      </c>
      <c r="AC12" s="42"/>
      <c r="AD12" s="45" t="str">
        <f aca="false">IF(OR(AC12="",AD33=""),"",ROUND(AC12*AD33/ОКРУГЛЕННЯ,0)*ОКРУГЛЕННЯ)</f>
        <v/>
      </c>
      <c r="AE12" s="42"/>
      <c r="AF12" s="45" t="str">
        <f aca="false">IF(OR(AE12="",AF33=""),"",ROUND(AE12*AF33/ОКРУГЛЕННЯ,0)*ОКРУГЛЕННЯ)</f>
        <v/>
      </c>
      <c r="AG12" s="42"/>
      <c r="AH12" s="45" t="str">
        <f aca="false">IF(OR(AG12="",AH33=""),"",ROUND(AG12*AH33/ОКРУГЛЕННЯ,0)*ОКРУГЛЕННЯ)</f>
        <v/>
      </c>
      <c r="AI12" s="42"/>
      <c r="AJ12" s="45" t="str">
        <f aca="false">IF(OR(AI12="",AJ33=""),"",ROUND(AI12*AJ33/ОКРУГЛЕННЯ,0)*ОКРУГЛЕННЯ)</f>
        <v/>
      </c>
      <c r="AK12" s="42"/>
      <c r="AL12" s="45" t="str">
        <f aca="false">IF(OR(AK12="",AL33=""),"",ROUND(AK12*AL33/ОКРУГЛЕННЯ,0)*ОКРУГЛЕННЯ)</f>
        <v/>
      </c>
      <c r="AM12" s="42"/>
      <c r="AN12" s="45" t="str">
        <f aca="false">IF(OR(AM12="",AN33=""),"",ROUND(AM12*AN33/ОКРУГЛЕННЯ,0)*ОКРУГЛЕННЯ)</f>
        <v/>
      </c>
      <c r="AO12" s="42"/>
      <c r="AP12" s="45" t="str">
        <f aca="false">IF(OR(AO12="",AP33=""),"",ROUND(AO12*AP33/ОКРУГЛЕННЯ,0)*ОКРУГЛЕННЯ)</f>
        <v/>
      </c>
      <c r="AQ12" s="42"/>
      <c r="AR12" s="45" t="str">
        <f aca="false">IF(OR(AQ12="",AR33=""),"",ROUND(AQ12*AR33/ОКРУГЛЕННЯ,0)*ОКРУГЛЕННЯ)</f>
        <v/>
      </c>
      <c r="AS12" s="42"/>
      <c r="AT12" s="45" t="str">
        <f aca="false">IF(OR(AS12="",AT33=""),"",ROUND(AS12*AT33/ОКРУГЛЕННЯ,0)*ОКРУГЛЕННЯ)</f>
        <v/>
      </c>
      <c r="AU12" s="42"/>
      <c r="AV12" s="45" t="str">
        <f aca="false">IF(OR(AU12="",AV33=""),"",ROUND(AU12*AV33/ОКРУГЛЕННЯ,0)*ОКРУГЛЕННЯ)</f>
        <v/>
      </c>
      <c r="AW12" s="42"/>
      <c r="AX12" s="45" t="str">
        <f aca="false">IF(OR(AW12="",AX33=""),"",ROUND(AW12*AX33/ОКРУГЛЕННЯ,0)*ОКРУГЛЕННЯ)</f>
        <v/>
      </c>
      <c r="AY12" s="42"/>
      <c r="AZ12" s="45" t="str">
        <f aca="false">IF(OR(AY12="",AZ33=""),"",ROUND(AY12*AZ33/ОКРУГЛЕННЯ,0)*ОКРУГЛЕННЯ)</f>
        <v/>
      </c>
      <c r="BA12" s="42"/>
      <c r="BB12" s="45" t="str">
        <f aca="false">IF(OR(BA12="",BB33=""),"",ROUND(BA12*BB33/ОКРУГЛЕННЯ,0)*ОКРУГЛЕННЯ)</f>
        <v/>
      </c>
      <c r="BC12" s="42"/>
      <c r="BD12" s="45" t="str">
        <f aca="false">IF(OR(BC12="",BD33=""),"",ROUND(BC12*BD33/ОКРУГЛЕННЯ,0)*ОКРУГЛЕННЯ)</f>
        <v/>
      </c>
      <c r="BE12" s="42"/>
      <c r="BF12" s="45" t="str">
        <f aca="false">IF(OR(BE12="",BF33=""),"",ROUND(BE12*BF33/ОКРУГЛЕННЯ,0)*ОКРУГЛЕННЯ)</f>
        <v/>
      </c>
      <c r="BG12" s="42"/>
      <c r="BH12" s="45" t="str">
        <f aca="false">IF(OR(BG12="",BH33=""),"",ROUND(BG12*BH33/ОКРУГЛЕННЯ,0)*ОКРУГЛЕННЯ)</f>
        <v/>
      </c>
      <c r="BI12" s="42"/>
      <c r="BJ12" s="45" t="str">
        <f aca="false">IF(OR(BI12="",BJ33=""),"",ROUND(BI12*BJ33/ОКРУГЛЕННЯ,0)*ОКРУГЛЕННЯ)</f>
        <v/>
      </c>
      <c r="BK12" s="42"/>
      <c r="BL12" s="45" t="str">
        <f aca="false">IF(OR(BK12="",BL33=""),"",ROUND(BK12*BL33/ОКРУГЛЕННЯ,0)*ОКРУГЛЕННЯ)</f>
        <v/>
      </c>
      <c r="BM12" s="42"/>
      <c r="BN12" s="45" t="str">
        <f aca="false">IF(OR(BM12="",BN33=""),"",ROUND(BM12*BN33/ОКРУГЛЕННЯ,0)*ОКРУГЛЕННЯ)</f>
        <v/>
      </c>
      <c r="BO12" s="42"/>
      <c r="BP12" s="45" t="str">
        <f aca="false">IF(OR(BO12="",BP33=""),"",ROUND(BO12*BP33/ОКРУГЛЕННЯ,0)*ОКРУГЛЕННЯ)</f>
        <v/>
      </c>
      <c r="BQ12" s="42"/>
      <c r="BR12" s="45" t="str">
        <f aca="false">IF(OR(BQ12="",BR33=""),"",ROUND(BQ12*BR33/ОКРУГЛЕННЯ,0)*ОКРУГЛЕННЯ)</f>
        <v/>
      </c>
      <c r="BS12" s="42"/>
      <c r="BT12" s="45" t="str">
        <f aca="false">IF(OR(BS12="",BT33=""),"",ROUND(BS12*BT33/ОКРУГЛЕННЯ,0)*ОКРУГЛЕННЯ)</f>
        <v/>
      </c>
      <c r="BU12" s="42"/>
      <c r="BV12" s="45" t="str">
        <f aca="false">IF(OR(BU12="",BV33=""),"",ROUND(BU12*BV33/ОКРУГЛЕННЯ,0)*ОКРУГЛЕННЯ)</f>
        <v/>
      </c>
      <c r="BW12" s="42"/>
      <c r="BX12" s="45" t="str">
        <f aca="false">IF(OR(BW12="",BX33=""),"",ROUND(BW12*BX33/ОКРУГЛЕННЯ,0)*ОКРУГЛЕННЯ)</f>
        <v/>
      </c>
      <c r="BY12" s="42"/>
      <c r="BZ12" s="45" t="str">
        <f aca="false">IF(OR(BY12="",BZ33=""),"",ROUND(BY12*BZ33/ОКРУГЛЕННЯ,0)*ОКРУГЛЕННЯ)</f>
        <v/>
      </c>
      <c r="CA12" s="42"/>
      <c r="CB12" s="45" t="str">
        <f aca="false">IF(OR(CA12="",CB33=""),"",ROUND(CA12*CB33/ОКРУГЛЕННЯ,0)*ОКРУГЛЕННЯ)</f>
        <v/>
      </c>
      <c r="CC12" s="42"/>
      <c r="CD12" s="45" t="str">
        <f aca="false">IF(OR(CC12="",CD33=""),"",ROUND(CC12*CD33/ОКРУГЛЕННЯ,0)*ОКРУГЛЕННЯ)</f>
        <v/>
      </c>
      <c r="CE12" s="42"/>
      <c r="CF12" s="45" t="str">
        <f aca="false">IF(OR(CE12="",CF33=""),"",ROUND(CE12*CF33/ОКРУГЛЕННЯ,0)*ОКРУГЛЕННЯ)</f>
        <v/>
      </c>
      <c r="CG12" s="42"/>
      <c r="CH12" s="45" t="str">
        <f aca="false">IF(OR(CG12="",CH33=""),"",ROUND(CG12*CH33/ОКРУГЛЕННЯ,0)*ОКРУГЛЕННЯ)</f>
        <v/>
      </c>
      <c r="CI12" s="42"/>
      <c r="CJ12" s="45" t="str">
        <f aca="false">IF(OR(CI12="",CJ33=""),"",ROUND(CI12*CJ33/ОКРУГЛЕННЯ,0)*ОКРУГЛЕННЯ)</f>
        <v/>
      </c>
      <c r="CK12" s="42"/>
      <c r="CL12" s="45" t="str">
        <f aca="false">IF(OR(CK12="",CL33=""),"",ROUND(CK12*CL33/ОКРУГЛЕННЯ,0)*ОКРУГЛЕННЯ)</f>
        <v/>
      </c>
      <c r="CM12" s="42"/>
      <c r="CN12" s="45" t="str">
        <f aca="false">IF(OR(CM12="",CN33=""),"",ROUND(CM12*CN33/ОКРУГЛЕННЯ,0)*ОКРУГЛЕННЯ)</f>
        <v/>
      </c>
      <c r="CO12" s="42"/>
      <c r="CP12" s="45" t="str">
        <f aca="false">IF(OR(CO12="",CP33=""),"",ROUND(CO12*CP33/ОКРУГЛЕННЯ,0)*ОКРУГЛЕННЯ)</f>
        <v/>
      </c>
      <c r="CQ12" s="42"/>
      <c r="CR12" s="45" t="str">
        <f aca="false">IF(OR(CQ12="",CR33=""),"",ROUND(CQ12*CR33/ОКРУГЛЕННЯ,0)*ОКРУГЛЕННЯ)</f>
        <v/>
      </c>
      <c r="CS12" s="42"/>
      <c r="CT12" s="45" t="str">
        <f aca="false">IF(OR(CS12="",CT33=""),"",ROUND(CS12*CT33/ОКРУГЛЕННЯ,0)*ОКРУГЛЕННЯ)</f>
        <v/>
      </c>
      <c r="CU12" s="42"/>
      <c r="CV12" s="45" t="str">
        <f aca="false">IF(OR(CU12="",CV33=""),"",ROUND(CU12*CV33/ОКРУГЛЕННЯ,0)*ОКРУГЛЕННЯ)</f>
        <v/>
      </c>
      <c r="CW12" s="42"/>
      <c r="CX12" s="45" t="str">
        <f aca="false">IF(OR(CW12="",CX33=""),"",ROUND(CW12*CX33/ОКРУГЛЕННЯ,0)*ОКРУГЛЕННЯ)</f>
        <v/>
      </c>
      <c r="CY12" s="42"/>
      <c r="CZ12" s="45" t="str">
        <f aca="false">IF(OR(CY12="",CZ33=""),"",ROUND(CY12*CZ33/ОКРУГЛЕННЯ,0)*ОКРУГЛЕННЯ)</f>
        <v/>
      </c>
      <c r="DA12" s="42"/>
      <c r="DB12" s="45" t="str">
        <f aca="false">IF(OR(DA12="",DB33=""),"",ROUND(DA12*DB33/ОКРУГЛЕННЯ,0)*ОКРУГЛЕННЯ)</f>
        <v/>
      </c>
      <c r="DC12" s="42"/>
      <c r="DD12" s="45" t="str">
        <f aca="false">IF(OR(DC12="",DD33=""),"",ROUND(DC12*DD33/ОКРУГЛЕННЯ,0)*ОКРУГЛЕННЯ)</f>
        <v/>
      </c>
      <c r="DE12" s="42"/>
      <c r="DF12" s="45" t="str">
        <f aca="false">IF(OR(DE12="",DF33=""),"",ROUND(DE12*DF33/ОКРУГЛЕННЯ,0)*ОКРУГЛЕННЯ)</f>
        <v/>
      </c>
      <c r="DG12" s="42"/>
      <c r="DH12" s="45" t="str">
        <f aca="false">IF(OR(DG12="",DH33=""),"",ROUND(DG12*DH33/ОКРУГЛЕННЯ,0)*ОКРУГЛЕННЯ)</f>
        <v/>
      </c>
      <c r="DI12" s="42"/>
      <c r="DJ12" s="45" t="str">
        <f aca="false">IF(OR(DI12="",DJ33=""),"",ROUND(DI12*DJ33/ОКРУГЛЕННЯ,0)*ОКРУГЛЕННЯ)</f>
        <v/>
      </c>
      <c r="DK12" s="42"/>
      <c r="DL12" s="45" t="str">
        <f aca="false">IF(OR(DK12="",DL33=""),"",ROUND(DK12*DL33/ОКРУГЛЕННЯ,0)*ОКРУГЛЕННЯ)</f>
        <v/>
      </c>
      <c r="DM12" s="42"/>
      <c r="DN12" s="45" t="str">
        <f aca="false">IF(OR(DM12="",DN33=""),"",ROUND(DM12*DN33/ОКРУГЛЕННЯ,0)*ОКРУГЛЕННЯ)</f>
        <v/>
      </c>
      <c r="DO12" s="42"/>
      <c r="DP12" s="45" t="str">
        <f aca="false">IF(OR(DO12="",DP33=""),"",ROUND(DO12*DP33/ОКРУГЛЕННЯ,0)*ОКРУГЛЕННЯ)</f>
        <v/>
      </c>
      <c r="DQ12" s="42"/>
      <c r="DR12" s="45" t="str">
        <f aca="false">IF(OR(DQ12="",DR33=""),"",ROUND(DQ12*DR33/ОКРУГЛЕННЯ,0)*ОКРУГЛЕННЯ)</f>
        <v/>
      </c>
      <c r="DS12" s="42"/>
      <c r="DT12" s="45" t="str">
        <f aca="false">IF(OR(DS12="",DT33=""),"",ROUND(DS12*DT33/ОКРУГЛЕННЯ,0)*ОКРУГЛЕННЯ)</f>
        <v/>
      </c>
      <c r="DU12" s="42"/>
      <c r="DV12" s="45" t="str">
        <f aca="false">IF(OR(DU12="",DV33=""),"",ROUND(DU12*DV33/ОКРУГЛЕННЯ,0)*ОКРУГЛЕННЯ)</f>
        <v/>
      </c>
      <c r="DW12" s="42"/>
      <c r="DX12" s="45" t="str">
        <f aca="false">IF(OR(DW12="",DX33=""),"",ROUND(DW12*DX33/ОКРУГЛЕННЯ,0)*ОКРУГЛЕННЯ)</f>
        <v/>
      </c>
    </row>
    <row r="13" customFormat="false" ht="15" hidden="false" customHeight="false" outlineLevel="0" collapsed="false">
      <c r="A13" s="4" t="s">
        <v>91</v>
      </c>
      <c r="B13" s="31"/>
      <c r="C13" s="31"/>
      <c r="D13" s="41" t="s">
        <v>70</v>
      </c>
      <c r="E13" s="4"/>
      <c r="F13" s="11" t="s">
        <v>92</v>
      </c>
      <c r="G13" s="11" t="s">
        <v>93</v>
      </c>
      <c r="H13" s="13" t="s">
        <v>94</v>
      </c>
      <c r="I13" s="42" t="n">
        <v>7100</v>
      </c>
      <c r="J13" s="45" t="n">
        <f aca="false">IF(OR(I13="",J35=""),"",ROUND(I13*J35/ОКРУГЛЕННЯ,0)*ОКРУГЛЕННЯ)</f>
        <v>7800</v>
      </c>
      <c r="K13" s="42" t="n">
        <v>9400</v>
      </c>
      <c r="L13" s="45" t="n">
        <f aca="false">IF(OR(K13="",L35=""),"",ROUND(K13*L35/ОКРУГЛЕННЯ,0)*ОКРУГЛЕННЯ)</f>
        <v>10340</v>
      </c>
      <c r="M13" s="42" t="n">
        <v>6580</v>
      </c>
      <c r="N13" s="45" t="n">
        <f aca="false">IF(OR(M13="",N35=""),"",ROUND(M13*N35/ОКРУГЛЕННЯ,0)*ОКРУГЛЕННЯ)</f>
        <v>7238</v>
      </c>
      <c r="O13" s="42" t="n">
        <v>7050</v>
      </c>
      <c r="P13" s="45" t="n">
        <f aca="false">IF(OR(O13="",P35=""),"",ROUND(O13*P35/ОКРУГЛЕННЯ,0)*ОКРУГЛЕННЯ)</f>
        <v>7755</v>
      </c>
      <c r="Q13" s="42" t="n">
        <v>7100</v>
      </c>
      <c r="R13" s="45" t="n">
        <f aca="false">IF(OR(Q13="",R35=""),"",ROUND(Q13*R35/ОКРУГЛЕННЯ,0)*ОКРУГЛЕННЯ)</f>
        <v>7739</v>
      </c>
      <c r="S13" s="42"/>
      <c r="T13" s="45" t="str">
        <f aca="false">IF(OR(S13="",T35=""),"",ROUND(S13*T35/ОКРУГЛЕННЯ,0)*ОКРУГЛЕННЯ)</f>
        <v/>
      </c>
      <c r="U13" s="42" t="n">
        <v>7520</v>
      </c>
      <c r="V13" s="45" t="n">
        <f aca="false">IF(OR(U13="",V35=""),"",ROUND(U13*V35/ОКРУГЛЕННЯ,0)*ОКРУГЛЕННЯ)</f>
        <v>8197</v>
      </c>
      <c r="W13" s="42"/>
      <c r="X13" s="45" t="str">
        <f aca="false">IF(OR(W13="",X35=""),"",ROUND(W13*X35/ОКРУГЛЕННЯ,0)*ОКРУГЛЕННЯ)</f>
        <v/>
      </c>
      <c r="Y13" s="42"/>
      <c r="Z13" s="45" t="str">
        <f aca="false">IF(OR(Y13="",Z35=""),"",ROUND(Y13*Z35/ОКРУГЛЕННЯ,0)*ОКРУГЛЕННЯ)</f>
        <v/>
      </c>
      <c r="AA13" s="42"/>
      <c r="AB13" s="45" t="str">
        <f aca="false">IF(OR(AA13="",AB35=""),"",ROUND(AA13*AB35/ОКРУГЛЕННЯ,0)*ОКРУГЛЕННЯ)</f>
        <v/>
      </c>
      <c r="AC13" s="42"/>
      <c r="AD13" s="45" t="str">
        <f aca="false">IF(OR(AC13="",AD35=""),"",ROUND(AC13*AD35/ОКРУГЛЕННЯ,0)*ОКРУГЛЕННЯ)</f>
        <v/>
      </c>
      <c r="AE13" s="42"/>
      <c r="AF13" s="45" t="str">
        <f aca="false">IF(OR(AE13="",AF35=""),"",ROUND(AE13*AF35/ОКРУГЛЕННЯ,0)*ОКРУГЛЕННЯ)</f>
        <v/>
      </c>
      <c r="AG13" s="42"/>
      <c r="AH13" s="45" t="str">
        <f aca="false">IF(OR(AG13="",AH35=""),"",ROUND(AG13*AH35/ОКРУГЛЕННЯ,0)*ОКРУГЛЕННЯ)</f>
        <v/>
      </c>
      <c r="AI13" s="42"/>
      <c r="AJ13" s="45" t="str">
        <f aca="false">IF(OR(AI13="",AJ35=""),"",ROUND(AI13*AJ35/ОКРУГЛЕННЯ,0)*ОКРУГЛЕННЯ)</f>
        <v/>
      </c>
      <c r="AK13" s="42"/>
      <c r="AL13" s="45" t="str">
        <f aca="false">IF(OR(AK13="",AL35=""),"",ROUND(AK13*AL35/ОКРУГЛЕННЯ,0)*ОКРУГЛЕННЯ)</f>
        <v/>
      </c>
      <c r="AM13" s="42"/>
      <c r="AN13" s="45" t="str">
        <f aca="false">IF(OR(AM13="",AN35=""),"",ROUND(AM13*AN35/ОКРУГЛЕННЯ,0)*ОКРУГЛЕННЯ)</f>
        <v/>
      </c>
      <c r="AO13" s="42"/>
      <c r="AP13" s="45" t="str">
        <f aca="false">IF(OR(AO13="",AP35=""),"",ROUND(AO13*AP35/ОКРУГЛЕННЯ,0)*ОКРУГЛЕННЯ)</f>
        <v/>
      </c>
      <c r="AQ13" s="42"/>
      <c r="AR13" s="45" t="str">
        <f aca="false">IF(OR(AQ13="",AR35=""),"",ROUND(AQ13*AR35/ОКРУГЛЕННЯ,0)*ОКРУГЛЕННЯ)</f>
        <v/>
      </c>
      <c r="AS13" s="42"/>
      <c r="AT13" s="45" t="str">
        <f aca="false">IF(OR(AS13="",AT35=""),"",ROUND(AS13*AT35/ОКРУГЛЕННЯ,0)*ОКРУГЛЕННЯ)</f>
        <v/>
      </c>
      <c r="AU13" s="42"/>
      <c r="AV13" s="45" t="str">
        <f aca="false">IF(OR(AU13="",AV35=""),"",ROUND(AU13*AV35/ОКРУГЛЕННЯ,0)*ОКРУГЛЕННЯ)</f>
        <v/>
      </c>
      <c r="AW13" s="42"/>
      <c r="AX13" s="45" t="str">
        <f aca="false">IF(OR(AW13="",AX35=""),"",ROUND(AW13*AX35/ОКРУГЛЕННЯ,0)*ОКРУГЛЕННЯ)</f>
        <v/>
      </c>
      <c r="AY13" s="42"/>
      <c r="AZ13" s="45" t="str">
        <f aca="false">IF(OR(AY13="",AZ35=""),"",ROUND(AY13*AZ35/ОКРУГЛЕННЯ,0)*ОКРУГЛЕННЯ)</f>
        <v/>
      </c>
      <c r="BA13" s="42"/>
      <c r="BB13" s="45" t="str">
        <f aca="false">IF(OR(BA13="",BB35=""),"",ROUND(BA13*BB35/ОКРУГЛЕННЯ,0)*ОКРУГЛЕННЯ)</f>
        <v/>
      </c>
      <c r="BC13" s="42"/>
      <c r="BD13" s="45" t="str">
        <f aca="false">IF(OR(BC13="",BD35=""),"",ROUND(BC13*BD35/ОКРУГЛЕННЯ,0)*ОКРУГЛЕННЯ)</f>
        <v/>
      </c>
      <c r="BE13" s="42"/>
      <c r="BF13" s="45" t="str">
        <f aca="false">IF(OR(BE13="",BF35=""),"",ROUND(BE13*BF35/ОКРУГЛЕННЯ,0)*ОКРУГЛЕННЯ)</f>
        <v/>
      </c>
      <c r="BG13" s="42"/>
      <c r="BH13" s="45" t="str">
        <f aca="false">IF(OR(BG13="",BH35=""),"",ROUND(BG13*BH35/ОКРУГЛЕННЯ,0)*ОКРУГЛЕННЯ)</f>
        <v/>
      </c>
      <c r="BI13" s="42"/>
      <c r="BJ13" s="45" t="str">
        <f aca="false">IF(OR(BI13="",BJ35=""),"",ROUND(BI13*BJ35/ОКРУГЛЕННЯ,0)*ОКРУГЛЕННЯ)</f>
        <v/>
      </c>
      <c r="BK13" s="42"/>
      <c r="BL13" s="45" t="str">
        <f aca="false">IF(OR(BK13="",BL35=""),"",ROUND(BK13*BL35/ОКРУГЛЕННЯ,0)*ОКРУГЛЕННЯ)</f>
        <v/>
      </c>
      <c r="BM13" s="42"/>
      <c r="BN13" s="45" t="str">
        <f aca="false">IF(OR(BM13="",BN35=""),"",ROUND(BM13*BN35/ОКРУГЛЕННЯ,0)*ОКРУГЛЕННЯ)</f>
        <v/>
      </c>
      <c r="BO13" s="42"/>
      <c r="BP13" s="45" t="str">
        <f aca="false">IF(OR(BO13="",BP35=""),"",ROUND(BO13*BP35/ОКРУГЛЕННЯ,0)*ОКРУГЛЕННЯ)</f>
        <v/>
      </c>
      <c r="BQ13" s="42"/>
      <c r="BR13" s="45" t="str">
        <f aca="false">IF(OR(BQ13="",BR35=""),"",ROUND(BQ13*BR35/ОКРУГЛЕННЯ,0)*ОКРУГЛЕННЯ)</f>
        <v/>
      </c>
      <c r="BS13" s="42"/>
      <c r="BT13" s="45" t="str">
        <f aca="false">IF(OR(BS13="",BT35=""),"",ROUND(BS13*BT35/ОКРУГЛЕННЯ,0)*ОКРУГЛЕННЯ)</f>
        <v/>
      </c>
      <c r="BU13" s="42"/>
      <c r="BV13" s="45" t="str">
        <f aca="false">IF(OR(BU13="",BV35=""),"",ROUND(BU13*BV35/ОКРУГЛЕННЯ,0)*ОКРУГЛЕННЯ)</f>
        <v/>
      </c>
      <c r="BW13" s="42"/>
      <c r="BX13" s="45" t="str">
        <f aca="false">IF(OR(BW13="",BX35=""),"",ROUND(BW13*BX35/ОКРУГЛЕННЯ,0)*ОКРУГЛЕННЯ)</f>
        <v/>
      </c>
      <c r="BY13" s="42"/>
      <c r="BZ13" s="45" t="str">
        <f aca="false">IF(OR(BY13="",BZ35=""),"",ROUND(BY13*BZ35/ОКРУГЛЕННЯ,0)*ОКРУГЛЕННЯ)</f>
        <v/>
      </c>
      <c r="CA13" s="42"/>
      <c r="CB13" s="45" t="str">
        <f aca="false">IF(OR(CA13="",CB35=""),"",ROUND(CA13*CB35/ОКРУГЛЕННЯ,0)*ОКРУГЛЕННЯ)</f>
        <v/>
      </c>
      <c r="CC13" s="42"/>
      <c r="CD13" s="45" t="str">
        <f aca="false">IF(OR(CC13="",CD35=""),"",ROUND(CC13*CD35/ОКРУГЛЕННЯ,0)*ОКРУГЛЕННЯ)</f>
        <v/>
      </c>
      <c r="CE13" s="42"/>
      <c r="CF13" s="45" t="str">
        <f aca="false">IF(OR(CE13="",CF35=""),"",ROUND(CE13*CF35/ОКРУГЛЕННЯ,0)*ОКРУГЛЕННЯ)</f>
        <v/>
      </c>
      <c r="CG13" s="42"/>
      <c r="CH13" s="45" t="str">
        <f aca="false">IF(OR(CG13="",CH35=""),"",ROUND(CG13*CH35/ОКРУГЛЕННЯ,0)*ОКРУГЛЕННЯ)</f>
        <v/>
      </c>
      <c r="CI13" s="42"/>
      <c r="CJ13" s="45" t="str">
        <f aca="false">IF(OR(CI13="",CJ35=""),"",ROUND(CI13*CJ35/ОКРУГЛЕННЯ,0)*ОКРУГЛЕННЯ)</f>
        <v/>
      </c>
      <c r="CK13" s="42"/>
      <c r="CL13" s="45" t="str">
        <f aca="false">IF(OR(CK13="",CL35=""),"",ROUND(CK13*CL35/ОКРУГЛЕННЯ,0)*ОКРУГЛЕННЯ)</f>
        <v/>
      </c>
      <c r="CM13" s="42"/>
      <c r="CN13" s="45" t="str">
        <f aca="false">IF(OR(CM13="",CN35=""),"",ROUND(CM13*CN35/ОКРУГЛЕННЯ,0)*ОКРУГЛЕННЯ)</f>
        <v/>
      </c>
      <c r="CO13" s="42"/>
      <c r="CP13" s="45" t="str">
        <f aca="false">IF(OR(CO13="",CP35=""),"",ROUND(CO13*CP35/ОКРУГЛЕННЯ,0)*ОКРУГЛЕННЯ)</f>
        <v/>
      </c>
      <c r="CQ13" s="42"/>
      <c r="CR13" s="45" t="str">
        <f aca="false">IF(OR(CQ13="",CR35=""),"",ROUND(CQ13*CR35/ОКРУГЛЕННЯ,0)*ОКРУГЛЕННЯ)</f>
        <v/>
      </c>
      <c r="CS13" s="42"/>
      <c r="CT13" s="45" t="str">
        <f aca="false">IF(OR(CS13="",CT35=""),"",ROUND(CS13*CT35/ОКРУГЛЕННЯ,0)*ОКРУГЛЕННЯ)</f>
        <v/>
      </c>
      <c r="CU13" s="42"/>
      <c r="CV13" s="45" t="str">
        <f aca="false">IF(OR(CU13="",CV35=""),"",ROUND(CU13*CV35/ОКРУГЛЕННЯ,0)*ОКРУГЛЕННЯ)</f>
        <v/>
      </c>
      <c r="CW13" s="42"/>
      <c r="CX13" s="45" t="str">
        <f aca="false">IF(OR(CW13="",CX35=""),"",ROUND(CW13*CX35/ОКРУГЛЕННЯ,0)*ОКРУГЛЕННЯ)</f>
        <v/>
      </c>
      <c r="CY13" s="42"/>
      <c r="CZ13" s="45" t="str">
        <f aca="false">IF(OR(CY13="",CZ35=""),"",ROUND(CY13*CZ35/ОКРУГЛЕННЯ,0)*ОКРУГЛЕННЯ)</f>
        <v/>
      </c>
      <c r="DA13" s="42"/>
      <c r="DB13" s="45" t="str">
        <f aca="false">IF(OR(DA13="",DB35=""),"",ROUND(DA13*DB35/ОКРУГЛЕННЯ,0)*ОКРУГЛЕННЯ)</f>
        <v/>
      </c>
      <c r="DC13" s="42"/>
      <c r="DD13" s="45" t="str">
        <f aca="false">IF(OR(DC13="",DD35=""),"",ROUND(DC13*DD35/ОКРУГЛЕННЯ,0)*ОКРУГЛЕННЯ)</f>
        <v/>
      </c>
      <c r="DE13" s="42"/>
      <c r="DF13" s="45" t="str">
        <f aca="false">IF(OR(DE13="",DF35=""),"",ROUND(DE13*DF35/ОКРУГЛЕННЯ,0)*ОКРУГЛЕННЯ)</f>
        <v/>
      </c>
      <c r="DG13" s="42"/>
      <c r="DH13" s="45" t="str">
        <f aca="false">IF(OR(DG13="",DH35=""),"",ROUND(DG13*DH35/ОКРУГЛЕННЯ,0)*ОКРУГЛЕННЯ)</f>
        <v/>
      </c>
      <c r="DI13" s="42"/>
      <c r="DJ13" s="45" t="str">
        <f aca="false">IF(OR(DI13="",DJ35=""),"",ROUND(DI13*DJ35/ОКРУГЛЕННЯ,0)*ОКРУГЛЕННЯ)</f>
        <v/>
      </c>
      <c r="DK13" s="42"/>
      <c r="DL13" s="45" t="str">
        <f aca="false">IF(OR(DK13="",DL35=""),"",ROUND(DK13*DL35/ОКРУГЛЕННЯ,0)*ОКРУГЛЕННЯ)</f>
        <v/>
      </c>
      <c r="DM13" s="42"/>
      <c r="DN13" s="45" t="str">
        <f aca="false">IF(OR(DM13="",DN35=""),"",ROUND(DM13*DN35/ОКРУГЛЕННЯ,0)*ОКРУГЛЕННЯ)</f>
        <v/>
      </c>
      <c r="DO13" s="42"/>
      <c r="DP13" s="45" t="str">
        <f aca="false">IF(OR(DO13="",DP35=""),"",ROUND(DO13*DP35/ОКРУГЛЕННЯ,0)*ОКРУГЛЕННЯ)</f>
        <v/>
      </c>
      <c r="DQ13" s="42"/>
      <c r="DR13" s="45" t="str">
        <f aca="false">IF(OR(DQ13="",DR35=""),"",ROUND(DQ13*DR35/ОКРУГЛЕННЯ,0)*ОКРУГЛЕННЯ)</f>
        <v/>
      </c>
      <c r="DS13" s="42"/>
      <c r="DT13" s="45" t="str">
        <f aca="false">IF(OR(DS13="",DT35=""),"",ROUND(DS13*DT35/ОКРУГЛЕННЯ,0)*ОКРУГЛЕННЯ)</f>
        <v/>
      </c>
      <c r="DU13" s="42"/>
      <c r="DV13" s="45" t="str">
        <f aca="false">IF(OR(DU13="",DV35=""),"",ROUND(DU13*DV35/ОКРУГЛЕННЯ,0)*ОКРУГЛЕННЯ)</f>
        <v/>
      </c>
      <c r="DW13" s="42"/>
      <c r="DX13" s="45" t="str">
        <f aca="false">IF(OR(DW13="",DX35=""),"",ROUND(DW13*DX35/ОКРУГЛЕННЯ,0)*ОКРУГЛЕННЯ)</f>
        <v/>
      </c>
    </row>
    <row r="14" customFormat="false" ht="15" hidden="false" customHeight="false" outlineLevel="0" collapsed="false">
      <c r="A14" s="4" t="s">
        <v>95</v>
      </c>
      <c r="B14" s="31"/>
      <c r="C14" s="31"/>
      <c r="D14" s="41" t="s">
        <v>70</v>
      </c>
      <c r="E14" s="4"/>
      <c r="F14" s="4" t="s">
        <v>5</v>
      </c>
      <c r="G14" s="44" t="n">
        <v>0</v>
      </c>
      <c r="H14" s="13" t="s">
        <v>96</v>
      </c>
      <c r="I14" s="42" t="n">
        <v>2900</v>
      </c>
      <c r="J14" s="45" t="n">
        <f aca="false">IF(OR(I14="",J40=""),"",ROUND(I14*J40/ОКРУГЛЕННЯ,0)*ОКРУГЛЕННЯ)</f>
        <v>3200</v>
      </c>
      <c r="K14" s="42" t="n">
        <v>3385</v>
      </c>
      <c r="L14" s="45" t="n">
        <f aca="false">IF(OR(K14="",L40=""),"",ROUND(K14*L40/ОКРУГЛЕННЯ,0)*ОКРУГЛЕННЯ)</f>
        <v>3724</v>
      </c>
      <c r="M14" s="42" t="n">
        <v>2370</v>
      </c>
      <c r="N14" s="45" t="n">
        <f aca="false">IF(OR(M14="",N40=""),"",ROUND(M14*N40/ОКРУГЛЕННЯ,0)*ОКРУГЛЕННЯ)</f>
        <v>2607</v>
      </c>
      <c r="O14" s="42" t="n">
        <v>2539</v>
      </c>
      <c r="P14" s="45" t="n">
        <f aca="false">IF(OR(O14="",P40=""),"",ROUND(O14*P40/ОКРУГЛЕННЯ,0)*ОКРУГЛЕННЯ)</f>
        <v>2793</v>
      </c>
      <c r="Q14" s="42" t="n">
        <v>2600</v>
      </c>
      <c r="R14" s="45" t="n">
        <f aca="false">IF(OR(Q14="",R40=""),"",ROUND(Q14*R40/ОКРУГЛЕННЯ,0)*ОКРУГЛЕННЯ)</f>
        <v>2860</v>
      </c>
      <c r="S14" s="42"/>
      <c r="T14" s="45" t="str">
        <f aca="false">IF(OR(S14="",T40=""),"",ROUND(S14*T40/ОКРУГЛЕННЯ,0)*ОКРУГЛЕННЯ)</f>
        <v/>
      </c>
      <c r="U14" s="42" t="n">
        <v>2700</v>
      </c>
      <c r="V14" s="45" t="n">
        <f aca="false">IF(OR(U14="",V40=""),"",ROUND(U14*V40/ОКРУГЛЕННЯ,0)*ОКРУГЛЕННЯ)</f>
        <v>2970</v>
      </c>
      <c r="W14" s="42"/>
      <c r="X14" s="45" t="str">
        <f aca="false">IF(OR(W14="",X40=""),"",ROUND(W14*X40/ОКРУГЛЕННЯ,0)*ОКРУГЛЕННЯ)</f>
        <v/>
      </c>
      <c r="Y14" s="42"/>
      <c r="Z14" s="45" t="str">
        <f aca="false">IF(OR(Y14="",Z40=""),"",ROUND(Y14*Z40/ОКРУГЛЕННЯ,0)*ОКРУГЛЕННЯ)</f>
        <v/>
      </c>
      <c r="AA14" s="42"/>
      <c r="AB14" s="45" t="str">
        <f aca="false">IF(OR(AA14="",AB40=""),"",ROUND(AA14*AB40/ОКРУГЛЕННЯ,0)*ОКРУГЛЕННЯ)</f>
        <v/>
      </c>
      <c r="AC14" s="42"/>
      <c r="AD14" s="45" t="str">
        <f aca="false">IF(OR(AC14="",AD40=""),"",ROUND(AC14*AD40/ОКРУГЛЕННЯ,0)*ОКРУГЛЕННЯ)</f>
        <v/>
      </c>
      <c r="AE14" s="42"/>
      <c r="AF14" s="45" t="str">
        <f aca="false">IF(OR(AE14="",AF40=""),"",ROUND(AE14*AF40/ОКРУГЛЕННЯ,0)*ОКРУГЛЕННЯ)</f>
        <v/>
      </c>
      <c r="AG14" s="42"/>
      <c r="AH14" s="45" t="str">
        <f aca="false">IF(OR(AG14="",AH40=""),"",ROUND(AG14*AH40/ОКРУГЛЕННЯ,0)*ОКРУГЛЕННЯ)</f>
        <v/>
      </c>
      <c r="AI14" s="42"/>
      <c r="AJ14" s="45" t="str">
        <f aca="false">IF(OR(AI14="",AJ40=""),"",ROUND(AI14*AJ40/ОКРУГЛЕННЯ,0)*ОКРУГЛЕННЯ)</f>
        <v/>
      </c>
      <c r="AK14" s="42"/>
      <c r="AL14" s="45" t="str">
        <f aca="false">IF(OR(AK14="",AL40=""),"",ROUND(AK14*AL40/ОКРУГЛЕННЯ,0)*ОКРУГЛЕННЯ)</f>
        <v/>
      </c>
      <c r="AM14" s="42"/>
      <c r="AN14" s="45" t="str">
        <f aca="false">IF(OR(AM14="",AN40=""),"",ROUND(AM14*AN40/ОКРУГЛЕННЯ,0)*ОКРУГЛЕННЯ)</f>
        <v/>
      </c>
      <c r="AO14" s="42"/>
      <c r="AP14" s="45" t="str">
        <f aca="false">IF(OR(AO14="",AP40=""),"",ROUND(AO14*AP40/ОКРУГЛЕННЯ,0)*ОКРУГЛЕННЯ)</f>
        <v/>
      </c>
      <c r="AQ14" s="42"/>
      <c r="AR14" s="45" t="str">
        <f aca="false">IF(OR(AQ14="",AR40=""),"",ROUND(AQ14*AR40/ОКРУГЛЕННЯ,0)*ОКРУГЛЕННЯ)</f>
        <v/>
      </c>
      <c r="AS14" s="42"/>
      <c r="AT14" s="45" t="str">
        <f aca="false">IF(OR(AS14="",AT40=""),"",ROUND(AS14*AT40/ОКРУГЛЕННЯ,0)*ОКРУГЛЕННЯ)</f>
        <v/>
      </c>
      <c r="AU14" s="42"/>
      <c r="AV14" s="45" t="str">
        <f aca="false">IF(OR(AU14="",AV40=""),"",ROUND(AU14*AV40/ОКРУГЛЕННЯ,0)*ОКРУГЛЕННЯ)</f>
        <v/>
      </c>
      <c r="AW14" s="42"/>
      <c r="AX14" s="45" t="str">
        <f aca="false">IF(OR(AW14="",AX40=""),"",ROUND(AW14*AX40/ОКРУГЛЕННЯ,0)*ОКРУГЛЕННЯ)</f>
        <v/>
      </c>
      <c r="AY14" s="42"/>
      <c r="AZ14" s="45" t="str">
        <f aca="false">IF(OR(AY14="",AZ40=""),"",ROUND(AY14*AZ40/ОКРУГЛЕННЯ,0)*ОКРУГЛЕННЯ)</f>
        <v/>
      </c>
      <c r="BA14" s="42"/>
      <c r="BB14" s="45" t="str">
        <f aca="false">IF(OR(BA14="",BB40=""),"",ROUND(BA14*BB40/ОКРУГЛЕННЯ,0)*ОКРУГЛЕННЯ)</f>
        <v/>
      </c>
      <c r="BC14" s="42"/>
      <c r="BD14" s="45" t="str">
        <f aca="false">IF(OR(BC14="",BD40=""),"",ROUND(BC14*BD40/ОКРУГЛЕННЯ,0)*ОКРУГЛЕННЯ)</f>
        <v/>
      </c>
      <c r="BE14" s="42"/>
      <c r="BF14" s="45" t="str">
        <f aca="false">IF(OR(BE14="",BF40=""),"",ROUND(BE14*BF40/ОКРУГЛЕННЯ,0)*ОКРУГЛЕННЯ)</f>
        <v/>
      </c>
      <c r="BG14" s="42"/>
      <c r="BH14" s="45" t="str">
        <f aca="false">IF(OR(BG14="",BH40=""),"",ROUND(BG14*BH40/ОКРУГЛЕННЯ,0)*ОКРУГЛЕННЯ)</f>
        <v/>
      </c>
      <c r="BI14" s="42"/>
      <c r="BJ14" s="45" t="str">
        <f aca="false">IF(OR(BI14="",BJ40=""),"",ROUND(BI14*BJ40/ОКРУГЛЕННЯ,0)*ОКРУГЛЕННЯ)</f>
        <v/>
      </c>
      <c r="BK14" s="42"/>
      <c r="BL14" s="45" t="str">
        <f aca="false">IF(OR(BK14="",BL40=""),"",ROUND(BK14*BL40/ОКРУГЛЕННЯ,0)*ОКРУГЛЕННЯ)</f>
        <v/>
      </c>
      <c r="BM14" s="42"/>
      <c r="BN14" s="45" t="str">
        <f aca="false">IF(OR(BM14="",BN40=""),"",ROUND(BM14*BN40/ОКРУГЛЕННЯ,0)*ОКРУГЛЕННЯ)</f>
        <v/>
      </c>
      <c r="BO14" s="42"/>
      <c r="BP14" s="45" t="str">
        <f aca="false">IF(OR(BO14="",BP40=""),"",ROUND(BO14*BP40/ОКРУГЛЕННЯ,0)*ОКРУГЛЕННЯ)</f>
        <v/>
      </c>
      <c r="BQ14" s="42"/>
      <c r="BR14" s="45" t="str">
        <f aca="false">IF(OR(BQ14="",BR40=""),"",ROUND(BQ14*BR40/ОКРУГЛЕННЯ,0)*ОКРУГЛЕННЯ)</f>
        <v/>
      </c>
      <c r="BS14" s="42"/>
      <c r="BT14" s="45" t="str">
        <f aca="false">IF(OR(BS14="",BT40=""),"",ROUND(BS14*BT40/ОКРУГЛЕННЯ,0)*ОКРУГЛЕННЯ)</f>
        <v/>
      </c>
      <c r="BU14" s="42"/>
      <c r="BV14" s="45" t="str">
        <f aca="false">IF(OR(BU14="",BV40=""),"",ROUND(BU14*BV40/ОКРУГЛЕННЯ,0)*ОКРУГЛЕННЯ)</f>
        <v/>
      </c>
      <c r="BW14" s="42"/>
      <c r="BX14" s="45" t="str">
        <f aca="false">IF(OR(BW14="",BX40=""),"",ROUND(BW14*BX40/ОКРУГЛЕННЯ,0)*ОКРУГЛЕННЯ)</f>
        <v/>
      </c>
      <c r="BY14" s="42"/>
      <c r="BZ14" s="45" t="str">
        <f aca="false">IF(OR(BY14="",BZ40=""),"",ROUND(BY14*BZ40/ОКРУГЛЕННЯ,0)*ОКРУГЛЕННЯ)</f>
        <v/>
      </c>
      <c r="CA14" s="42"/>
      <c r="CB14" s="45" t="str">
        <f aca="false">IF(OR(CA14="",CB40=""),"",ROUND(CA14*CB40/ОКРУГЛЕННЯ,0)*ОКРУГЛЕННЯ)</f>
        <v/>
      </c>
      <c r="CC14" s="42"/>
      <c r="CD14" s="45" t="str">
        <f aca="false">IF(OR(CC14="",CD40=""),"",ROUND(CC14*CD40/ОКРУГЛЕННЯ,0)*ОКРУГЛЕННЯ)</f>
        <v/>
      </c>
      <c r="CE14" s="42"/>
      <c r="CF14" s="45" t="str">
        <f aca="false">IF(OR(CE14="",CF40=""),"",ROUND(CE14*CF40/ОКРУГЛЕННЯ,0)*ОКРУГЛЕННЯ)</f>
        <v/>
      </c>
      <c r="CG14" s="42"/>
      <c r="CH14" s="45" t="str">
        <f aca="false">IF(OR(CG14="",CH40=""),"",ROUND(CG14*CH40/ОКРУГЛЕННЯ,0)*ОКРУГЛЕННЯ)</f>
        <v/>
      </c>
      <c r="CI14" s="42"/>
      <c r="CJ14" s="45" t="str">
        <f aca="false">IF(OR(CI14="",CJ40=""),"",ROUND(CI14*CJ40/ОКРУГЛЕННЯ,0)*ОКРУГЛЕННЯ)</f>
        <v/>
      </c>
      <c r="CK14" s="42"/>
      <c r="CL14" s="45" t="str">
        <f aca="false">IF(OR(CK14="",CL40=""),"",ROUND(CK14*CL40/ОКРУГЛЕННЯ,0)*ОКРУГЛЕННЯ)</f>
        <v/>
      </c>
      <c r="CM14" s="42"/>
      <c r="CN14" s="45" t="str">
        <f aca="false">IF(OR(CM14="",CN40=""),"",ROUND(CM14*CN40/ОКРУГЛЕННЯ,0)*ОКРУГЛЕННЯ)</f>
        <v/>
      </c>
      <c r="CO14" s="42"/>
      <c r="CP14" s="45" t="str">
        <f aca="false">IF(OR(CO14="",CP40=""),"",ROUND(CO14*CP40/ОКРУГЛЕННЯ,0)*ОКРУГЛЕННЯ)</f>
        <v/>
      </c>
      <c r="CQ14" s="42"/>
      <c r="CR14" s="45" t="str">
        <f aca="false">IF(OR(CQ14="",CR40=""),"",ROUND(CQ14*CR40/ОКРУГЛЕННЯ,0)*ОКРУГЛЕННЯ)</f>
        <v/>
      </c>
      <c r="CS14" s="42"/>
      <c r="CT14" s="45" t="str">
        <f aca="false">IF(OR(CS14="",CT40=""),"",ROUND(CS14*CT40/ОКРУГЛЕННЯ,0)*ОКРУГЛЕННЯ)</f>
        <v/>
      </c>
      <c r="CU14" s="42"/>
      <c r="CV14" s="45" t="str">
        <f aca="false">IF(OR(CU14="",CV40=""),"",ROUND(CU14*CV40/ОКРУГЛЕННЯ,0)*ОКРУГЛЕННЯ)</f>
        <v/>
      </c>
      <c r="CW14" s="42"/>
      <c r="CX14" s="45" t="str">
        <f aca="false">IF(OR(CW14="",CX40=""),"",ROUND(CW14*CX40/ОКРУГЛЕННЯ,0)*ОКРУГЛЕННЯ)</f>
        <v/>
      </c>
      <c r="CY14" s="42"/>
      <c r="CZ14" s="45" t="str">
        <f aca="false">IF(OR(CY14="",CZ40=""),"",ROUND(CY14*CZ40/ОКРУГЛЕННЯ,0)*ОКРУГЛЕННЯ)</f>
        <v/>
      </c>
      <c r="DA14" s="42"/>
      <c r="DB14" s="45" t="str">
        <f aca="false">IF(OR(DA14="",DB40=""),"",ROUND(DA14*DB40/ОКРУГЛЕННЯ,0)*ОКРУГЛЕННЯ)</f>
        <v/>
      </c>
      <c r="DC14" s="42"/>
      <c r="DD14" s="45" t="str">
        <f aca="false">IF(OR(DC14="",DD40=""),"",ROUND(DC14*DD40/ОКРУГЛЕННЯ,0)*ОКРУГЛЕННЯ)</f>
        <v/>
      </c>
      <c r="DE14" s="42"/>
      <c r="DF14" s="45" t="str">
        <f aca="false">IF(OR(DE14="",DF40=""),"",ROUND(DE14*DF40/ОКРУГЛЕННЯ,0)*ОКРУГЛЕННЯ)</f>
        <v/>
      </c>
      <c r="DG14" s="42"/>
      <c r="DH14" s="45" t="str">
        <f aca="false">IF(OR(DG14="",DH40=""),"",ROUND(DG14*DH40/ОКРУГЛЕННЯ,0)*ОКРУГЛЕННЯ)</f>
        <v/>
      </c>
      <c r="DI14" s="42"/>
      <c r="DJ14" s="45" t="str">
        <f aca="false">IF(OR(DI14="",DJ40=""),"",ROUND(DI14*DJ40/ОКРУГЛЕННЯ,0)*ОКРУГЛЕННЯ)</f>
        <v/>
      </c>
      <c r="DK14" s="42"/>
      <c r="DL14" s="45" t="str">
        <f aca="false">IF(OR(DK14="",DL40=""),"",ROUND(DK14*DL40/ОКРУГЛЕННЯ,0)*ОКРУГЛЕННЯ)</f>
        <v/>
      </c>
      <c r="DM14" s="42"/>
      <c r="DN14" s="45" t="str">
        <f aca="false">IF(OR(DM14="",DN40=""),"",ROUND(DM14*DN40/ОКРУГЛЕННЯ,0)*ОКРУГЛЕННЯ)</f>
        <v/>
      </c>
      <c r="DO14" s="42"/>
      <c r="DP14" s="45" t="str">
        <f aca="false">IF(OR(DO14="",DP40=""),"",ROUND(DO14*DP40/ОКРУГЛЕННЯ,0)*ОКРУГЛЕННЯ)</f>
        <v/>
      </c>
      <c r="DQ14" s="42"/>
      <c r="DR14" s="45" t="str">
        <f aca="false">IF(OR(DQ14="",DR40=""),"",ROUND(DQ14*DR40/ОКРУГЛЕННЯ,0)*ОКРУГЛЕННЯ)</f>
        <v/>
      </c>
      <c r="DS14" s="42"/>
      <c r="DT14" s="45" t="str">
        <f aca="false">IF(OR(DS14="",DT40=""),"",ROUND(DS14*DT40/ОКРУГЛЕННЯ,0)*ОКРУГЛЕННЯ)</f>
        <v/>
      </c>
      <c r="DU14" s="42"/>
      <c r="DV14" s="45" t="str">
        <f aca="false">IF(OR(DU14="",DV40=""),"",ROUND(DU14*DV40/ОКРУГЛЕННЯ,0)*ОКРУГЛЕННЯ)</f>
        <v/>
      </c>
      <c r="DW14" s="42"/>
      <c r="DX14" s="45" t="str">
        <f aca="false">IF(OR(DW14="",DX40=""),"",ROUND(DW14*DX40/ОКРУГЛЕННЯ,0)*ОКРУГЛЕННЯ)</f>
        <v/>
      </c>
    </row>
    <row r="15" customFormat="false" ht="15" hidden="false" customHeight="false" outlineLevel="0" collapsed="false">
      <c r="A15" s="4" t="s">
        <v>97</v>
      </c>
      <c r="B15" s="31"/>
      <c r="C15" s="31"/>
      <c r="D15" s="41" t="s">
        <v>70</v>
      </c>
      <c r="E15" s="4"/>
      <c r="F15" s="4" t="s">
        <v>98</v>
      </c>
      <c r="G15" s="44" t="n">
        <v>0.1</v>
      </c>
      <c r="H15" s="13" t="s">
        <v>99</v>
      </c>
      <c r="I15" s="42" t="n">
        <v>4200</v>
      </c>
      <c r="J15" s="45" t="n">
        <f aca="false">IF(OR(I15="",J45=""),"",ROUND(I15*J45/ОКРУГЛЕННЯ,0)*ОКРУГЛЕННЯ)</f>
        <v>4500</v>
      </c>
      <c r="K15" s="42" t="n">
        <v>4185</v>
      </c>
      <c r="L15" s="45" t="n">
        <f aca="false">IF(OR(K15="",L45=""),"",ROUND(K15*L45/ОКРУГЛЕННЯ,0)*ОКРУГЛЕННЯ)</f>
        <v>4478</v>
      </c>
      <c r="M15" s="42" t="n">
        <v>2930</v>
      </c>
      <c r="N15" s="45" t="n">
        <f aca="false">IF(OR(M15="",N45=""),"",ROUND(M15*N45/ОКРУГЛЕННЯ,0)*ОКРУГЛЕННЯ)</f>
        <v>3135</v>
      </c>
      <c r="O15" s="42" t="n">
        <v>3348</v>
      </c>
      <c r="P15" s="45" t="n">
        <f aca="false">IF(OR(O15="",P45=""),"",ROUND(O15*P45/ОКРУГЛЕННЯ,0)*ОКРУГЛЕННЯ)</f>
        <v>3582</v>
      </c>
      <c r="Q15" s="42" t="n">
        <v>3400</v>
      </c>
      <c r="R15" s="45" t="n">
        <f aca="false">IF(OR(Q15="",R45=""),"",ROUND(Q15*R45/ОКРУГЛЕННЯ,0)*ОКРУГЛЕННЯ)</f>
        <v>3638</v>
      </c>
      <c r="S15" s="42"/>
      <c r="T15" s="45" t="str">
        <f aca="false">IF(OR(S15="",T45=""),"",ROUND(S15*T45/ОКРУГЛЕННЯ,0)*ОКРУГЛЕННЯ)</f>
        <v/>
      </c>
      <c r="U15" s="42" t="n">
        <v>3400</v>
      </c>
      <c r="V15" s="45" t="n">
        <f aca="false">IF(OR(U15="",V45=""),"",ROUND(U15*V45/ОКРУГЛЕННЯ,0)*ОКРУГЛЕННЯ)</f>
        <v>3638</v>
      </c>
      <c r="W15" s="42"/>
      <c r="X15" s="45" t="str">
        <f aca="false">IF(OR(W15="",X45=""),"",ROUND(W15*X45/ОКРУГЛЕННЯ,0)*ОКРУГЛЕННЯ)</f>
        <v/>
      </c>
      <c r="Y15" s="42"/>
      <c r="Z15" s="45" t="str">
        <f aca="false">IF(OR(Y15="",Z45=""),"",ROUND(Y15*Z45/ОКРУГЛЕННЯ,0)*ОКРУГЛЕННЯ)</f>
        <v/>
      </c>
      <c r="AA15" s="42"/>
      <c r="AB15" s="45" t="str">
        <f aca="false">IF(OR(AA15="",AB45=""),"",ROUND(AA15*AB45/ОКРУГЛЕННЯ,0)*ОКРУГЛЕННЯ)</f>
        <v/>
      </c>
      <c r="AC15" s="42"/>
      <c r="AD15" s="45" t="str">
        <f aca="false">IF(OR(AC15="",AD45=""),"",ROUND(AC15*AD45/ОКРУГЛЕННЯ,0)*ОКРУГЛЕННЯ)</f>
        <v/>
      </c>
      <c r="AE15" s="42"/>
      <c r="AF15" s="45" t="str">
        <f aca="false">IF(OR(AE15="",AF45=""),"",ROUND(AE15*AF45/ОКРУГЛЕННЯ,0)*ОКРУГЛЕННЯ)</f>
        <v/>
      </c>
      <c r="AG15" s="42"/>
      <c r="AH15" s="45" t="str">
        <f aca="false">IF(OR(AG15="",AH45=""),"",ROUND(AG15*AH45/ОКРУГЛЕННЯ,0)*ОКРУГЛЕННЯ)</f>
        <v/>
      </c>
      <c r="AI15" s="42"/>
      <c r="AJ15" s="45" t="str">
        <f aca="false">IF(OR(AI15="",AJ45=""),"",ROUND(AI15*AJ45/ОКРУГЛЕННЯ,0)*ОКРУГЛЕННЯ)</f>
        <v/>
      </c>
      <c r="AK15" s="42"/>
      <c r="AL15" s="45" t="str">
        <f aca="false">IF(OR(AK15="",AL45=""),"",ROUND(AK15*AL45/ОКРУГЛЕННЯ,0)*ОКРУГЛЕННЯ)</f>
        <v/>
      </c>
      <c r="AM15" s="42"/>
      <c r="AN15" s="45" t="str">
        <f aca="false">IF(OR(AM15="",AN45=""),"",ROUND(AM15*AN45/ОКРУГЛЕННЯ,0)*ОКРУГЛЕННЯ)</f>
        <v/>
      </c>
      <c r="AO15" s="42"/>
      <c r="AP15" s="45" t="str">
        <f aca="false">IF(OR(AO15="",AP45=""),"",ROUND(AO15*AP45/ОКРУГЛЕННЯ,0)*ОКРУГЛЕННЯ)</f>
        <v/>
      </c>
      <c r="AQ15" s="42"/>
      <c r="AR15" s="45" t="str">
        <f aca="false">IF(OR(AQ15="",AR45=""),"",ROUND(AQ15*AR45/ОКРУГЛЕННЯ,0)*ОКРУГЛЕННЯ)</f>
        <v/>
      </c>
      <c r="AS15" s="42"/>
      <c r="AT15" s="45" t="str">
        <f aca="false">IF(OR(AS15="",AT45=""),"",ROUND(AS15*AT45/ОКРУГЛЕННЯ,0)*ОКРУГЛЕННЯ)</f>
        <v/>
      </c>
      <c r="AU15" s="42"/>
      <c r="AV15" s="45" t="str">
        <f aca="false">IF(OR(AU15="",AV45=""),"",ROUND(AU15*AV45/ОКРУГЛЕННЯ,0)*ОКРУГЛЕННЯ)</f>
        <v/>
      </c>
      <c r="AW15" s="42"/>
      <c r="AX15" s="45" t="str">
        <f aca="false">IF(OR(AW15="",AX45=""),"",ROUND(AW15*AX45/ОКРУГЛЕННЯ,0)*ОКРУГЛЕННЯ)</f>
        <v/>
      </c>
      <c r="AY15" s="42"/>
      <c r="AZ15" s="45" t="str">
        <f aca="false">IF(OR(AY15="",AZ45=""),"",ROUND(AY15*AZ45/ОКРУГЛЕННЯ,0)*ОКРУГЛЕННЯ)</f>
        <v/>
      </c>
      <c r="BA15" s="42"/>
      <c r="BB15" s="45" t="str">
        <f aca="false">IF(OR(BA15="",BB45=""),"",ROUND(BA15*BB45/ОКРУГЛЕННЯ,0)*ОКРУГЛЕННЯ)</f>
        <v/>
      </c>
      <c r="BC15" s="42"/>
      <c r="BD15" s="45" t="str">
        <f aca="false">IF(OR(BC15="",BD45=""),"",ROUND(BC15*BD45/ОКРУГЛЕННЯ,0)*ОКРУГЛЕННЯ)</f>
        <v/>
      </c>
      <c r="BE15" s="42"/>
      <c r="BF15" s="45" t="str">
        <f aca="false">IF(OR(BE15="",BF45=""),"",ROUND(BE15*BF45/ОКРУГЛЕННЯ,0)*ОКРУГЛЕННЯ)</f>
        <v/>
      </c>
      <c r="BG15" s="42"/>
      <c r="BH15" s="45" t="str">
        <f aca="false">IF(OR(BG15="",BH45=""),"",ROUND(BG15*BH45/ОКРУГЛЕННЯ,0)*ОКРУГЛЕННЯ)</f>
        <v/>
      </c>
      <c r="BI15" s="42"/>
      <c r="BJ15" s="45" t="str">
        <f aca="false">IF(OR(BI15="",BJ45=""),"",ROUND(BI15*BJ45/ОКРУГЛЕННЯ,0)*ОКРУГЛЕННЯ)</f>
        <v/>
      </c>
      <c r="BK15" s="42"/>
      <c r="BL15" s="45" t="str">
        <f aca="false">IF(OR(BK15="",BL45=""),"",ROUND(BK15*BL45/ОКРУГЛЕННЯ,0)*ОКРУГЛЕННЯ)</f>
        <v/>
      </c>
      <c r="BM15" s="42"/>
      <c r="BN15" s="45" t="str">
        <f aca="false">IF(OR(BM15="",BN45=""),"",ROUND(BM15*BN45/ОКРУГЛЕННЯ,0)*ОКРУГЛЕННЯ)</f>
        <v/>
      </c>
      <c r="BO15" s="42"/>
      <c r="BP15" s="45" t="str">
        <f aca="false">IF(OR(BO15="",BP45=""),"",ROUND(BO15*BP45/ОКРУГЛЕННЯ,0)*ОКРУГЛЕННЯ)</f>
        <v/>
      </c>
      <c r="BQ15" s="42"/>
      <c r="BR15" s="45" t="str">
        <f aca="false">IF(OR(BQ15="",BR45=""),"",ROUND(BQ15*BR45/ОКРУГЛЕННЯ,0)*ОКРУГЛЕННЯ)</f>
        <v/>
      </c>
      <c r="BS15" s="42"/>
      <c r="BT15" s="45" t="str">
        <f aca="false">IF(OR(BS15="",BT45=""),"",ROUND(BS15*BT45/ОКРУГЛЕННЯ,0)*ОКРУГЛЕННЯ)</f>
        <v/>
      </c>
      <c r="BU15" s="42"/>
      <c r="BV15" s="45" t="str">
        <f aca="false">IF(OR(BU15="",BV45=""),"",ROUND(BU15*BV45/ОКРУГЛЕННЯ,0)*ОКРУГЛЕННЯ)</f>
        <v/>
      </c>
      <c r="BW15" s="42"/>
      <c r="BX15" s="45" t="str">
        <f aca="false">IF(OR(BW15="",BX45=""),"",ROUND(BW15*BX45/ОКРУГЛЕННЯ,0)*ОКРУГЛЕННЯ)</f>
        <v/>
      </c>
      <c r="BY15" s="42"/>
      <c r="BZ15" s="45" t="str">
        <f aca="false">IF(OR(BY15="",BZ45=""),"",ROUND(BY15*BZ45/ОКРУГЛЕННЯ,0)*ОКРУГЛЕННЯ)</f>
        <v/>
      </c>
      <c r="CA15" s="42"/>
      <c r="CB15" s="45" t="str">
        <f aca="false">IF(OR(CA15="",CB45=""),"",ROUND(CA15*CB45/ОКРУГЛЕННЯ,0)*ОКРУГЛЕННЯ)</f>
        <v/>
      </c>
      <c r="CC15" s="42"/>
      <c r="CD15" s="45" t="str">
        <f aca="false">IF(OR(CC15="",CD45=""),"",ROUND(CC15*CD45/ОКРУГЛЕННЯ,0)*ОКРУГЛЕННЯ)</f>
        <v/>
      </c>
      <c r="CE15" s="42"/>
      <c r="CF15" s="45" t="str">
        <f aca="false">IF(OR(CE15="",CF45=""),"",ROUND(CE15*CF45/ОКРУГЛЕННЯ,0)*ОКРУГЛЕННЯ)</f>
        <v/>
      </c>
      <c r="CG15" s="42"/>
      <c r="CH15" s="45" t="str">
        <f aca="false">IF(OR(CG15="",CH45=""),"",ROUND(CG15*CH45/ОКРУГЛЕННЯ,0)*ОКРУГЛЕННЯ)</f>
        <v/>
      </c>
      <c r="CI15" s="42"/>
      <c r="CJ15" s="45" t="str">
        <f aca="false">IF(OR(CI15="",CJ45=""),"",ROUND(CI15*CJ45/ОКРУГЛЕННЯ,0)*ОКРУГЛЕННЯ)</f>
        <v/>
      </c>
      <c r="CK15" s="42"/>
      <c r="CL15" s="45" t="str">
        <f aca="false">IF(OR(CK15="",CL45=""),"",ROUND(CK15*CL45/ОКРУГЛЕННЯ,0)*ОКРУГЛЕННЯ)</f>
        <v/>
      </c>
      <c r="CM15" s="42"/>
      <c r="CN15" s="45" t="str">
        <f aca="false">IF(OR(CM15="",CN45=""),"",ROUND(CM15*CN45/ОКРУГЛЕННЯ,0)*ОКРУГЛЕННЯ)</f>
        <v/>
      </c>
      <c r="CO15" s="42"/>
      <c r="CP15" s="45" t="str">
        <f aca="false">IF(OR(CO15="",CP45=""),"",ROUND(CO15*CP45/ОКРУГЛЕННЯ,0)*ОКРУГЛЕННЯ)</f>
        <v/>
      </c>
      <c r="CQ15" s="42"/>
      <c r="CR15" s="45" t="str">
        <f aca="false">IF(OR(CQ15="",CR45=""),"",ROUND(CQ15*CR45/ОКРУГЛЕННЯ,0)*ОКРУГЛЕННЯ)</f>
        <v/>
      </c>
      <c r="CS15" s="42"/>
      <c r="CT15" s="45" t="str">
        <f aca="false">IF(OR(CS15="",CT45=""),"",ROUND(CS15*CT45/ОКРУГЛЕННЯ,0)*ОКРУГЛЕННЯ)</f>
        <v/>
      </c>
      <c r="CU15" s="42"/>
      <c r="CV15" s="45" t="str">
        <f aca="false">IF(OR(CU15="",CV45=""),"",ROUND(CU15*CV45/ОКРУГЛЕННЯ,0)*ОКРУГЛЕННЯ)</f>
        <v/>
      </c>
      <c r="CW15" s="42"/>
      <c r="CX15" s="45" t="str">
        <f aca="false">IF(OR(CW15="",CX45=""),"",ROUND(CW15*CX45/ОКРУГЛЕННЯ,0)*ОКРУГЛЕННЯ)</f>
        <v/>
      </c>
      <c r="CY15" s="42"/>
      <c r="CZ15" s="45" t="str">
        <f aca="false">IF(OR(CY15="",CZ45=""),"",ROUND(CY15*CZ45/ОКРУГЛЕННЯ,0)*ОКРУГЛЕННЯ)</f>
        <v/>
      </c>
      <c r="DA15" s="42"/>
      <c r="DB15" s="45" t="str">
        <f aca="false">IF(OR(DA15="",DB45=""),"",ROUND(DA15*DB45/ОКРУГЛЕННЯ,0)*ОКРУГЛЕННЯ)</f>
        <v/>
      </c>
      <c r="DC15" s="42"/>
      <c r="DD15" s="45" t="str">
        <f aca="false">IF(OR(DC15="",DD45=""),"",ROUND(DC15*DD45/ОКРУГЛЕННЯ,0)*ОКРУГЛЕННЯ)</f>
        <v/>
      </c>
      <c r="DE15" s="42"/>
      <c r="DF15" s="45" t="str">
        <f aca="false">IF(OR(DE15="",DF45=""),"",ROUND(DE15*DF45/ОКРУГЛЕННЯ,0)*ОКРУГЛЕННЯ)</f>
        <v/>
      </c>
      <c r="DG15" s="42"/>
      <c r="DH15" s="45" t="str">
        <f aca="false">IF(OR(DG15="",DH45=""),"",ROUND(DG15*DH45/ОКРУГЛЕННЯ,0)*ОКРУГЛЕННЯ)</f>
        <v/>
      </c>
      <c r="DI15" s="42"/>
      <c r="DJ15" s="45" t="str">
        <f aca="false">IF(OR(DI15="",DJ45=""),"",ROUND(DI15*DJ45/ОКРУГЛЕННЯ,0)*ОКРУГЛЕННЯ)</f>
        <v/>
      </c>
      <c r="DK15" s="42"/>
      <c r="DL15" s="45" t="str">
        <f aca="false">IF(OR(DK15="",DL45=""),"",ROUND(DK15*DL45/ОКРУГЛЕННЯ,0)*ОКРУГЛЕННЯ)</f>
        <v/>
      </c>
      <c r="DM15" s="42"/>
      <c r="DN15" s="45" t="str">
        <f aca="false">IF(OR(DM15="",DN45=""),"",ROUND(DM15*DN45/ОКРУГЛЕННЯ,0)*ОКРУГЛЕННЯ)</f>
        <v/>
      </c>
      <c r="DO15" s="42"/>
      <c r="DP15" s="45" t="str">
        <f aca="false">IF(OR(DO15="",DP45=""),"",ROUND(DO15*DP45/ОКРУГЛЕННЯ,0)*ОКРУГЛЕННЯ)</f>
        <v/>
      </c>
      <c r="DQ15" s="42"/>
      <c r="DR15" s="45" t="str">
        <f aca="false">IF(OR(DQ15="",DR45=""),"",ROUND(DQ15*DR45/ОКРУГЛЕННЯ,0)*ОКРУГЛЕННЯ)</f>
        <v/>
      </c>
      <c r="DS15" s="42"/>
      <c r="DT15" s="45" t="str">
        <f aca="false">IF(OR(DS15="",DT45=""),"",ROUND(DS15*DT45/ОКРУГЛЕННЯ,0)*ОКРУГЛЕННЯ)</f>
        <v/>
      </c>
      <c r="DU15" s="42"/>
      <c r="DV15" s="45" t="str">
        <f aca="false">IF(OR(DU15="",DV45=""),"",ROUND(DU15*DV45/ОКРУГЛЕННЯ,0)*ОКРУГЛЕННЯ)</f>
        <v/>
      </c>
      <c r="DW15" s="42"/>
      <c r="DX15" s="45" t="str">
        <f aca="false">IF(OR(DW15="",DX45=""),"",ROUND(DW15*DX45/ОКРУГЛЕННЯ,0)*ОКРУГЛЕННЯ)</f>
        <v/>
      </c>
    </row>
    <row r="16" customFormat="false" ht="15" hidden="false" customHeight="false" outlineLevel="0" collapsed="false">
      <c r="A16" s="4" t="s">
        <v>100</v>
      </c>
      <c r="B16" s="31"/>
      <c r="C16" s="31"/>
      <c r="D16" s="41" t="s">
        <v>70</v>
      </c>
      <c r="E16" s="4"/>
      <c r="F16" s="4" t="s">
        <v>101</v>
      </c>
      <c r="G16" s="44" t="n">
        <v>0.2</v>
      </c>
    </row>
    <row r="17" customFormat="false" ht="15" hidden="false" customHeight="false" outlineLevel="0" collapsed="false">
      <c r="A17" s="4" t="s">
        <v>102</v>
      </c>
      <c r="B17" s="31"/>
      <c r="C17" s="31"/>
      <c r="D17" s="41" t="s">
        <v>70</v>
      </c>
      <c r="E17" s="4"/>
      <c r="F17" s="4" t="s">
        <v>103</v>
      </c>
      <c r="G17" s="44" t="n">
        <v>0.15</v>
      </c>
      <c r="H17" s="39" t="s">
        <v>104</v>
      </c>
    </row>
    <row r="18" customFormat="false" ht="15" hidden="false" customHeight="false" outlineLevel="0" collapsed="false">
      <c r="A18" s="4" t="s">
        <v>105</v>
      </c>
      <c r="B18" s="31"/>
      <c r="C18" s="31"/>
      <c r="D18" s="41" t="s">
        <v>70</v>
      </c>
      <c r="E18" s="4"/>
      <c r="F18" s="4" t="s">
        <v>106</v>
      </c>
      <c r="G18" s="44" t="n">
        <v>0.3</v>
      </c>
      <c r="H18" s="11" t="s">
        <v>107</v>
      </c>
      <c r="I18" s="11" t="s">
        <v>108</v>
      </c>
      <c r="J18" s="11" t="s">
        <v>109</v>
      </c>
      <c r="K18" s="11" t="s">
        <v>108</v>
      </c>
      <c r="L18" s="11" t="s">
        <v>109</v>
      </c>
      <c r="M18" s="11" t="s">
        <v>108</v>
      </c>
      <c r="N18" s="11" t="s">
        <v>109</v>
      </c>
      <c r="O18" s="11" t="s">
        <v>108</v>
      </c>
      <c r="P18" s="11" t="s">
        <v>109</v>
      </c>
      <c r="Q18" s="11" t="s">
        <v>108</v>
      </c>
      <c r="R18" s="11" t="s">
        <v>109</v>
      </c>
      <c r="S18" s="11" t="s">
        <v>108</v>
      </c>
      <c r="T18" s="11" t="s">
        <v>109</v>
      </c>
      <c r="U18" s="11" t="s">
        <v>108</v>
      </c>
      <c r="V18" s="11" t="s">
        <v>109</v>
      </c>
      <c r="W18" s="11" t="s">
        <v>108</v>
      </c>
      <c r="X18" s="11" t="s">
        <v>109</v>
      </c>
      <c r="Y18" s="11" t="s">
        <v>108</v>
      </c>
      <c r="Z18" s="11" t="s">
        <v>109</v>
      </c>
      <c r="AA18" s="11" t="s">
        <v>108</v>
      </c>
      <c r="AB18" s="11" t="s">
        <v>109</v>
      </c>
      <c r="AC18" s="11" t="s">
        <v>108</v>
      </c>
      <c r="AD18" s="11" t="s">
        <v>109</v>
      </c>
      <c r="AE18" s="11" t="s">
        <v>108</v>
      </c>
      <c r="AF18" s="11" t="s">
        <v>109</v>
      </c>
      <c r="AG18" s="11" t="s">
        <v>108</v>
      </c>
      <c r="AH18" s="11" t="s">
        <v>109</v>
      </c>
      <c r="AI18" s="11" t="s">
        <v>108</v>
      </c>
      <c r="AJ18" s="11" t="s">
        <v>109</v>
      </c>
      <c r="AK18" s="11" t="s">
        <v>108</v>
      </c>
      <c r="AL18" s="11" t="s">
        <v>109</v>
      </c>
      <c r="AM18" s="11" t="s">
        <v>108</v>
      </c>
      <c r="AN18" s="11" t="s">
        <v>109</v>
      </c>
      <c r="AO18" s="11" t="s">
        <v>108</v>
      </c>
      <c r="AP18" s="11" t="s">
        <v>109</v>
      </c>
      <c r="AQ18" s="11" t="s">
        <v>108</v>
      </c>
      <c r="AR18" s="11" t="s">
        <v>109</v>
      </c>
      <c r="AS18" s="11" t="s">
        <v>108</v>
      </c>
      <c r="AT18" s="11" t="s">
        <v>109</v>
      </c>
      <c r="AU18" s="11" t="s">
        <v>108</v>
      </c>
      <c r="AV18" s="11" t="s">
        <v>109</v>
      </c>
      <c r="AW18" s="11" t="s">
        <v>108</v>
      </c>
      <c r="AX18" s="11" t="s">
        <v>109</v>
      </c>
      <c r="AY18" s="11" t="s">
        <v>108</v>
      </c>
      <c r="AZ18" s="11" t="s">
        <v>109</v>
      </c>
      <c r="BA18" s="11" t="s">
        <v>108</v>
      </c>
      <c r="BB18" s="11" t="s">
        <v>109</v>
      </c>
      <c r="BC18" s="11" t="s">
        <v>108</v>
      </c>
      <c r="BD18" s="11" t="s">
        <v>109</v>
      </c>
      <c r="BE18" s="11" t="s">
        <v>108</v>
      </c>
      <c r="BF18" s="11" t="s">
        <v>109</v>
      </c>
      <c r="BG18" s="11" t="s">
        <v>108</v>
      </c>
      <c r="BH18" s="11" t="s">
        <v>109</v>
      </c>
      <c r="BI18" s="11" t="s">
        <v>108</v>
      </c>
      <c r="BJ18" s="11" t="s">
        <v>109</v>
      </c>
      <c r="BK18" s="11" t="s">
        <v>108</v>
      </c>
      <c r="BL18" s="11" t="s">
        <v>109</v>
      </c>
      <c r="BM18" s="11" t="s">
        <v>108</v>
      </c>
      <c r="BN18" s="11" t="s">
        <v>109</v>
      </c>
      <c r="BO18" s="11" t="s">
        <v>108</v>
      </c>
      <c r="BP18" s="11" t="s">
        <v>109</v>
      </c>
      <c r="BQ18" s="11" t="s">
        <v>108</v>
      </c>
      <c r="BR18" s="11" t="s">
        <v>109</v>
      </c>
      <c r="BS18" s="11" t="s">
        <v>108</v>
      </c>
      <c r="BT18" s="11" t="s">
        <v>109</v>
      </c>
      <c r="BU18" s="11" t="s">
        <v>108</v>
      </c>
      <c r="BV18" s="11" t="s">
        <v>109</v>
      </c>
      <c r="BW18" s="11" t="s">
        <v>108</v>
      </c>
      <c r="BX18" s="11" t="s">
        <v>109</v>
      </c>
      <c r="BY18" s="11" t="s">
        <v>108</v>
      </c>
      <c r="BZ18" s="11" t="s">
        <v>109</v>
      </c>
      <c r="CA18" s="11" t="s">
        <v>108</v>
      </c>
      <c r="CB18" s="11" t="s">
        <v>109</v>
      </c>
      <c r="CC18" s="11" t="s">
        <v>108</v>
      </c>
      <c r="CD18" s="11" t="s">
        <v>109</v>
      </c>
      <c r="CE18" s="11" t="s">
        <v>108</v>
      </c>
      <c r="CF18" s="11" t="s">
        <v>109</v>
      </c>
      <c r="CG18" s="11" t="s">
        <v>108</v>
      </c>
      <c r="CH18" s="11" t="s">
        <v>109</v>
      </c>
      <c r="CI18" s="11" t="s">
        <v>108</v>
      </c>
      <c r="CJ18" s="11" t="s">
        <v>109</v>
      </c>
      <c r="CK18" s="11" t="s">
        <v>108</v>
      </c>
      <c r="CL18" s="11" t="s">
        <v>109</v>
      </c>
      <c r="CM18" s="11" t="s">
        <v>108</v>
      </c>
      <c r="CN18" s="11" t="s">
        <v>109</v>
      </c>
      <c r="CO18" s="11" t="s">
        <v>108</v>
      </c>
      <c r="CP18" s="11" t="s">
        <v>109</v>
      </c>
      <c r="CQ18" s="11" t="s">
        <v>108</v>
      </c>
      <c r="CR18" s="11" t="s">
        <v>109</v>
      </c>
      <c r="CS18" s="11" t="s">
        <v>108</v>
      </c>
      <c r="CT18" s="11" t="s">
        <v>109</v>
      </c>
      <c r="CU18" s="11" t="s">
        <v>108</v>
      </c>
      <c r="CV18" s="11" t="s">
        <v>109</v>
      </c>
      <c r="CW18" s="11" t="s">
        <v>108</v>
      </c>
      <c r="CX18" s="11" t="s">
        <v>109</v>
      </c>
      <c r="CY18" s="11" t="s">
        <v>108</v>
      </c>
      <c r="CZ18" s="11" t="s">
        <v>109</v>
      </c>
      <c r="DA18" s="11" t="s">
        <v>108</v>
      </c>
      <c r="DB18" s="11" t="s">
        <v>109</v>
      </c>
      <c r="DC18" s="11" t="s">
        <v>108</v>
      </c>
      <c r="DD18" s="11" t="s">
        <v>109</v>
      </c>
      <c r="DE18" s="11" t="s">
        <v>108</v>
      </c>
      <c r="DF18" s="11" t="s">
        <v>109</v>
      </c>
      <c r="DG18" s="11" t="s">
        <v>108</v>
      </c>
      <c r="DH18" s="11" t="s">
        <v>109</v>
      </c>
      <c r="DI18" s="11" t="s">
        <v>108</v>
      </c>
      <c r="DJ18" s="11" t="s">
        <v>109</v>
      </c>
      <c r="DK18" s="11" t="s">
        <v>108</v>
      </c>
      <c r="DL18" s="11" t="s">
        <v>109</v>
      </c>
      <c r="DM18" s="11" t="s">
        <v>108</v>
      </c>
      <c r="DN18" s="11" t="s">
        <v>109</v>
      </c>
      <c r="DO18" s="11" t="s">
        <v>108</v>
      </c>
      <c r="DP18" s="11" t="s">
        <v>109</v>
      </c>
      <c r="DQ18" s="11" t="s">
        <v>108</v>
      </c>
      <c r="DR18" s="11" t="s">
        <v>109</v>
      </c>
      <c r="DS18" s="11" t="s">
        <v>108</v>
      </c>
      <c r="DT18" s="11" t="s">
        <v>109</v>
      </c>
      <c r="DU18" s="11" t="s">
        <v>108</v>
      </c>
      <c r="DV18" s="11" t="s">
        <v>109</v>
      </c>
      <c r="DW18" s="11" t="s">
        <v>108</v>
      </c>
      <c r="DX18" s="11" t="s">
        <v>109</v>
      </c>
    </row>
    <row r="19" customFormat="false" ht="15" hidden="false" customHeight="false" outlineLevel="0" collapsed="false">
      <c r="A19" s="4" t="s">
        <v>110</v>
      </c>
      <c r="B19" s="31"/>
      <c r="C19" s="31"/>
      <c r="D19" s="41" t="s">
        <v>70</v>
      </c>
      <c r="E19" s="4"/>
      <c r="F19" s="4" t="s">
        <v>111</v>
      </c>
      <c r="G19" s="44" t="n">
        <v>0.7</v>
      </c>
      <c r="H19" s="46" t="s">
        <v>112</v>
      </c>
      <c r="I19" s="45" t="n">
        <f aca="false">IF(OR(I13="",I12=""),"",I13-I12)</f>
        <v>1570</v>
      </c>
      <c r="J19" s="47" t="n">
        <f aca="false">IF(OR(I13="",I12="",I12=0),"",I13/I12-1)</f>
        <v>0.283905967450271</v>
      </c>
      <c r="K19" s="45" t="n">
        <f aca="false">IF(OR(K13="",K12=""),"",K13-K12)</f>
        <v>2260</v>
      </c>
      <c r="L19" s="47" t="n">
        <f aca="false">IF(OR(K13="",K12="",K12=0),"",K13/K12-1)</f>
        <v>0.316526610644258</v>
      </c>
      <c r="M19" s="45" t="n">
        <f aca="false">IF(OR(M13="",M12=""),"",M13-M12)</f>
        <v>1582</v>
      </c>
      <c r="N19" s="47" t="n">
        <f aca="false">IF(OR(M13="",M12="",M12=0),"",M13/M12-1)</f>
        <v>0.316526610644258</v>
      </c>
      <c r="O19" s="45" t="n">
        <f aca="false">IF(OR(O13="",O12=""),"",O13-O12)</f>
        <v>1695</v>
      </c>
      <c r="P19" s="47" t="n">
        <f aca="false">IF(OR(O13="",O12="",O12=0),"",O13/O12-1)</f>
        <v>0.316526610644258</v>
      </c>
      <c r="Q19" s="45" t="n">
        <f aca="false">IF(OR(Q13="",Q12=""),"",Q13-Q12)</f>
        <v>1700</v>
      </c>
      <c r="R19" s="47" t="n">
        <f aca="false">IF(OR(Q13="",Q12="",Q12=0),"",Q13/Q12-1)</f>
        <v>0.314814814814815</v>
      </c>
      <c r="S19" s="45" t="str">
        <f aca="false">IF(OR(S13="",S12=""),"",S13-S12)</f>
        <v/>
      </c>
      <c r="T19" s="47" t="str">
        <f aca="false">IF(OR(S13="",S12="",S12=0),"",S13/S12-1)</f>
        <v/>
      </c>
      <c r="U19" s="45" t="n">
        <f aca="false">IF(OR(U13="",U12=""),"",U13-U12)</f>
        <v>1820</v>
      </c>
      <c r="V19" s="47" t="n">
        <f aca="false">IF(OR(U13="",U12="",U12=0),"",U13/U12-1)</f>
        <v>0.319298245614035</v>
      </c>
      <c r="W19" s="45" t="str">
        <f aca="false">IF(OR(W13="",W12=""),"",W13-W12)</f>
        <v/>
      </c>
      <c r="X19" s="47" t="str">
        <f aca="false">IF(OR(W13="",W12="",W12=0),"",W13/W12-1)</f>
        <v/>
      </c>
      <c r="Y19" s="45" t="str">
        <f aca="false">IF(OR(Y13="",Y12=""),"",Y13-Y12)</f>
        <v/>
      </c>
      <c r="Z19" s="47" t="str">
        <f aca="false">IF(OR(Y13="",Y12="",Y12=0),"",Y13/Y12-1)</f>
        <v/>
      </c>
      <c r="AA19" s="45" t="str">
        <f aca="false">IF(OR(AA13="",AA12=""),"",AA13-AA12)</f>
        <v/>
      </c>
      <c r="AB19" s="47" t="str">
        <f aca="false">IF(OR(AA13="",AA12="",AA12=0),"",AA13/AA12-1)</f>
        <v/>
      </c>
      <c r="AC19" s="45" t="str">
        <f aca="false">IF(OR(AC13="",AC12=""),"",AC13-AC12)</f>
        <v/>
      </c>
      <c r="AD19" s="47" t="str">
        <f aca="false">IF(OR(AC13="",AC12="",AC12=0),"",AC13/AC12-1)</f>
        <v/>
      </c>
      <c r="AE19" s="45" t="str">
        <f aca="false">IF(OR(AE13="",AE12=""),"",AE13-AE12)</f>
        <v/>
      </c>
      <c r="AF19" s="47" t="str">
        <f aca="false">IF(OR(AE13="",AE12="",AE12=0),"",AE13/AE12-1)</f>
        <v/>
      </c>
      <c r="AG19" s="45" t="str">
        <f aca="false">IF(OR(AG13="",AG12=""),"",AG13-AG12)</f>
        <v/>
      </c>
      <c r="AH19" s="47" t="str">
        <f aca="false">IF(OR(AG13="",AG12="",AG12=0),"",AG13/AG12-1)</f>
        <v/>
      </c>
      <c r="AI19" s="45" t="str">
        <f aca="false">IF(OR(AI13="",AI12=""),"",AI13-AI12)</f>
        <v/>
      </c>
      <c r="AJ19" s="47" t="str">
        <f aca="false">IF(OR(AI13="",AI12="",AI12=0),"",AI13/AI12-1)</f>
        <v/>
      </c>
      <c r="AK19" s="45" t="str">
        <f aca="false">IF(OR(AK13="",AK12=""),"",AK13-AK12)</f>
        <v/>
      </c>
      <c r="AL19" s="47" t="str">
        <f aca="false">IF(OR(AK13="",AK12="",AK12=0),"",AK13/AK12-1)</f>
        <v/>
      </c>
      <c r="AM19" s="45" t="str">
        <f aca="false">IF(OR(AM13="",AM12=""),"",AM13-AM12)</f>
        <v/>
      </c>
      <c r="AN19" s="47" t="str">
        <f aca="false">IF(OR(AM13="",AM12="",AM12=0),"",AM13/AM12-1)</f>
        <v/>
      </c>
      <c r="AO19" s="45" t="str">
        <f aca="false">IF(OR(AO13="",AO12=""),"",AO13-AO12)</f>
        <v/>
      </c>
      <c r="AP19" s="47" t="str">
        <f aca="false">IF(OR(AO13="",AO12="",AO12=0),"",AO13/AO12-1)</f>
        <v/>
      </c>
      <c r="AQ19" s="45" t="str">
        <f aca="false">IF(OR(AQ13="",AQ12=""),"",AQ13-AQ12)</f>
        <v/>
      </c>
      <c r="AR19" s="47" t="str">
        <f aca="false">IF(OR(AQ13="",AQ12="",AQ12=0),"",AQ13/AQ12-1)</f>
        <v/>
      </c>
      <c r="AS19" s="45" t="str">
        <f aca="false">IF(OR(AS13="",AS12=""),"",AS13-AS12)</f>
        <v/>
      </c>
      <c r="AT19" s="47" t="str">
        <f aca="false">IF(OR(AS13="",AS12="",AS12=0),"",AS13/AS12-1)</f>
        <v/>
      </c>
      <c r="AU19" s="45" t="str">
        <f aca="false">IF(OR(AU13="",AU12=""),"",AU13-AU12)</f>
        <v/>
      </c>
      <c r="AV19" s="47" t="str">
        <f aca="false">IF(OR(AU13="",AU12="",AU12=0),"",AU13/AU12-1)</f>
        <v/>
      </c>
      <c r="AW19" s="45" t="str">
        <f aca="false">IF(OR(AW13="",AW12=""),"",AW13-AW12)</f>
        <v/>
      </c>
      <c r="AX19" s="47" t="str">
        <f aca="false">IF(OR(AW13="",AW12="",AW12=0),"",AW13/AW12-1)</f>
        <v/>
      </c>
      <c r="AY19" s="45" t="str">
        <f aca="false">IF(OR(AY13="",AY12=""),"",AY13-AY12)</f>
        <v/>
      </c>
      <c r="AZ19" s="47" t="str">
        <f aca="false">IF(OR(AY13="",AY12="",AY12=0),"",AY13/AY12-1)</f>
        <v/>
      </c>
      <c r="BA19" s="45" t="str">
        <f aca="false">IF(OR(BA13="",BA12=""),"",BA13-BA12)</f>
        <v/>
      </c>
      <c r="BB19" s="47" t="str">
        <f aca="false">IF(OR(BA13="",BA12="",BA12=0),"",BA13/BA12-1)</f>
        <v/>
      </c>
      <c r="BC19" s="45" t="str">
        <f aca="false">IF(OR(BC13="",BC12=""),"",BC13-BC12)</f>
        <v/>
      </c>
      <c r="BD19" s="47" t="str">
        <f aca="false">IF(OR(BC13="",BC12="",BC12=0),"",BC13/BC12-1)</f>
        <v/>
      </c>
      <c r="BE19" s="45" t="str">
        <f aca="false">IF(OR(BE13="",BE12=""),"",BE13-BE12)</f>
        <v/>
      </c>
      <c r="BF19" s="47" t="str">
        <f aca="false">IF(OR(BE13="",BE12="",BE12=0),"",BE13/BE12-1)</f>
        <v/>
      </c>
      <c r="BG19" s="45" t="str">
        <f aca="false">IF(OR(BG13="",BG12=""),"",BG13-BG12)</f>
        <v/>
      </c>
      <c r="BH19" s="47" t="str">
        <f aca="false">IF(OR(BG13="",BG12="",BG12=0),"",BG13/BG12-1)</f>
        <v/>
      </c>
      <c r="BI19" s="45" t="str">
        <f aca="false">IF(OR(BI13="",BI12=""),"",BI13-BI12)</f>
        <v/>
      </c>
      <c r="BJ19" s="47" t="str">
        <f aca="false">IF(OR(BI13="",BI12="",BI12=0),"",BI13/BI12-1)</f>
        <v/>
      </c>
      <c r="BK19" s="45" t="str">
        <f aca="false">IF(OR(BK13="",BK12=""),"",BK13-BK12)</f>
        <v/>
      </c>
      <c r="BL19" s="47" t="str">
        <f aca="false">IF(OR(BK13="",BK12="",BK12=0),"",BK13/BK12-1)</f>
        <v/>
      </c>
      <c r="BM19" s="45" t="str">
        <f aca="false">IF(OR(BM13="",BM12=""),"",BM13-BM12)</f>
        <v/>
      </c>
      <c r="BN19" s="47" t="str">
        <f aca="false">IF(OR(BM13="",BM12="",BM12=0),"",BM13/BM12-1)</f>
        <v/>
      </c>
      <c r="BO19" s="45" t="str">
        <f aca="false">IF(OR(BO13="",BO12=""),"",BO13-BO12)</f>
        <v/>
      </c>
      <c r="BP19" s="47" t="str">
        <f aca="false">IF(OR(BO13="",BO12="",BO12=0),"",BO13/BO12-1)</f>
        <v/>
      </c>
      <c r="BQ19" s="45" t="str">
        <f aca="false">IF(OR(BQ13="",BQ12=""),"",BQ13-BQ12)</f>
        <v/>
      </c>
      <c r="BR19" s="47" t="str">
        <f aca="false">IF(OR(BQ13="",BQ12="",BQ12=0),"",BQ13/BQ12-1)</f>
        <v/>
      </c>
      <c r="BS19" s="45" t="str">
        <f aca="false">IF(OR(BS13="",BS12=""),"",BS13-BS12)</f>
        <v/>
      </c>
      <c r="BT19" s="47" t="str">
        <f aca="false">IF(OR(BS13="",BS12="",BS12=0),"",BS13/BS12-1)</f>
        <v/>
      </c>
      <c r="BU19" s="45" t="str">
        <f aca="false">IF(OR(BU13="",BU12=""),"",BU13-BU12)</f>
        <v/>
      </c>
      <c r="BV19" s="47" t="str">
        <f aca="false">IF(OR(BU13="",BU12="",BU12=0),"",BU13/BU12-1)</f>
        <v/>
      </c>
      <c r="BW19" s="45" t="str">
        <f aca="false">IF(OR(BW13="",BW12=""),"",BW13-BW12)</f>
        <v/>
      </c>
      <c r="BX19" s="47" t="str">
        <f aca="false">IF(OR(BW13="",BW12="",BW12=0),"",BW13/BW12-1)</f>
        <v/>
      </c>
      <c r="BY19" s="45" t="str">
        <f aca="false">IF(OR(BY13="",BY12=""),"",BY13-BY12)</f>
        <v/>
      </c>
      <c r="BZ19" s="47" t="str">
        <f aca="false">IF(OR(BY13="",BY12="",BY12=0),"",BY13/BY12-1)</f>
        <v/>
      </c>
      <c r="CA19" s="45" t="str">
        <f aca="false">IF(OR(CA13="",CA12=""),"",CA13-CA12)</f>
        <v/>
      </c>
      <c r="CB19" s="47" t="str">
        <f aca="false">IF(OR(CA13="",CA12="",CA12=0),"",CA13/CA12-1)</f>
        <v/>
      </c>
      <c r="CC19" s="45" t="str">
        <f aca="false">IF(OR(CC13="",CC12=""),"",CC13-CC12)</f>
        <v/>
      </c>
      <c r="CD19" s="47" t="str">
        <f aca="false">IF(OR(CC13="",CC12="",CC12=0),"",CC13/CC12-1)</f>
        <v/>
      </c>
      <c r="CE19" s="45" t="str">
        <f aca="false">IF(OR(CE13="",CE12=""),"",CE13-CE12)</f>
        <v/>
      </c>
      <c r="CF19" s="47" t="str">
        <f aca="false">IF(OR(CE13="",CE12="",CE12=0),"",CE13/CE12-1)</f>
        <v/>
      </c>
      <c r="CG19" s="45" t="str">
        <f aca="false">IF(OR(CG13="",CG12=""),"",CG13-CG12)</f>
        <v/>
      </c>
      <c r="CH19" s="47" t="str">
        <f aca="false">IF(OR(CG13="",CG12="",CG12=0),"",CG13/CG12-1)</f>
        <v/>
      </c>
      <c r="CI19" s="45" t="str">
        <f aca="false">IF(OR(CI13="",CI12=""),"",CI13-CI12)</f>
        <v/>
      </c>
      <c r="CJ19" s="47" t="str">
        <f aca="false">IF(OR(CI13="",CI12="",CI12=0),"",CI13/CI12-1)</f>
        <v/>
      </c>
      <c r="CK19" s="45" t="str">
        <f aca="false">IF(OR(CK13="",CK12=""),"",CK13-CK12)</f>
        <v/>
      </c>
      <c r="CL19" s="47" t="str">
        <f aca="false">IF(OR(CK13="",CK12="",CK12=0),"",CK13/CK12-1)</f>
        <v/>
      </c>
      <c r="CM19" s="45" t="str">
        <f aca="false">IF(OR(CM13="",CM12=""),"",CM13-CM12)</f>
        <v/>
      </c>
      <c r="CN19" s="47" t="str">
        <f aca="false">IF(OR(CM13="",CM12="",CM12=0),"",CM13/CM12-1)</f>
        <v/>
      </c>
      <c r="CO19" s="45" t="str">
        <f aca="false">IF(OR(CO13="",CO12=""),"",CO13-CO12)</f>
        <v/>
      </c>
      <c r="CP19" s="47" t="str">
        <f aca="false">IF(OR(CO13="",CO12="",CO12=0),"",CO13/CO12-1)</f>
        <v/>
      </c>
      <c r="CQ19" s="45" t="str">
        <f aca="false">IF(OR(CQ13="",CQ12=""),"",CQ13-CQ12)</f>
        <v/>
      </c>
      <c r="CR19" s="47" t="str">
        <f aca="false">IF(OR(CQ13="",CQ12="",CQ12=0),"",CQ13/CQ12-1)</f>
        <v/>
      </c>
      <c r="CS19" s="45" t="str">
        <f aca="false">IF(OR(CS13="",CS12=""),"",CS13-CS12)</f>
        <v/>
      </c>
      <c r="CT19" s="47" t="str">
        <f aca="false">IF(OR(CS13="",CS12="",CS12=0),"",CS13/CS12-1)</f>
        <v/>
      </c>
      <c r="CU19" s="45" t="str">
        <f aca="false">IF(OR(CU13="",CU12=""),"",CU13-CU12)</f>
        <v/>
      </c>
      <c r="CV19" s="47" t="str">
        <f aca="false">IF(OR(CU13="",CU12="",CU12=0),"",CU13/CU12-1)</f>
        <v/>
      </c>
      <c r="CW19" s="45" t="str">
        <f aca="false">IF(OR(CW13="",CW12=""),"",CW13-CW12)</f>
        <v/>
      </c>
      <c r="CX19" s="47" t="str">
        <f aca="false">IF(OR(CW13="",CW12="",CW12=0),"",CW13/CW12-1)</f>
        <v/>
      </c>
      <c r="CY19" s="45" t="str">
        <f aca="false">IF(OR(CY13="",CY12=""),"",CY13-CY12)</f>
        <v/>
      </c>
      <c r="CZ19" s="47" t="str">
        <f aca="false">IF(OR(CY13="",CY12="",CY12=0),"",CY13/CY12-1)</f>
        <v/>
      </c>
      <c r="DA19" s="45" t="str">
        <f aca="false">IF(OR(DA13="",DA12=""),"",DA13-DA12)</f>
        <v/>
      </c>
      <c r="DB19" s="47" t="str">
        <f aca="false">IF(OR(DA13="",DA12="",DA12=0),"",DA13/DA12-1)</f>
        <v/>
      </c>
      <c r="DC19" s="45" t="str">
        <f aca="false">IF(OR(DC13="",DC12=""),"",DC13-DC12)</f>
        <v/>
      </c>
      <c r="DD19" s="47" t="str">
        <f aca="false">IF(OR(DC13="",DC12="",DC12=0),"",DC13/DC12-1)</f>
        <v/>
      </c>
      <c r="DE19" s="45" t="str">
        <f aca="false">IF(OR(DE13="",DE12=""),"",DE13-DE12)</f>
        <v/>
      </c>
      <c r="DF19" s="47" t="str">
        <f aca="false">IF(OR(DE13="",DE12="",DE12=0),"",DE13/DE12-1)</f>
        <v/>
      </c>
      <c r="DG19" s="45" t="str">
        <f aca="false">IF(OR(DG13="",DG12=""),"",DG13-DG12)</f>
        <v/>
      </c>
      <c r="DH19" s="47" t="str">
        <f aca="false">IF(OR(DG13="",DG12="",DG12=0),"",DG13/DG12-1)</f>
        <v/>
      </c>
      <c r="DI19" s="45" t="str">
        <f aca="false">IF(OR(DI13="",DI12=""),"",DI13-DI12)</f>
        <v/>
      </c>
      <c r="DJ19" s="47" t="str">
        <f aca="false">IF(OR(DI13="",DI12="",DI12=0),"",DI13/DI12-1)</f>
        <v/>
      </c>
      <c r="DK19" s="45" t="str">
        <f aca="false">IF(OR(DK13="",DK12=""),"",DK13-DK12)</f>
        <v/>
      </c>
      <c r="DL19" s="47" t="str">
        <f aca="false">IF(OR(DK13="",DK12="",DK12=0),"",DK13/DK12-1)</f>
        <v/>
      </c>
      <c r="DM19" s="45" t="str">
        <f aca="false">IF(OR(DM13="",DM12=""),"",DM13-DM12)</f>
        <v/>
      </c>
      <c r="DN19" s="47" t="str">
        <f aca="false">IF(OR(DM13="",DM12="",DM12=0),"",DM13/DM12-1)</f>
        <v/>
      </c>
      <c r="DO19" s="45" t="str">
        <f aca="false">IF(OR(DO13="",DO12=""),"",DO13-DO12)</f>
        <v/>
      </c>
      <c r="DP19" s="47" t="str">
        <f aca="false">IF(OR(DO13="",DO12="",DO12=0),"",DO13/DO12-1)</f>
        <v/>
      </c>
      <c r="DQ19" s="45" t="str">
        <f aca="false">IF(OR(DQ13="",DQ12=""),"",DQ13-DQ12)</f>
        <v/>
      </c>
      <c r="DR19" s="47" t="str">
        <f aca="false">IF(OR(DQ13="",DQ12="",DQ12=0),"",DQ13/DQ12-1)</f>
        <v/>
      </c>
      <c r="DS19" s="45" t="str">
        <f aca="false">IF(OR(DS13="",DS12=""),"",DS13-DS12)</f>
        <v/>
      </c>
      <c r="DT19" s="47" t="str">
        <f aca="false">IF(OR(DS13="",DS12="",DS12=0),"",DS13/DS12-1)</f>
        <v/>
      </c>
      <c r="DU19" s="45" t="str">
        <f aca="false">IF(OR(DU13="",DU12=""),"",DU13-DU12)</f>
        <v/>
      </c>
      <c r="DV19" s="47" t="str">
        <f aca="false">IF(OR(DU13="",DU12="",DU12=0),"",DU13/DU12-1)</f>
        <v/>
      </c>
      <c r="DW19" s="45" t="str">
        <f aca="false">IF(OR(DW13="",DW12=""),"",DW13-DW12)</f>
        <v/>
      </c>
      <c r="DX19" s="47" t="str">
        <f aca="false">IF(OR(DW13="",DW12="",DW12=0),"",DW13/DW12-1)</f>
        <v/>
      </c>
    </row>
    <row r="20" customFormat="false" ht="15" hidden="false" customHeight="false" outlineLevel="0" collapsed="false">
      <c r="A20" s="4"/>
      <c r="B20" s="31"/>
      <c r="C20" s="31"/>
      <c r="D20" s="41"/>
      <c r="E20" s="4"/>
      <c r="F20" s="4"/>
      <c r="G20" s="44"/>
      <c r="H20" s="46" t="s">
        <v>113</v>
      </c>
      <c r="I20" s="45" t="n">
        <f aca="false">IF(OR(I14="",I12=""),"",I14-I12)</f>
        <v>-2630</v>
      </c>
      <c r="J20" s="47" t="n">
        <f aca="false">IF(OR(I14="",I12="",I12=0),"",I14/I12-1)</f>
        <v>-0.475587703435805</v>
      </c>
      <c r="K20" s="45" t="n">
        <f aca="false">IF(OR(K14="",K12=""),"",K14-K12)</f>
        <v>-3755</v>
      </c>
      <c r="L20" s="47" t="n">
        <f aca="false">IF(OR(K14="",K12="",K12=0),"",K14/K12-1)</f>
        <v>-0.525910364145658</v>
      </c>
      <c r="M20" s="45" t="n">
        <f aca="false">IF(OR(M14="",M12=""),"",M14-M12)</f>
        <v>-2628</v>
      </c>
      <c r="N20" s="47" t="n">
        <f aca="false">IF(OR(M14="",M12="",M12=0),"",M14/M12-1)</f>
        <v>-0.525810324129652</v>
      </c>
      <c r="O20" s="45" t="n">
        <f aca="false">IF(OR(O14="",O12=""),"",O14-O12)</f>
        <v>-2816</v>
      </c>
      <c r="P20" s="47" t="n">
        <f aca="false">IF(OR(O14="",O12="",O12=0),"",O14/O12-1)</f>
        <v>-0.525863678804855</v>
      </c>
      <c r="Q20" s="45" t="n">
        <f aca="false">IF(OR(Q14="",Q12=""),"",Q14-Q12)</f>
        <v>-2800</v>
      </c>
      <c r="R20" s="47" t="n">
        <f aca="false">IF(OR(Q14="",Q12="",Q12=0),"",Q14/Q12-1)</f>
        <v>-0.518518518518519</v>
      </c>
      <c r="S20" s="45" t="str">
        <f aca="false">IF(OR(S14="",S12=""),"",S14-S12)</f>
        <v/>
      </c>
      <c r="T20" s="47" t="str">
        <f aca="false">IF(OR(S14="",S12="",S12=0),"",S14/S12-1)</f>
        <v/>
      </c>
      <c r="U20" s="45" t="n">
        <f aca="false">IF(OR(U14="",U12=""),"",U14-U12)</f>
        <v>-3000</v>
      </c>
      <c r="V20" s="47" t="n">
        <f aca="false">IF(OR(U14="",U12="",U12=0),"",U14/U12-1)</f>
        <v>-0.526315789473684</v>
      </c>
      <c r="W20" s="45" t="str">
        <f aca="false">IF(OR(W14="",W12=""),"",W14-W12)</f>
        <v/>
      </c>
      <c r="X20" s="47" t="str">
        <f aca="false">IF(OR(W14="",W12="",W12=0),"",W14/W12-1)</f>
        <v/>
      </c>
      <c r="Y20" s="45" t="str">
        <f aca="false">IF(OR(Y14="",Y12=""),"",Y14-Y12)</f>
        <v/>
      </c>
      <c r="Z20" s="47" t="str">
        <f aca="false">IF(OR(Y14="",Y12="",Y12=0),"",Y14/Y12-1)</f>
        <v/>
      </c>
      <c r="AA20" s="45" t="str">
        <f aca="false">IF(OR(AA14="",AA12=""),"",AA14-AA12)</f>
        <v/>
      </c>
      <c r="AB20" s="47" t="str">
        <f aca="false">IF(OR(AA14="",AA12="",AA12=0),"",AA14/AA12-1)</f>
        <v/>
      </c>
      <c r="AC20" s="45" t="str">
        <f aca="false">IF(OR(AC14="",AC12=""),"",AC14-AC12)</f>
        <v/>
      </c>
      <c r="AD20" s="47" t="str">
        <f aca="false">IF(OR(AC14="",AC12="",AC12=0),"",AC14/AC12-1)</f>
        <v/>
      </c>
      <c r="AE20" s="45" t="str">
        <f aca="false">IF(OR(AE14="",AE12=""),"",AE14-AE12)</f>
        <v/>
      </c>
      <c r="AF20" s="47" t="str">
        <f aca="false">IF(OR(AE14="",AE12="",AE12=0),"",AE14/AE12-1)</f>
        <v/>
      </c>
      <c r="AG20" s="45" t="str">
        <f aca="false">IF(OR(AG14="",AG12=""),"",AG14-AG12)</f>
        <v/>
      </c>
      <c r="AH20" s="47" t="str">
        <f aca="false">IF(OR(AG14="",AG12="",AG12=0),"",AG14/AG12-1)</f>
        <v/>
      </c>
      <c r="AI20" s="45" t="str">
        <f aca="false">IF(OR(AI14="",AI12=""),"",AI14-AI12)</f>
        <v/>
      </c>
      <c r="AJ20" s="47" t="str">
        <f aca="false">IF(OR(AI14="",AI12="",AI12=0),"",AI14/AI12-1)</f>
        <v/>
      </c>
      <c r="AK20" s="45" t="str">
        <f aca="false">IF(OR(AK14="",AK12=""),"",AK14-AK12)</f>
        <v/>
      </c>
      <c r="AL20" s="47" t="str">
        <f aca="false">IF(OR(AK14="",AK12="",AK12=0),"",AK14/AK12-1)</f>
        <v/>
      </c>
      <c r="AM20" s="45" t="str">
        <f aca="false">IF(OR(AM14="",AM12=""),"",AM14-AM12)</f>
        <v/>
      </c>
      <c r="AN20" s="47" t="str">
        <f aca="false">IF(OR(AM14="",AM12="",AM12=0),"",AM14/AM12-1)</f>
        <v/>
      </c>
      <c r="AO20" s="45" t="str">
        <f aca="false">IF(OR(AO14="",AO12=""),"",AO14-AO12)</f>
        <v/>
      </c>
      <c r="AP20" s="47" t="str">
        <f aca="false">IF(OR(AO14="",AO12="",AO12=0),"",AO14/AO12-1)</f>
        <v/>
      </c>
      <c r="AQ20" s="45" t="str">
        <f aca="false">IF(OR(AQ14="",AQ12=""),"",AQ14-AQ12)</f>
        <v/>
      </c>
      <c r="AR20" s="47" t="str">
        <f aca="false">IF(OR(AQ14="",AQ12="",AQ12=0),"",AQ14/AQ12-1)</f>
        <v/>
      </c>
      <c r="AS20" s="45" t="str">
        <f aca="false">IF(OR(AS14="",AS12=""),"",AS14-AS12)</f>
        <v/>
      </c>
      <c r="AT20" s="47" t="str">
        <f aca="false">IF(OR(AS14="",AS12="",AS12=0),"",AS14/AS12-1)</f>
        <v/>
      </c>
      <c r="AU20" s="45" t="str">
        <f aca="false">IF(OR(AU14="",AU12=""),"",AU14-AU12)</f>
        <v/>
      </c>
      <c r="AV20" s="47" t="str">
        <f aca="false">IF(OR(AU14="",AU12="",AU12=0),"",AU14/AU12-1)</f>
        <v/>
      </c>
      <c r="AW20" s="45" t="str">
        <f aca="false">IF(OR(AW14="",AW12=""),"",AW14-AW12)</f>
        <v/>
      </c>
      <c r="AX20" s="47" t="str">
        <f aca="false">IF(OR(AW14="",AW12="",AW12=0),"",AW14/AW12-1)</f>
        <v/>
      </c>
      <c r="AY20" s="45" t="str">
        <f aca="false">IF(OR(AY14="",AY12=""),"",AY14-AY12)</f>
        <v/>
      </c>
      <c r="AZ20" s="47" t="str">
        <f aca="false">IF(OR(AY14="",AY12="",AY12=0),"",AY14/AY12-1)</f>
        <v/>
      </c>
      <c r="BA20" s="45" t="str">
        <f aca="false">IF(OR(BA14="",BA12=""),"",BA14-BA12)</f>
        <v/>
      </c>
      <c r="BB20" s="47" t="str">
        <f aca="false">IF(OR(BA14="",BA12="",BA12=0),"",BA14/BA12-1)</f>
        <v/>
      </c>
      <c r="BC20" s="45" t="str">
        <f aca="false">IF(OR(BC14="",BC12=""),"",BC14-BC12)</f>
        <v/>
      </c>
      <c r="BD20" s="47" t="str">
        <f aca="false">IF(OR(BC14="",BC12="",BC12=0),"",BC14/BC12-1)</f>
        <v/>
      </c>
      <c r="BE20" s="45" t="str">
        <f aca="false">IF(OR(BE14="",BE12=""),"",BE14-BE12)</f>
        <v/>
      </c>
      <c r="BF20" s="47" t="str">
        <f aca="false">IF(OR(BE14="",BE12="",BE12=0),"",BE14/BE12-1)</f>
        <v/>
      </c>
      <c r="BG20" s="45" t="str">
        <f aca="false">IF(OR(BG14="",BG12=""),"",BG14-BG12)</f>
        <v/>
      </c>
      <c r="BH20" s="47" t="str">
        <f aca="false">IF(OR(BG14="",BG12="",BG12=0),"",BG14/BG12-1)</f>
        <v/>
      </c>
      <c r="BI20" s="45" t="str">
        <f aca="false">IF(OR(BI14="",BI12=""),"",BI14-BI12)</f>
        <v/>
      </c>
      <c r="BJ20" s="47" t="str">
        <f aca="false">IF(OR(BI14="",BI12="",BI12=0),"",BI14/BI12-1)</f>
        <v/>
      </c>
      <c r="BK20" s="45" t="str">
        <f aca="false">IF(OR(BK14="",BK12=""),"",BK14-BK12)</f>
        <v/>
      </c>
      <c r="BL20" s="47" t="str">
        <f aca="false">IF(OR(BK14="",BK12="",BK12=0),"",BK14/BK12-1)</f>
        <v/>
      </c>
      <c r="BM20" s="45" t="str">
        <f aca="false">IF(OR(BM14="",BM12=""),"",BM14-BM12)</f>
        <v/>
      </c>
      <c r="BN20" s="47" t="str">
        <f aca="false">IF(OR(BM14="",BM12="",BM12=0),"",BM14/BM12-1)</f>
        <v/>
      </c>
      <c r="BO20" s="45" t="str">
        <f aca="false">IF(OR(BO14="",BO12=""),"",BO14-BO12)</f>
        <v/>
      </c>
      <c r="BP20" s="47" t="str">
        <f aca="false">IF(OR(BO14="",BO12="",BO12=0),"",BO14/BO12-1)</f>
        <v/>
      </c>
      <c r="BQ20" s="45" t="str">
        <f aca="false">IF(OR(BQ14="",BQ12=""),"",BQ14-BQ12)</f>
        <v/>
      </c>
      <c r="BR20" s="47" t="str">
        <f aca="false">IF(OR(BQ14="",BQ12="",BQ12=0),"",BQ14/BQ12-1)</f>
        <v/>
      </c>
      <c r="BS20" s="45" t="str">
        <f aca="false">IF(OR(BS14="",BS12=""),"",BS14-BS12)</f>
        <v/>
      </c>
      <c r="BT20" s="47" t="str">
        <f aca="false">IF(OR(BS14="",BS12="",BS12=0),"",BS14/BS12-1)</f>
        <v/>
      </c>
      <c r="BU20" s="45" t="str">
        <f aca="false">IF(OR(BU14="",BU12=""),"",BU14-BU12)</f>
        <v/>
      </c>
      <c r="BV20" s="47" t="str">
        <f aca="false">IF(OR(BU14="",BU12="",BU12=0),"",BU14/BU12-1)</f>
        <v/>
      </c>
      <c r="BW20" s="45" t="str">
        <f aca="false">IF(OR(BW14="",BW12=""),"",BW14-BW12)</f>
        <v/>
      </c>
      <c r="BX20" s="47" t="str">
        <f aca="false">IF(OR(BW14="",BW12="",BW12=0),"",BW14/BW12-1)</f>
        <v/>
      </c>
      <c r="BY20" s="45" t="str">
        <f aca="false">IF(OR(BY14="",BY12=""),"",BY14-BY12)</f>
        <v/>
      </c>
      <c r="BZ20" s="47" t="str">
        <f aca="false">IF(OR(BY14="",BY12="",BY12=0),"",BY14/BY12-1)</f>
        <v/>
      </c>
      <c r="CA20" s="45" t="str">
        <f aca="false">IF(OR(CA14="",CA12=""),"",CA14-CA12)</f>
        <v/>
      </c>
      <c r="CB20" s="47" t="str">
        <f aca="false">IF(OR(CA14="",CA12="",CA12=0),"",CA14/CA12-1)</f>
        <v/>
      </c>
      <c r="CC20" s="45" t="str">
        <f aca="false">IF(OR(CC14="",CC12=""),"",CC14-CC12)</f>
        <v/>
      </c>
      <c r="CD20" s="47" t="str">
        <f aca="false">IF(OR(CC14="",CC12="",CC12=0),"",CC14/CC12-1)</f>
        <v/>
      </c>
      <c r="CE20" s="45" t="str">
        <f aca="false">IF(OR(CE14="",CE12=""),"",CE14-CE12)</f>
        <v/>
      </c>
      <c r="CF20" s="47" t="str">
        <f aca="false">IF(OR(CE14="",CE12="",CE12=0),"",CE14/CE12-1)</f>
        <v/>
      </c>
      <c r="CG20" s="45" t="str">
        <f aca="false">IF(OR(CG14="",CG12=""),"",CG14-CG12)</f>
        <v/>
      </c>
      <c r="CH20" s="47" t="str">
        <f aca="false">IF(OR(CG14="",CG12="",CG12=0),"",CG14/CG12-1)</f>
        <v/>
      </c>
      <c r="CI20" s="45" t="str">
        <f aca="false">IF(OR(CI14="",CI12=""),"",CI14-CI12)</f>
        <v/>
      </c>
      <c r="CJ20" s="47" t="str">
        <f aca="false">IF(OR(CI14="",CI12="",CI12=0),"",CI14/CI12-1)</f>
        <v/>
      </c>
      <c r="CK20" s="45" t="str">
        <f aca="false">IF(OR(CK14="",CK12=""),"",CK14-CK12)</f>
        <v/>
      </c>
      <c r="CL20" s="47" t="str">
        <f aca="false">IF(OR(CK14="",CK12="",CK12=0),"",CK14/CK12-1)</f>
        <v/>
      </c>
      <c r="CM20" s="45" t="str">
        <f aca="false">IF(OR(CM14="",CM12=""),"",CM14-CM12)</f>
        <v/>
      </c>
      <c r="CN20" s="47" t="str">
        <f aca="false">IF(OR(CM14="",CM12="",CM12=0),"",CM14/CM12-1)</f>
        <v/>
      </c>
      <c r="CO20" s="45" t="str">
        <f aca="false">IF(OR(CO14="",CO12=""),"",CO14-CO12)</f>
        <v/>
      </c>
      <c r="CP20" s="47" t="str">
        <f aca="false">IF(OR(CO14="",CO12="",CO12=0),"",CO14/CO12-1)</f>
        <v/>
      </c>
      <c r="CQ20" s="45" t="str">
        <f aca="false">IF(OR(CQ14="",CQ12=""),"",CQ14-CQ12)</f>
        <v/>
      </c>
      <c r="CR20" s="47" t="str">
        <f aca="false">IF(OR(CQ14="",CQ12="",CQ12=0),"",CQ14/CQ12-1)</f>
        <v/>
      </c>
      <c r="CS20" s="45" t="str">
        <f aca="false">IF(OR(CS14="",CS12=""),"",CS14-CS12)</f>
        <v/>
      </c>
      <c r="CT20" s="47" t="str">
        <f aca="false">IF(OR(CS14="",CS12="",CS12=0),"",CS14/CS12-1)</f>
        <v/>
      </c>
      <c r="CU20" s="45" t="str">
        <f aca="false">IF(OR(CU14="",CU12=""),"",CU14-CU12)</f>
        <v/>
      </c>
      <c r="CV20" s="47" t="str">
        <f aca="false">IF(OR(CU14="",CU12="",CU12=0),"",CU14/CU12-1)</f>
        <v/>
      </c>
      <c r="CW20" s="45" t="str">
        <f aca="false">IF(OR(CW14="",CW12=""),"",CW14-CW12)</f>
        <v/>
      </c>
      <c r="CX20" s="47" t="str">
        <f aca="false">IF(OR(CW14="",CW12="",CW12=0),"",CW14/CW12-1)</f>
        <v/>
      </c>
      <c r="CY20" s="45" t="str">
        <f aca="false">IF(OR(CY14="",CY12=""),"",CY14-CY12)</f>
        <v/>
      </c>
      <c r="CZ20" s="47" t="str">
        <f aca="false">IF(OR(CY14="",CY12="",CY12=0),"",CY14/CY12-1)</f>
        <v/>
      </c>
      <c r="DA20" s="45" t="str">
        <f aca="false">IF(OR(DA14="",DA12=""),"",DA14-DA12)</f>
        <v/>
      </c>
      <c r="DB20" s="47" t="str">
        <f aca="false">IF(OR(DA14="",DA12="",DA12=0),"",DA14/DA12-1)</f>
        <v/>
      </c>
      <c r="DC20" s="45" t="str">
        <f aca="false">IF(OR(DC14="",DC12=""),"",DC14-DC12)</f>
        <v/>
      </c>
      <c r="DD20" s="47" t="str">
        <f aca="false">IF(OR(DC14="",DC12="",DC12=0),"",DC14/DC12-1)</f>
        <v/>
      </c>
      <c r="DE20" s="45" t="str">
        <f aca="false">IF(OR(DE14="",DE12=""),"",DE14-DE12)</f>
        <v/>
      </c>
      <c r="DF20" s="47" t="str">
        <f aca="false">IF(OR(DE14="",DE12="",DE12=0),"",DE14/DE12-1)</f>
        <v/>
      </c>
      <c r="DG20" s="45" t="str">
        <f aca="false">IF(OR(DG14="",DG12=""),"",DG14-DG12)</f>
        <v/>
      </c>
      <c r="DH20" s="47" t="str">
        <f aca="false">IF(OR(DG14="",DG12="",DG12=0),"",DG14/DG12-1)</f>
        <v/>
      </c>
      <c r="DI20" s="45" t="str">
        <f aca="false">IF(OR(DI14="",DI12=""),"",DI14-DI12)</f>
        <v/>
      </c>
      <c r="DJ20" s="47" t="str">
        <f aca="false">IF(OR(DI14="",DI12="",DI12=0),"",DI14/DI12-1)</f>
        <v/>
      </c>
      <c r="DK20" s="45" t="str">
        <f aca="false">IF(OR(DK14="",DK12=""),"",DK14-DK12)</f>
        <v/>
      </c>
      <c r="DL20" s="47" t="str">
        <f aca="false">IF(OR(DK14="",DK12="",DK12=0),"",DK14/DK12-1)</f>
        <v/>
      </c>
      <c r="DM20" s="45" t="str">
        <f aca="false">IF(OR(DM14="",DM12=""),"",DM14-DM12)</f>
        <v/>
      </c>
      <c r="DN20" s="47" t="str">
        <f aca="false">IF(OR(DM14="",DM12="",DM12=0),"",DM14/DM12-1)</f>
        <v/>
      </c>
      <c r="DO20" s="45" t="str">
        <f aca="false">IF(OR(DO14="",DO12=""),"",DO14-DO12)</f>
        <v/>
      </c>
      <c r="DP20" s="47" t="str">
        <f aca="false">IF(OR(DO14="",DO12="",DO12=0),"",DO14/DO12-1)</f>
        <v/>
      </c>
      <c r="DQ20" s="45" t="str">
        <f aca="false">IF(OR(DQ14="",DQ12=""),"",DQ14-DQ12)</f>
        <v/>
      </c>
      <c r="DR20" s="47" t="str">
        <f aca="false">IF(OR(DQ14="",DQ12="",DQ12=0),"",DQ14/DQ12-1)</f>
        <v/>
      </c>
      <c r="DS20" s="45" t="str">
        <f aca="false">IF(OR(DS14="",DS12=""),"",DS14-DS12)</f>
        <v/>
      </c>
      <c r="DT20" s="47" t="str">
        <f aca="false">IF(OR(DS14="",DS12="",DS12=0),"",DS14/DS12-1)</f>
        <v/>
      </c>
      <c r="DU20" s="45" t="str">
        <f aca="false">IF(OR(DU14="",DU12=""),"",DU14-DU12)</f>
        <v/>
      </c>
      <c r="DV20" s="47" t="str">
        <f aca="false">IF(OR(DU14="",DU12="",DU12=0),"",DU14/DU12-1)</f>
        <v/>
      </c>
      <c r="DW20" s="45" t="str">
        <f aca="false">IF(OR(DW14="",DW12=""),"",DW14-DW12)</f>
        <v/>
      </c>
      <c r="DX20" s="47" t="str">
        <f aca="false">IF(OR(DW14="",DW12="",DW12=0),"",DW14/DW12-1)</f>
        <v/>
      </c>
    </row>
    <row r="21" customFormat="false" ht="15" hidden="false" customHeight="false" outlineLevel="0" collapsed="false">
      <c r="A21" s="4"/>
      <c r="B21" s="31"/>
      <c r="C21" s="31"/>
      <c r="D21" s="41"/>
      <c r="E21" s="4"/>
      <c r="F21" s="4"/>
      <c r="G21" s="44"/>
      <c r="H21" s="46" t="s">
        <v>114</v>
      </c>
      <c r="I21" s="45" t="n">
        <f aca="false">IF(OR(I15="",I14=""),"",I15-I14)</f>
        <v>1300</v>
      </c>
      <c r="J21" s="47" t="n">
        <f aca="false">IF(OR(I15="",I14="",I14=0),"",I15/I14-1)</f>
        <v>0.448275862068966</v>
      </c>
      <c r="K21" s="45" t="n">
        <f aca="false">IF(OR(K15="",K14=""),"",K15-K14)</f>
        <v>800</v>
      </c>
      <c r="L21" s="47" t="n">
        <f aca="false">IF(OR(K15="",K14="",K14=0),"",K15/K14-1)</f>
        <v>0.236336779911374</v>
      </c>
      <c r="M21" s="45" t="n">
        <f aca="false">IF(OR(M15="",M14=""),"",M15-M14)</f>
        <v>560</v>
      </c>
      <c r="N21" s="47" t="n">
        <f aca="false">IF(OR(M15="",M14="",M14=0),"",M15/M14-1)</f>
        <v>0.236286919831224</v>
      </c>
      <c r="O21" s="45" t="n">
        <f aca="false">IF(OR(O15="",O14=""),"",O15-O14)</f>
        <v>809</v>
      </c>
      <c r="P21" s="47" t="n">
        <f aca="false">IF(OR(O15="",O14="",O14=0),"",O15/O14-1)</f>
        <v>0.318629381646318</v>
      </c>
      <c r="Q21" s="45" t="n">
        <f aca="false">IF(OR(Q15="",Q14=""),"",Q15-Q14)</f>
        <v>800</v>
      </c>
      <c r="R21" s="47" t="n">
        <f aca="false">IF(OR(Q15="",Q14="",Q14=0),"",Q15/Q14-1)</f>
        <v>0.307692307692308</v>
      </c>
      <c r="S21" s="45" t="str">
        <f aca="false">IF(OR(S15="",S14=""),"",S15-S14)</f>
        <v/>
      </c>
      <c r="T21" s="47" t="str">
        <f aca="false">IF(OR(S15="",S14="",S14=0),"",S15/S14-1)</f>
        <v/>
      </c>
      <c r="U21" s="45" t="n">
        <f aca="false">IF(OR(U15="",U14=""),"",U15-U14)</f>
        <v>700</v>
      </c>
      <c r="V21" s="47" t="n">
        <f aca="false">IF(OR(U15="",U14="",U14=0),"",U15/U14-1)</f>
        <v>0.259259259259259</v>
      </c>
      <c r="W21" s="45" t="str">
        <f aca="false">IF(OR(W15="",W14=""),"",W15-W14)</f>
        <v/>
      </c>
      <c r="X21" s="47" t="str">
        <f aca="false">IF(OR(W15="",W14="",W14=0),"",W15/W14-1)</f>
        <v/>
      </c>
      <c r="Y21" s="45" t="str">
        <f aca="false">IF(OR(Y15="",Y14=""),"",Y15-Y14)</f>
        <v/>
      </c>
      <c r="Z21" s="47" t="str">
        <f aca="false">IF(OR(Y15="",Y14="",Y14=0),"",Y15/Y14-1)</f>
        <v/>
      </c>
      <c r="AA21" s="45" t="str">
        <f aca="false">IF(OR(AA15="",AA14=""),"",AA15-AA14)</f>
        <v/>
      </c>
      <c r="AB21" s="47" t="str">
        <f aca="false">IF(OR(AA15="",AA14="",AA14=0),"",AA15/AA14-1)</f>
        <v/>
      </c>
      <c r="AC21" s="45" t="str">
        <f aca="false">IF(OR(AC15="",AC14=""),"",AC15-AC14)</f>
        <v/>
      </c>
      <c r="AD21" s="47" t="str">
        <f aca="false">IF(OR(AC15="",AC14="",AC14=0),"",AC15/AC14-1)</f>
        <v/>
      </c>
      <c r="AE21" s="45" t="str">
        <f aca="false">IF(OR(AE15="",AE14=""),"",AE15-AE14)</f>
        <v/>
      </c>
      <c r="AF21" s="47" t="str">
        <f aca="false">IF(OR(AE15="",AE14="",AE14=0),"",AE15/AE14-1)</f>
        <v/>
      </c>
      <c r="AG21" s="45" t="str">
        <f aca="false">IF(OR(AG15="",AG14=""),"",AG15-AG14)</f>
        <v/>
      </c>
      <c r="AH21" s="47" t="str">
        <f aca="false">IF(OR(AG15="",AG14="",AG14=0),"",AG15/AG14-1)</f>
        <v/>
      </c>
      <c r="AI21" s="45" t="str">
        <f aca="false">IF(OR(AI15="",AI14=""),"",AI15-AI14)</f>
        <v/>
      </c>
      <c r="AJ21" s="47" t="str">
        <f aca="false">IF(OR(AI15="",AI14="",AI14=0),"",AI15/AI14-1)</f>
        <v/>
      </c>
      <c r="AK21" s="45" t="str">
        <f aca="false">IF(OR(AK15="",AK14=""),"",AK15-AK14)</f>
        <v/>
      </c>
      <c r="AL21" s="47" t="str">
        <f aca="false">IF(OR(AK15="",AK14="",AK14=0),"",AK15/AK14-1)</f>
        <v/>
      </c>
      <c r="AM21" s="45" t="str">
        <f aca="false">IF(OR(AM15="",AM14=""),"",AM15-AM14)</f>
        <v/>
      </c>
      <c r="AN21" s="47" t="str">
        <f aca="false">IF(OR(AM15="",AM14="",AM14=0),"",AM15/AM14-1)</f>
        <v/>
      </c>
      <c r="AO21" s="45" t="str">
        <f aca="false">IF(OR(AO15="",AO14=""),"",AO15-AO14)</f>
        <v/>
      </c>
      <c r="AP21" s="47" t="str">
        <f aca="false">IF(OR(AO15="",AO14="",AO14=0),"",AO15/AO14-1)</f>
        <v/>
      </c>
      <c r="AQ21" s="45" t="str">
        <f aca="false">IF(OR(AQ15="",AQ14=""),"",AQ15-AQ14)</f>
        <v/>
      </c>
      <c r="AR21" s="47" t="str">
        <f aca="false">IF(OR(AQ15="",AQ14="",AQ14=0),"",AQ15/AQ14-1)</f>
        <v/>
      </c>
      <c r="AS21" s="45" t="str">
        <f aca="false">IF(OR(AS15="",AS14=""),"",AS15-AS14)</f>
        <v/>
      </c>
      <c r="AT21" s="47" t="str">
        <f aca="false">IF(OR(AS15="",AS14="",AS14=0),"",AS15/AS14-1)</f>
        <v/>
      </c>
      <c r="AU21" s="45" t="str">
        <f aca="false">IF(OR(AU15="",AU14=""),"",AU15-AU14)</f>
        <v/>
      </c>
      <c r="AV21" s="47" t="str">
        <f aca="false">IF(OR(AU15="",AU14="",AU14=0),"",AU15/AU14-1)</f>
        <v/>
      </c>
      <c r="AW21" s="45" t="str">
        <f aca="false">IF(OR(AW15="",AW14=""),"",AW15-AW14)</f>
        <v/>
      </c>
      <c r="AX21" s="47" t="str">
        <f aca="false">IF(OR(AW15="",AW14="",AW14=0),"",AW15/AW14-1)</f>
        <v/>
      </c>
      <c r="AY21" s="45" t="str">
        <f aca="false">IF(OR(AY15="",AY14=""),"",AY15-AY14)</f>
        <v/>
      </c>
      <c r="AZ21" s="47" t="str">
        <f aca="false">IF(OR(AY15="",AY14="",AY14=0),"",AY15/AY14-1)</f>
        <v/>
      </c>
      <c r="BA21" s="45" t="str">
        <f aca="false">IF(OR(BA15="",BA14=""),"",BA15-BA14)</f>
        <v/>
      </c>
      <c r="BB21" s="47" t="str">
        <f aca="false">IF(OR(BA15="",BA14="",BA14=0),"",BA15/BA14-1)</f>
        <v/>
      </c>
      <c r="BC21" s="45" t="str">
        <f aca="false">IF(OR(BC15="",BC14=""),"",BC15-BC14)</f>
        <v/>
      </c>
      <c r="BD21" s="47" t="str">
        <f aca="false">IF(OR(BC15="",BC14="",BC14=0),"",BC15/BC14-1)</f>
        <v/>
      </c>
      <c r="BE21" s="45" t="str">
        <f aca="false">IF(OR(BE15="",BE14=""),"",BE15-BE14)</f>
        <v/>
      </c>
      <c r="BF21" s="47" t="str">
        <f aca="false">IF(OR(BE15="",BE14="",BE14=0),"",BE15/BE14-1)</f>
        <v/>
      </c>
      <c r="BG21" s="45" t="str">
        <f aca="false">IF(OR(BG15="",BG14=""),"",BG15-BG14)</f>
        <v/>
      </c>
      <c r="BH21" s="47" t="str">
        <f aca="false">IF(OR(BG15="",BG14="",BG14=0),"",BG15/BG14-1)</f>
        <v/>
      </c>
      <c r="BI21" s="45" t="str">
        <f aca="false">IF(OR(BI15="",BI14=""),"",BI15-BI14)</f>
        <v/>
      </c>
      <c r="BJ21" s="47" t="str">
        <f aca="false">IF(OR(BI15="",BI14="",BI14=0),"",BI15/BI14-1)</f>
        <v/>
      </c>
      <c r="BK21" s="45" t="str">
        <f aca="false">IF(OR(BK15="",BK14=""),"",BK15-BK14)</f>
        <v/>
      </c>
      <c r="BL21" s="47" t="str">
        <f aca="false">IF(OR(BK15="",BK14="",BK14=0),"",BK15/BK14-1)</f>
        <v/>
      </c>
      <c r="BM21" s="45" t="str">
        <f aca="false">IF(OR(BM15="",BM14=""),"",BM15-BM14)</f>
        <v/>
      </c>
      <c r="BN21" s="47" t="str">
        <f aca="false">IF(OR(BM15="",BM14="",BM14=0),"",BM15/BM14-1)</f>
        <v/>
      </c>
      <c r="BO21" s="45" t="str">
        <f aca="false">IF(OR(BO15="",BO14=""),"",BO15-BO14)</f>
        <v/>
      </c>
      <c r="BP21" s="47" t="str">
        <f aca="false">IF(OR(BO15="",BO14="",BO14=0),"",BO15/BO14-1)</f>
        <v/>
      </c>
      <c r="BQ21" s="45" t="str">
        <f aca="false">IF(OR(BQ15="",BQ14=""),"",BQ15-BQ14)</f>
        <v/>
      </c>
      <c r="BR21" s="47" t="str">
        <f aca="false">IF(OR(BQ15="",BQ14="",BQ14=0),"",BQ15/BQ14-1)</f>
        <v/>
      </c>
      <c r="BS21" s="45" t="str">
        <f aca="false">IF(OR(BS15="",BS14=""),"",BS15-BS14)</f>
        <v/>
      </c>
      <c r="BT21" s="47" t="str">
        <f aca="false">IF(OR(BS15="",BS14="",BS14=0),"",BS15/BS14-1)</f>
        <v/>
      </c>
      <c r="BU21" s="45" t="str">
        <f aca="false">IF(OR(BU15="",BU14=""),"",BU15-BU14)</f>
        <v/>
      </c>
      <c r="BV21" s="47" t="str">
        <f aca="false">IF(OR(BU15="",BU14="",BU14=0),"",BU15/BU14-1)</f>
        <v/>
      </c>
      <c r="BW21" s="45" t="str">
        <f aca="false">IF(OR(BW15="",BW14=""),"",BW15-BW14)</f>
        <v/>
      </c>
      <c r="BX21" s="47" t="str">
        <f aca="false">IF(OR(BW15="",BW14="",BW14=0),"",BW15/BW14-1)</f>
        <v/>
      </c>
      <c r="BY21" s="45" t="str">
        <f aca="false">IF(OR(BY15="",BY14=""),"",BY15-BY14)</f>
        <v/>
      </c>
      <c r="BZ21" s="47" t="str">
        <f aca="false">IF(OR(BY15="",BY14="",BY14=0),"",BY15/BY14-1)</f>
        <v/>
      </c>
      <c r="CA21" s="45" t="str">
        <f aca="false">IF(OR(CA15="",CA14=""),"",CA15-CA14)</f>
        <v/>
      </c>
      <c r="CB21" s="47" t="str">
        <f aca="false">IF(OR(CA15="",CA14="",CA14=0),"",CA15/CA14-1)</f>
        <v/>
      </c>
      <c r="CC21" s="45" t="str">
        <f aca="false">IF(OR(CC15="",CC14=""),"",CC15-CC14)</f>
        <v/>
      </c>
      <c r="CD21" s="47" t="str">
        <f aca="false">IF(OR(CC15="",CC14="",CC14=0),"",CC15/CC14-1)</f>
        <v/>
      </c>
      <c r="CE21" s="45" t="str">
        <f aca="false">IF(OR(CE15="",CE14=""),"",CE15-CE14)</f>
        <v/>
      </c>
      <c r="CF21" s="47" t="str">
        <f aca="false">IF(OR(CE15="",CE14="",CE14=0),"",CE15/CE14-1)</f>
        <v/>
      </c>
      <c r="CG21" s="45" t="str">
        <f aca="false">IF(OR(CG15="",CG14=""),"",CG15-CG14)</f>
        <v/>
      </c>
      <c r="CH21" s="47" t="str">
        <f aca="false">IF(OR(CG15="",CG14="",CG14=0),"",CG15/CG14-1)</f>
        <v/>
      </c>
      <c r="CI21" s="45" t="str">
        <f aca="false">IF(OR(CI15="",CI14=""),"",CI15-CI14)</f>
        <v/>
      </c>
      <c r="CJ21" s="47" t="str">
        <f aca="false">IF(OR(CI15="",CI14="",CI14=0),"",CI15/CI14-1)</f>
        <v/>
      </c>
      <c r="CK21" s="45" t="str">
        <f aca="false">IF(OR(CK15="",CK14=""),"",CK15-CK14)</f>
        <v/>
      </c>
      <c r="CL21" s="47" t="str">
        <f aca="false">IF(OR(CK15="",CK14="",CK14=0),"",CK15/CK14-1)</f>
        <v/>
      </c>
      <c r="CM21" s="45" t="str">
        <f aca="false">IF(OR(CM15="",CM14=""),"",CM15-CM14)</f>
        <v/>
      </c>
      <c r="CN21" s="47" t="str">
        <f aca="false">IF(OR(CM15="",CM14="",CM14=0),"",CM15/CM14-1)</f>
        <v/>
      </c>
      <c r="CO21" s="45" t="str">
        <f aca="false">IF(OR(CO15="",CO14=""),"",CO15-CO14)</f>
        <v/>
      </c>
      <c r="CP21" s="47" t="str">
        <f aca="false">IF(OR(CO15="",CO14="",CO14=0),"",CO15/CO14-1)</f>
        <v/>
      </c>
      <c r="CQ21" s="45" t="str">
        <f aca="false">IF(OR(CQ15="",CQ14=""),"",CQ15-CQ14)</f>
        <v/>
      </c>
      <c r="CR21" s="47" t="str">
        <f aca="false">IF(OR(CQ15="",CQ14="",CQ14=0),"",CQ15/CQ14-1)</f>
        <v/>
      </c>
      <c r="CS21" s="45" t="str">
        <f aca="false">IF(OR(CS15="",CS14=""),"",CS15-CS14)</f>
        <v/>
      </c>
      <c r="CT21" s="47" t="str">
        <f aca="false">IF(OR(CS15="",CS14="",CS14=0),"",CS15/CS14-1)</f>
        <v/>
      </c>
      <c r="CU21" s="45" t="str">
        <f aca="false">IF(OR(CU15="",CU14=""),"",CU15-CU14)</f>
        <v/>
      </c>
      <c r="CV21" s="47" t="str">
        <f aca="false">IF(OR(CU15="",CU14="",CU14=0),"",CU15/CU14-1)</f>
        <v/>
      </c>
      <c r="CW21" s="45" t="str">
        <f aca="false">IF(OR(CW15="",CW14=""),"",CW15-CW14)</f>
        <v/>
      </c>
      <c r="CX21" s="47" t="str">
        <f aca="false">IF(OR(CW15="",CW14="",CW14=0),"",CW15/CW14-1)</f>
        <v/>
      </c>
      <c r="CY21" s="45" t="str">
        <f aca="false">IF(OR(CY15="",CY14=""),"",CY15-CY14)</f>
        <v/>
      </c>
      <c r="CZ21" s="47" t="str">
        <f aca="false">IF(OR(CY15="",CY14="",CY14=0),"",CY15/CY14-1)</f>
        <v/>
      </c>
      <c r="DA21" s="45" t="str">
        <f aca="false">IF(OR(DA15="",DA14=""),"",DA15-DA14)</f>
        <v/>
      </c>
      <c r="DB21" s="47" t="str">
        <f aca="false">IF(OR(DA15="",DA14="",DA14=0),"",DA15/DA14-1)</f>
        <v/>
      </c>
      <c r="DC21" s="45" t="str">
        <f aca="false">IF(OR(DC15="",DC14=""),"",DC15-DC14)</f>
        <v/>
      </c>
      <c r="DD21" s="47" t="str">
        <f aca="false">IF(OR(DC15="",DC14="",DC14=0),"",DC15/DC14-1)</f>
        <v/>
      </c>
      <c r="DE21" s="45" t="str">
        <f aca="false">IF(OR(DE15="",DE14=""),"",DE15-DE14)</f>
        <v/>
      </c>
      <c r="DF21" s="47" t="str">
        <f aca="false">IF(OR(DE15="",DE14="",DE14=0),"",DE15/DE14-1)</f>
        <v/>
      </c>
      <c r="DG21" s="45" t="str">
        <f aca="false">IF(OR(DG15="",DG14=""),"",DG15-DG14)</f>
        <v/>
      </c>
      <c r="DH21" s="47" t="str">
        <f aca="false">IF(OR(DG15="",DG14="",DG14=0),"",DG15/DG14-1)</f>
        <v/>
      </c>
      <c r="DI21" s="45" t="str">
        <f aca="false">IF(OR(DI15="",DI14=""),"",DI15-DI14)</f>
        <v/>
      </c>
      <c r="DJ21" s="47" t="str">
        <f aca="false">IF(OR(DI15="",DI14="",DI14=0),"",DI15/DI14-1)</f>
        <v/>
      </c>
      <c r="DK21" s="45" t="str">
        <f aca="false">IF(OR(DK15="",DK14=""),"",DK15-DK14)</f>
        <v/>
      </c>
      <c r="DL21" s="47" t="str">
        <f aca="false">IF(OR(DK15="",DK14="",DK14=0),"",DK15/DK14-1)</f>
        <v/>
      </c>
      <c r="DM21" s="45" t="str">
        <f aca="false">IF(OR(DM15="",DM14=""),"",DM15-DM14)</f>
        <v/>
      </c>
      <c r="DN21" s="47" t="str">
        <f aca="false">IF(OR(DM15="",DM14="",DM14=0),"",DM15/DM14-1)</f>
        <v/>
      </c>
      <c r="DO21" s="45" t="str">
        <f aca="false">IF(OR(DO15="",DO14=""),"",DO15-DO14)</f>
        <v/>
      </c>
      <c r="DP21" s="47" t="str">
        <f aca="false">IF(OR(DO15="",DO14="",DO14=0),"",DO15/DO14-1)</f>
        <v/>
      </c>
      <c r="DQ21" s="45" t="str">
        <f aca="false">IF(OR(DQ15="",DQ14=""),"",DQ15-DQ14)</f>
        <v/>
      </c>
      <c r="DR21" s="47" t="str">
        <f aca="false">IF(OR(DQ15="",DQ14="",DQ14=0),"",DQ15/DQ14-1)</f>
        <v/>
      </c>
      <c r="DS21" s="45" t="str">
        <f aca="false">IF(OR(DS15="",DS14=""),"",DS15-DS14)</f>
        <v/>
      </c>
      <c r="DT21" s="47" t="str">
        <f aca="false">IF(OR(DS15="",DS14="",DS14=0),"",DS15/DS14-1)</f>
        <v/>
      </c>
      <c r="DU21" s="45" t="str">
        <f aca="false">IF(OR(DU15="",DU14=""),"",DU15-DU14)</f>
        <v/>
      </c>
      <c r="DV21" s="47" t="str">
        <f aca="false">IF(OR(DU15="",DU14="",DU14=0),"",DU15/DU14-1)</f>
        <v/>
      </c>
      <c r="DW21" s="45" t="str">
        <f aca="false">IF(OR(DW15="",DW14=""),"",DW15-DW14)</f>
        <v/>
      </c>
      <c r="DX21" s="47" t="str">
        <f aca="false">IF(OR(DW15="",DW14="",DW14=0),"",DW15/DW14-1)</f>
        <v/>
      </c>
    </row>
    <row r="22" customFormat="false" ht="15" hidden="false" customHeight="false" outlineLevel="0" collapsed="false">
      <c r="A22" s="4"/>
      <c r="B22" s="31"/>
      <c r="C22" s="31"/>
      <c r="D22" s="41"/>
      <c r="E22" s="4"/>
    </row>
    <row r="23" customFormat="false" ht="15" hidden="false" customHeight="false" outlineLevel="0" collapsed="false">
      <c r="A23" s="4"/>
      <c r="B23" s="31"/>
      <c r="C23" s="31"/>
      <c r="D23" s="41"/>
      <c r="E23" s="4"/>
      <c r="F23" s="38" t="s">
        <v>115</v>
      </c>
      <c r="H23" s="39" t="s">
        <v>116</v>
      </c>
    </row>
    <row r="24" customFormat="false" ht="15" hidden="false" customHeight="false" outlineLevel="0" collapsed="false">
      <c r="A24" s="4"/>
      <c r="B24" s="31"/>
      <c r="C24" s="31"/>
      <c r="D24" s="41"/>
      <c r="E24" s="4"/>
      <c r="F24" s="11" t="s">
        <v>117</v>
      </c>
      <c r="H24" s="48" t="str">
        <f aca="false">IF(ЕТАЛОН_ПЛ="","еталон не обрано — задайте G10","Еталон: "&amp;ЕТАЛОН_ПЛ)</f>
        <v>Еталон: Осінь 2026 База</v>
      </c>
    </row>
    <row r="25" customFormat="false" ht="15" hidden="false" customHeight="false" outlineLevel="0" collapsed="false">
      <c r="A25" s="4"/>
      <c r="B25" s="31"/>
      <c r="C25" s="31"/>
      <c r="D25" s="41"/>
      <c r="E25" s="4"/>
      <c r="F25" s="14" t="s">
        <v>38</v>
      </c>
      <c r="H25" s="11" t="s">
        <v>85</v>
      </c>
      <c r="I25" s="11" t="s">
        <v>108</v>
      </c>
      <c r="J25" s="11" t="s">
        <v>109</v>
      </c>
      <c r="K25" s="11" t="s">
        <v>108</v>
      </c>
      <c r="L25" s="11" t="s">
        <v>109</v>
      </c>
      <c r="M25" s="11" t="s">
        <v>108</v>
      </c>
      <c r="N25" s="11" t="s">
        <v>109</v>
      </c>
      <c r="O25" s="11" t="s">
        <v>108</v>
      </c>
      <c r="P25" s="11" t="s">
        <v>109</v>
      </c>
      <c r="Q25" s="11" t="s">
        <v>108</v>
      </c>
      <c r="R25" s="11" t="s">
        <v>109</v>
      </c>
      <c r="S25" s="11" t="s">
        <v>108</v>
      </c>
      <c r="T25" s="11" t="s">
        <v>109</v>
      </c>
      <c r="U25" s="11" t="s">
        <v>108</v>
      </c>
      <c r="V25" s="11" t="s">
        <v>109</v>
      </c>
      <c r="W25" s="11" t="s">
        <v>108</v>
      </c>
      <c r="X25" s="11" t="s">
        <v>109</v>
      </c>
      <c r="Y25" s="11" t="s">
        <v>108</v>
      </c>
      <c r="Z25" s="11" t="s">
        <v>109</v>
      </c>
      <c r="AA25" s="11" t="s">
        <v>108</v>
      </c>
      <c r="AB25" s="11" t="s">
        <v>109</v>
      </c>
      <c r="AC25" s="11" t="s">
        <v>108</v>
      </c>
      <c r="AD25" s="11" t="s">
        <v>109</v>
      </c>
      <c r="AE25" s="11" t="s">
        <v>108</v>
      </c>
      <c r="AF25" s="11" t="s">
        <v>109</v>
      </c>
      <c r="AG25" s="11" t="s">
        <v>108</v>
      </c>
      <c r="AH25" s="11" t="s">
        <v>109</v>
      </c>
      <c r="AI25" s="11" t="s">
        <v>108</v>
      </c>
      <c r="AJ25" s="11" t="s">
        <v>109</v>
      </c>
      <c r="AK25" s="11" t="s">
        <v>108</v>
      </c>
      <c r="AL25" s="11" t="s">
        <v>109</v>
      </c>
      <c r="AM25" s="11" t="s">
        <v>108</v>
      </c>
      <c r="AN25" s="11" t="s">
        <v>109</v>
      </c>
      <c r="AO25" s="11" t="s">
        <v>108</v>
      </c>
      <c r="AP25" s="11" t="s">
        <v>109</v>
      </c>
      <c r="AQ25" s="11" t="s">
        <v>108</v>
      </c>
      <c r="AR25" s="11" t="s">
        <v>109</v>
      </c>
      <c r="AS25" s="11" t="s">
        <v>108</v>
      </c>
      <c r="AT25" s="11" t="s">
        <v>109</v>
      </c>
      <c r="AU25" s="11" t="s">
        <v>108</v>
      </c>
      <c r="AV25" s="11" t="s">
        <v>109</v>
      </c>
      <c r="AW25" s="11" t="s">
        <v>108</v>
      </c>
      <c r="AX25" s="11" t="s">
        <v>109</v>
      </c>
      <c r="AY25" s="11" t="s">
        <v>108</v>
      </c>
      <c r="AZ25" s="11" t="s">
        <v>109</v>
      </c>
      <c r="BA25" s="11" t="s">
        <v>108</v>
      </c>
      <c r="BB25" s="11" t="s">
        <v>109</v>
      </c>
      <c r="BC25" s="11" t="s">
        <v>108</v>
      </c>
      <c r="BD25" s="11" t="s">
        <v>109</v>
      </c>
      <c r="BE25" s="11" t="s">
        <v>108</v>
      </c>
      <c r="BF25" s="11" t="s">
        <v>109</v>
      </c>
      <c r="BG25" s="11" t="s">
        <v>108</v>
      </c>
      <c r="BH25" s="11" t="s">
        <v>109</v>
      </c>
      <c r="BI25" s="11" t="s">
        <v>108</v>
      </c>
      <c r="BJ25" s="11" t="s">
        <v>109</v>
      </c>
      <c r="BK25" s="11" t="s">
        <v>108</v>
      </c>
      <c r="BL25" s="11" t="s">
        <v>109</v>
      </c>
      <c r="BM25" s="11" t="s">
        <v>108</v>
      </c>
      <c r="BN25" s="11" t="s">
        <v>109</v>
      </c>
      <c r="BO25" s="11" t="s">
        <v>108</v>
      </c>
      <c r="BP25" s="11" t="s">
        <v>109</v>
      </c>
      <c r="BQ25" s="11" t="s">
        <v>108</v>
      </c>
      <c r="BR25" s="11" t="s">
        <v>109</v>
      </c>
      <c r="BS25" s="11" t="s">
        <v>108</v>
      </c>
      <c r="BT25" s="11" t="s">
        <v>109</v>
      </c>
      <c r="BU25" s="11" t="s">
        <v>108</v>
      </c>
      <c r="BV25" s="11" t="s">
        <v>109</v>
      </c>
      <c r="BW25" s="11" t="s">
        <v>108</v>
      </c>
      <c r="BX25" s="11" t="s">
        <v>109</v>
      </c>
      <c r="BY25" s="11" t="s">
        <v>108</v>
      </c>
      <c r="BZ25" s="11" t="s">
        <v>109</v>
      </c>
      <c r="CA25" s="11" t="s">
        <v>108</v>
      </c>
      <c r="CB25" s="11" t="s">
        <v>109</v>
      </c>
      <c r="CC25" s="11" t="s">
        <v>108</v>
      </c>
      <c r="CD25" s="11" t="s">
        <v>109</v>
      </c>
      <c r="CE25" s="11" t="s">
        <v>108</v>
      </c>
      <c r="CF25" s="11" t="s">
        <v>109</v>
      </c>
      <c r="CG25" s="11" t="s">
        <v>108</v>
      </c>
      <c r="CH25" s="11" t="s">
        <v>109</v>
      </c>
      <c r="CI25" s="11" t="s">
        <v>108</v>
      </c>
      <c r="CJ25" s="11" t="s">
        <v>109</v>
      </c>
      <c r="CK25" s="11" t="s">
        <v>108</v>
      </c>
      <c r="CL25" s="11" t="s">
        <v>109</v>
      </c>
      <c r="CM25" s="11" t="s">
        <v>108</v>
      </c>
      <c r="CN25" s="11" t="s">
        <v>109</v>
      </c>
      <c r="CO25" s="11" t="s">
        <v>108</v>
      </c>
      <c r="CP25" s="11" t="s">
        <v>109</v>
      </c>
      <c r="CQ25" s="11" t="s">
        <v>108</v>
      </c>
      <c r="CR25" s="11" t="s">
        <v>109</v>
      </c>
      <c r="CS25" s="11" t="s">
        <v>108</v>
      </c>
      <c r="CT25" s="11" t="s">
        <v>109</v>
      </c>
      <c r="CU25" s="11" t="s">
        <v>108</v>
      </c>
      <c r="CV25" s="11" t="s">
        <v>109</v>
      </c>
      <c r="CW25" s="11" t="s">
        <v>108</v>
      </c>
      <c r="CX25" s="11" t="s">
        <v>109</v>
      </c>
      <c r="CY25" s="11" t="s">
        <v>108</v>
      </c>
      <c r="CZ25" s="11" t="s">
        <v>109</v>
      </c>
      <c r="DA25" s="11" t="s">
        <v>108</v>
      </c>
      <c r="DB25" s="11" t="s">
        <v>109</v>
      </c>
      <c r="DC25" s="11" t="s">
        <v>108</v>
      </c>
      <c r="DD25" s="11" t="s">
        <v>109</v>
      </c>
      <c r="DE25" s="11" t="s">
        <v>108</v>
      </c>
      <c r="DF25" s="11" t="s">
        <v>109</v>
      </c>
      <c r="DG25" s="11" t="s">
        <v>108</v>
      </c>
      <c r="DH25" s="11" t="s">
        <v>109</v>
      </c>
      <c r="DI25" s="11" t="s">
        <v>108</v>
      </c>
      <c r="DJ25" s="11" t="s">
        <v>109</v>
      </c>
      <c r="DK25" s="11" t="s">
        <v>108</v>
      </c>
      <c r="DL25" s="11" t="s">
        <v>109</v>
      </c>
      <c r="DM25" s="11" t="s">
        <v>108</v>
      </c>
      <c r="DN25" s="11" t="s">
        <v>109</v>
      </c>
      <c r="DO25" s="11" t="s">
        <v>108</v>
      </c>
      <c r="DP25" s="11" t="s">
        <v>109</v>
      </c>
      <c r="DQ25" s="11" t="s">
        <v>108</v>
      </c>
      <c r="DR25" s="11" t="s">
        <v>109</v>
      </c>
      <c r="DS25" s="11" t="s">
        <v>108</v>
      </c>
      <c r="DT25" s="11" t="s">
        <v>109</v>
      </c>
      <c r="DU25" s="11" t="s">
        <v>108</v>
      </c>
      <c r="DV25" s="11" t="s">
        <v>109</v>
      </c>
      <c r="DW25" s="11" t="s">
        <v>108</v>
      </c>
      <c r="DX25" s="11" t="s">
        <v>109</v>
      </c>
    </row>
    <row r="26" customFormat="false" ht="15" hidden="false" customHeight="false" outlineLevel="0" collapsed="false">
      <c r="A26" s="4"/>
      <c r="B26" s="31"/>
      <c r="C26" s="31"/>
      <c r="D26" s="41"/>
      <c r="E26" s="4"/>
      <c r="F26" s="14" t="s">
        <v>118</v>
      </c>
      <c r="H26" s="13" t="s">
        <v>90</v>
      </c>
      <c r="I26" s="45" t="n">
        <f aca="false">IF(OR(I12="",ЕТАЛОН_ПЛ="",IFERROR(INDEX(БАЗА_RO,1,IFERROR(MATCH(ЕТАЛОН_ПЛ,ПЛ_РЯДОК,0),0)),"")=""),"",I12-IFERROR(INDEX(БАЗА_RO,1,IFERROR(MATCH(ЕТАЛОН_ПЛ,ПЛ_РЯДОК,0),0)),""))</f>
        <v>-1610</v>
      </c>
      <c r="J26" s="47" t="n">
        <f aca="false">IF(OR(I12="",ЕТАЛОН_ПЛ="",IFERROR(INDEX(БАЗА_RO,1,IFERROR(MATCH(ЕТАЛОН_ПЛ,ПЛ_РЯДОК,0),0)),"")="",IFERROR(INDEX(БАЗА_RO,1,IFERROR(MATCH(ЕТАЛОН_ПЛ,ПЛ_РЯДОК,0),0)),"")=0),"",I12/IFERROR(INDEX(БАЗА_RO,1,IFERROR(MATCH(ЕТАЛОН_ПЛ,ПЛ_РЯДОК,0),0)),"")-1)</f>
        <v>-0.225490196078431</v>
      </c>
      <c r="K26" s="45" t="n">
        <f aca="false">IF(OR(K12="",ЕТАЛОН_ПЛ="",IFERROR(INDEX(БАЗА_RO,1,IFERROR(MATCH(ЕТАЛОН_ПЛ,ПЛ_РЯДОК,0),0)),"")=""),"",K12-IFERROR(INDEX(БАЗА_RO,1,IFERROR(MATCH(ЕТАЛОН_ПЛ,ПЛ_РЯДОК,0),0)),""))</f>
        <v>0</v>
      </c>
      <c r="L26" s="47" t="n">
        <f aca="false">IF(OR(K12="",ЕТАЛОН_ПЛ="",IFERROR(INDEX(БАЗА_RO,1,IFERROR(MATCH(ЕТАЛОН_ПЛ,ПЛ_РЯДОК,0),0)),"")="",IFERROR(INDEX(БАЗА_RO,1,IFERROR(MATCH(ЕТАЛОН_ПЛ,ПЛ_РЯДОК,0),0)),"")=0),"",K12/IFERROR(INDEX(БАЗА_RO,1,IFERROR(MATCH(ЕТАЛОН_ПЛ,ПЛ_РЯДОК,0),0)),"")-1)</f>
        <v>0</v>
      </c>
      <c r="M26" s="45" t="n">
        <f aca="false">IF(OR(M12="",ЕТАЛОН_ПЛ="",IFERROR(INDEX(БАЗА_RO,1,IFERROR(MATCH(ЕТАЛОН_ПЛ,ПЛ_РЯДОК,0),0)),"")=""),"",M12-IFERROR(INDEX(БАЗА_RO,1,IFERROR(MATCH(ЕТАЛОН_ПЛ,ПЛ_РЯДОК,0),0)),""))</f>
        <v>-2142</v>
      </c>
      <c r="N26" s="47" t="n">
        <f aca="false">IF(OR(M12="",ЕТАЛОН_ПЛ="",IFERROR(INDEX(БАЗА_RO,1,IFERROR(MATCH(ЕТАЛОН_ПЛ,ПЛ_РЯДОК,0),0)),"")="",IFERROR(INDEX(БАЗА_RO,1,IFERROR(MATCH(ЕТАЛОН_ПЛ,ПЛ_РЯДОК,0),0)),"")=0),"",M12/IFERROR(INDEX(БАЗА_RO,1,IFERROR(MATCH(ЕТАЛОН_ПЛ,ПЛ_РЯДОК,0),0)),"")-1)</f>
        <v>-0.3</v>
      </c>
      <c r="O26" s="45" t="n">
        <f aca="false">IF(OR(O12="",ЕТАЛОН_ПЛ="",IFERROR(INDEX(БАЗА_RO,1,IFERROR(MATCH(ЕТАЛОН_ПЛ,ПЛ_РЯДОК,0),0)),"")=""),"",O12-IFERROR(INDEX(БАЗА_RO,1,IFERROR(MATCH(ЕТАЛОН_ПЛ,ПЛ_РЯДОК,0),0)),""))</f>
        <v>-1785</v>
      </c>
      <c r="P26" s="47" t="n">
        <f aca="false">IF(OR(O12="",ЕТАЛОН_ПЛ="",IFERROR(INDEX(БАЗА_RO,1,IFERROR(MATCH(ЕТАЛОН_ПЛ,ПЛ_РЯДОК,0),0)),"")="",IFERROR(INDEX(БАЗА_RO,1,IFERROR(MATCH(ЕТАЛОН_ПЛ,ПЛ_РЯДОК,0),0)),"")=0),"",O12/IFERROR(INDEX(БАЗА_RO,1,IFERROR(MATCH(ЕТАЛОН_ПЛ,ПЛ_РЯДОК,0),0)),"")-1)</f>
        <v>-0.25</v>
      </c>
      <c r="Q26" s="45" t="n">
        <f aca="false">IF(OR(Q12="",ЕТАЛОН_ПЛ="",IFERROR(INDEX(БАЗА_RO,1,IFERROR(MATCH(ЕТАЛОН_ПЛ,ПЛ_РЯДОК,0),0)),"")=""),"",Q12-IFERROR(INDEX(БАЗА_RO,1,IFERROR(MATCH(ЕТАЛОН_ПЛ,ПЛ_РЯДОК,0),0)),""))</f>
        <v>-1740</v>
      </c>
      <c r="R26" s="47" t="n">
        <f aca="false">IF(OR(Q12="",ЕТАЛОН_ПЛ="",IFERROR(INDEX(БАЗА_RO,1,IFERROR(MATCH(ЕТАЛОН_ПЛ,ПЛ_РЯДОК,0),0)),"")="",IFERROR(INDEX(БАЗА_RO,1,IFERROR(MATCH(ЕТАЛОН_ПЛ,ПЛ_РЯДОК,0),0)),"")=0),"",Q12/IFERROR(INDEX(БАЗА_RO,1,IFERROR(MATCH(ЕТАЛОН_ПЛ,ПЛ_РЯДОК,0),0)),"")-1)</f>
        <v>-0.243697478991597</v>
      </c>
      <c r="S26" s="45" t="str">
        <f aca="false">IF(OR(S12="",ЕТАЛОН_ПЛ="",IFERROR(INDEX(БАЗА_RO,1,IFERROR(MATCH(ЕТАЛОН_ПЛ,ПЛ_РЯДОК,0),0)),"")=""),"",S12-IFERROR(INDEX(БАЗА_RO,1,IFERROR(MATCH(ЕТАЛОН_ПЛ,ПЛ_РЯДОК,0),0)),""))</f>
        <v/>
      </c>
      <c r="T26" s="47" t="str">
        <f aca="false">IF(OR(S12="",ЕТАЛОН_ПЛ="",IFERROR(INDEX(БАЗА_RO,1,IFERROR(MATCH(ЕТАЛОН_ПЛ,ПЛ_РЯДОК,0),0)),"")="",IFERROR(INDEX(БАЗА_RO,1,IFERROR(MATCH(ЕТАЛОН_ПЛ,ПЛ_РЯДОК,0),0)),"")=0),"",S12/IFERROR(INDEX(БАЗА_RO,1,IFERROR(MATCH(ЕТАЛОН_ПЛ,ПЛ_РЯДОК,0),0)),"")-1)</f>
        <v/>
      </c>
      <c r="U26" s="45" t="n">
        <f aca="false">IF(OR(U12="",ЕТАЛОН_ПЛ="",IFERROR(INDEX(БАЗА_RO,1,IFERROR(MATCH(ЕТАЛОН_ПЛ,ПЛ_РЯДОК,0),0)),"")=""),"",U12-IFERROR(INDEX(БАЗА_RO,1,IFERROR(MATCH(ЕТАЛОН_ПЛ,ПЛ_РЯДОК,0),0)),""))</f>
        <v>-1440</v>
      </c>
      <c r="V26" s="47" t="n">
        <f aca="false">IF(OR(U12="",ЕТАЛОН_ПЛ="",IFERROR(INDEX(БАЗА_RO,1,IFERROR(MATCH(ЕТАЛОН_ПЛ,ПЛ_РЯДОК,0),0)),"")="",IFERROR(INDEX(БАЗА_RO,1,IFERROR(MATCH(ЕТАЛОН_ПЛ,ПЛ_РЯДОК,0),0)),"")=0),"",U12/IFERROR(INDEX(БАЗА_RO,1,IFERROR(MATCH(ЕТАЛОН_ПЛ,ПЛ_РЯДОК,0),0)),"")-1)</f>
        <v>-0.201680672268908</v>
      </c>
      <c r="W26" s="45" t="str">
        <f aca="false">IF(OR(W12="",ЕТАЛОН_ПЛ="",IFERROR(INDEX(БАЗА_RO,1,IFERROR(MATCH(ЕТАЛОН_ПЛ,ПЛ_РЯДОК,0),0)),"")=""),"",W12-IFERROR(INDEX(БАЗА_RO,1,IFERROR(MATCH(ЕТАЛОН_ПЛ,ПЛ_РЯДОК,0),0)),""))</f>
        <v/>
      </c>
      <c r="X26" s="47" t="str">
        <f aca="false">IF(OR(W12="",ЕТАЛОН_ПЛ="",IFERROR(INDEX(БАЗА_RO,1,IFERROR(MATCH(ЕТАЛОН_ПЛ,ПЛ_РЯДОК,0),0)),"")="",IFERROR(INDEX(БАЗА_RO,1,IFERROR(MATCH(ЕТАЛОН_ПЛ,ПЛ_РЯДОК,0),0)),"")=0),"",W12/IFERROR(INDEX(БАЗА_RO,1,IFERROR(MATCH(ЕТАЛОН_ПЛ,ПЛ_РЯДОК,0),0)),"")-1)</f>
        <v/>
      </c>
      <c r="Y26" s="45" t="str">
        <f aca="false">IF(OR(Y12="",ЕТАЛОН_ПЛ="",IFERROR(INDEX(БАЗА_RO,1,IFERROR(MATCH(ЕТАЛОН_ПЛ,ПЛ_РЯДОК,0),0)),"")=""),"",Y12-IFERROR(INDEX(БАЗА_RO,1,IFERROR(MATCH(ЕТАЛОН_ПЛ,ПЛ_РЯДОК,0),0)),""))</f>
        <v/>
      </c>
      <c r="Z26" s="47" t="str">
        <f aca="false">IF(OR(Y12="",ЕТАЛОН_ПЛ="",IFERROR(INDEX(БАЗА_RO,1,IFERROR(MATCH(ЕТАЛОН_ПЛ,ПЛ_РЯДОК,0),0)),"")="",IFERROR(INDEX(БАЗА_RO,1,IFERROR(MATCH(ЕТАЛОН_ПЛ,ПЛ_РЯДОК,0),0)),"")=0),"",Y12/IFERROR(INDEX(БАЗА_RO,1,IFERROR(MATCH(ЕТАЛОН_ПЛ,ПЛ_РЯДОК,0),0)),"")-1)</f>
        <v/>
      </c>
      <c r="AA26" s="45" t="str">
        <f aca="false">IF(OR(AA12="",ЕТАЛОН_ПЛ="",IFERROR(INDEX(БАЗА_RO,1,IFERROR(MATCH(ЕТАЛОН_ПЛ,ПЛ_РЯДОК,0),0)),"")=""),"",AA12-IFERROR(INDEX(БАЗА_RO,1,IFERROR(MATCH(ЕТАЛОН_ПЛ,ПЛ_РЯДОК,0),0)),""))</f>
        <v/>
      </c>
      <c r="AB26" s="47" t="str">
        <f aca="false">IF(OR(AA12="",ЕТАЛОН_ПЛ="",IFERROR(INDEX(БАЗА_RO,1,IFERROR(MATCH(ЕТАЛОН_ПЛ,ПЛ_РЯДОК,0),0)),"")="",IFERROR(INDEX(БАЗА_RO,1,IFERROR(MATCH(ЕТАЛОН_ПЛ,ПЛ_РЯДОК,0),0)),"")=0),"",AA12/IFERROR(INDEX(БАЗА_RO,1,IFERROR(MATCH(ЕТАЛОН_ПЛ,ПЛ_РЯДОК,0),0)),"")-1)</f>
        <v/>
      </c>
      <c r="AC26" s="45" t="str">
        <f aca="false">IF(OR(AC12="",ЕТАЛОН_ПЛ="",IFERROR(INDEX(БАЗА_RO,1,IFERROR(MATCH(ЕТАЛОН_ПЛ,ПЛ_РЯДОК,0),0)),"")=""),"",AC12-IFERROR(INDEX(БАЗА_RO,1,IFERROR(MATCH(ЕТАЛОН_ПЛ,ПЛ_РЯДОК,0),0)),""))</f>
        <v/>
      </c>
      <c r="AD26" s="47" t="str">
        <f aca="false">IF(OR(AC12="",ЕТАЛОН_ПЛ="",IFERROR(INDEX(БАЗА_RO,1,IFERROR(MATCH(ЕТАЛОН_ПЛ,ПЛ_РЯДОК,0),0)),"")="",IFERROR(INDEX(БАЗА_RO,1,IFERROR(MATCH(ЕТАЛОН_ПЛ,ПЛ_РЯДОК,0),0)),"")=0),"",AC12/IFERROR(INDEX(БАЗА_RO,1,IFERROR(MATCH(ЕТАЛОН_ПЛ,ПЛ_РЯДОК,0),0)),"")-1)</f>
        <v/>
      </c>
      <c r="AE26" s="45" t="str">
        <f aca="false">IF(OR(AE12="",ЕТАЛОН_ПЛ="",IFERROR(INDEX(БАЗА_RO,1,IFERROR(MATCH(ЕТАЛОН_ПЛ,ПЛ_РЯДОК,0),0)),"")=""),"",AE12-IFERROR(INDEX(БАЗА_RO,1,IFERROR(MATCH(ЕТАЛОН_ПЛ,ПЛ_РЯДОК,0),0)),""))</f>
        <v/>
      </c>
      <c r="AF26" s="47" t="str">
        <f aca="false">IF(OR(AE12="",ЕТАЛОН_ПЛ="",IFERROR(INDEX(БАЗА_RO,1,IFERROR(MATCH(ЕТАЛОН_ПЛ,ПЛ_РЯДОК,0),0)),"")="",IFERROR(INDEX(БАЗА_RO,1,IFERROR(MATCH(ЕТАЛОН_ПЛ,ПЛ_РЯДОК,0),0)),"")=0),"",AE12/IFERROR(INDEX(БАЗА_RO,1,IFERROR(MATCH(ЕТАЛОН_ПЛ,ПЛ_РЯДОК,0),0)),"")-1)</f>
        <v/>
      </c>
      <c r="AG26" s="45" t="str">
        <f aca="false">IF(OR(AG12="",ЕТАЛОН_ПЛ="",IFERROR(INDEX(БАЗА_RO,1,IFERROR(MATCH(ЕТАЛОН_ПЛ,ПЛ_РЯДОК,0),0)),"")=""),"",AG12-IFERROR(INDEX(БАЗА_RO,1,IFERROR(MATCH(ЕТАЛОН_ПЛ,ПЛ_РЯДОК,0),0)),""))</f>
        <v/>
      </c>
      <c r="AH26" s="47" t="str">
        <f aca="false">IF(OR(AG12="",ЕТАЛОН_ПЛ="",IFERROR(INDEX(БАЗА_RO,1,IFERROR(MATCH(ЕТАЛОН_ПЛ,ПЛ_РЯДОК,0),0)),"")="",IFERROR(INDEX(БАЗА_RO,1,IFERROR(MATCH(ЕТАЛОН_ПЛ,ПЛ_РЯДОК,0),0)),"")=0),"",AG12/IFERROR(INDEX(БАЗА_RO,1,IFERROR(MATCH(ЕТАЛОН_ПЛ,ПЛ_РЯДОК,0),0)),"")-1)</f>
        <v/>
      </c>
      <c r="AI26" s="45" t="str">
        <f aca="false">IF(OR(AI12="",ЕТАЛОН_ПЛ="",IFERROR(INDEX(БАЗА_RO,1,IFERROR(MATCH(ЕТАЛОН_ПЛ,ПЛ_РЯДОК,0),0)),"")=""),"",AI12-IFERROR(INDEX(БАЗА_RO,1,IFERROR(MATCH(ЕТАЛОН_ПЛ,ПЛ_РЯДОК,0),0)),""))</f>
        <v/>
      </c>
      <c r="AJ26" s="47" t="str">
        <f aca="false">IF(OR(AI12="",ЕТАЛОН_ПЛ="",IFERROR(INDEX(БАЗА_RO,1,IFERROR(MATCH(ЕТАЛОН_ПЛ,ПЛ_РЯДОК,0),0)),"")="",IFERROR(INDEX(БАЗА_RO,1,IFERROR(MATCH(ЕТАЛОН_ПЛ,ПЛ_РЯДОК,0),0)),"")=0),"",AI12/IFERROR(INDEX(БАЗА_RO,1,IFERROR(MATCH(ЕТАЛОН_ПЛ,ПЛ_РЯДОК,0),0)),"")-1)</f>
        <v/>
      </c>
      <c r="AK26" s="45" t="str">
        <f aca="false">IF(OR(AK12="",ЕТАЛОН_ПЛ="",IFERROR(INDEX(БАЗА_RO,1,IFERROR(MATCH(ЕТАЛОН_ПЛ,ПЛ_РЯДОК,0),0)),"")=""),"",AK12-IFERROR(INDEX(БАЗА_RO,1,IFERROR(MATCH(ЕТАЛОН_ПЛ,ПЛ_РЯДОК,0),0)),""))</f>
        <v/>
      </c>
      <c r="AL26" s="47" t="str">
        <f aca="false">IF(OR(AK12="",ЕТАЛОН_ПЛ="",IFERROR(INDEX(БАЗА_RO,1,IFERROR(MATCH(ЕТАЛОН_ПЛ,ПЛ_РЯДОК,0),0)),"")="",IFERROR(INDEX(БАЗА_RO,1,IFERROR(MATCH(ЕТАЛОН_ПЛ,ПЛ_РЯДОК,0),0)),"")=0),"",AK12/IFERROR(INDEX(БАЗА_RO,1,IFERROR(MATCH(ЕТАЛОН_ПЛ,ПЛ_РЯДОК,0),0)),"")-1)</f>
        <v/>
      </c>
      <c r="AM26" s="45" t="str">
        <f aca="false">IF(OR(AM12="",ЕТАЛОН_ПЛ="",IFERROR(INDEX(БАЗА_RO,1,IFERROR(MATCH(ЕТАЛОН_ПЛ,ПЛ_РЯДОК,0),0)),"")=""),"",AM12-IFERROR(INDEX(БАЗА_RO,1,IFERROR(MATCH(ЕТАЛОН_ПЛ,ПЛ_РЯДОК,0),0)),""))</f>
        <v/>
      </c>
      <c r="AN26" s="47" t="str">
        <f aca="false">IF(OR(AM12="",ЕТАЛОН_ПЛ="",IFERROR(INDEX(БАЗА_RO,1,IFERROR(MATCH(ЕТАЛОН_ПЛ,ПЛ_РЯДОК,0),0)),"")="",IFERROR(INDEX(БАЗА_RO,1,IFERROR(MATCH(ЕТАЛОН_ПЛ,ПЛ_РЯДОК,0),0)),"")=0),"",AM12/IFERROR(INDEX(БАЗА_RO,1,IFERROR(MATCH(ЕТАЛОН_ПЛ,ПЛ_РЯДОК,0),0)),"")-1)</f>
        <v/>
      </c>
      <c r="AO26" s="45" t="str">
        <f aca="false">IF(OR(AO12="",ЕТАЛОН_ПЛ="",IFERROR(INDEX(БАЗА_RO,1,IFERROR(MATCH(ЕТАЛОН_ПЛ,ПЛ_РЯДОК,0),0)),"")=""),"",AO12-IFERROR(INDEX(БАЗА_RO,1,IFERROR(MATCH(ЕТАЛОН_ПЛ,ПЛ_РЯДОК,0),0)),""))</f>
        <v/>
      </c>
      <c r="AP26" s="47" t="str">
        <f aca="false">IF(OR(AO12="",ЕТАЛОН_ПЛ="",IFERROR(INDEX(БАЗА_RO,1,IFERROR(MATCH(ЕТАЛОН_ПЛ,ПЛ_РЯДОК,0),0)),"")="",IFERROR(INDEX(БАЗА_RO,1,IFERROR(MATCH(ЕТАЛОН_ПЛ,ПЛ_РЯДОК,0),0)),"")=0),"",AO12/IFERROR(INDEX(БАЗА_RO,1,IFERROR(MATCH(ЕТАЛОН_ПЛ,ПЛ_РЯДОК,0),0)),"")-1)</f>
        <v/>
      </c>
      <c r="AQ26" s="45" t="str">
        <f aca="false">IF(OR(AQ12="",ЕТАЛОН_ПЛ="",IFERROR(INDEX(БАЗА_RO,1,IFERROR(MATCH(ЕТАЛОН_ПЛ,ПЛ_РЯДОК,0),0)),"")=""),"",AQ12-IFERROR(INDEX(БАЗА_RO,1,IFERROR(MATCH(ЕТАЛОН_ПЛ,ПЛ_РЯДОК,0),0)),""))</f>
        <v/>
      </c>
      <c r="AR26" s="47" t="str">
        <f aca="false">IF(OR(AQ12="",ЕТАЛОН_ПЛ="",IFERROR(INDEX(БАЗА_RO,1,IFERROR(MATCH(ЕТАЛОН_ПЛ,ПЛ_РЯДОК,0),0)),"")="",IFERROR(INDEX(БАЗА_RO,1,IFERROR(MATCH(ЕТАЛОН_ПЛ,ПЛ_РЯДОК,0),0)),"")=0),"",AQ12/IFERROR(INDEX(БАЗА_RO,1,IFERROR(MATCH(ЕТАЛОН_ПЛ,ПЛ_РЯДОК,0),0)),"")-1)</f>
        <v/>
      </c>
      <c r="AS26" s="45" t="str">
        <f aca="false">IF(OR(AS12="",ЕТАЛОН_ПЛ="",IFERROR(INDEX(БАЗА_RO,1,IFERROR(MATCH(ЕТАЛОН_ПЛ,ПЛ_РЯДОК,0),0)),"")=""),"",AS12-IFERROR(INDEX(БАЗА_RO,1,IFERROR(MATCH(ЕТАЛОН_ПЛ,ПЛ_РЯДОК,0),0)),""))</f>
        <v/>
      </c>
      <c r="AT26" s="47" t="str">
        <f aca="false">IF(OR(AS12="",ЕТАЛОН_ПЛ="",IFERROR(INDEX(БАЗА_RO,1,IFERROR(MATCH(ЕТАЛОН_ПЛ,ПЛ_РЯДОК,0),0)),"")="",IFERROR(INDEX(БАЗА_RO,1,IFERROR(MATCH(ЕТАЛОН_ПЛ,ПЛ_РЯДОК,0),0)),"")=0),"",AS12/IFERROR(INDEX(БАЗА_RO,1,IFERROR(MATCH(ЕТАЛОН_ПЛ,ПЛ_РЯДОК,0),0)),"")-1)</f>
        <v/>
      </c>
      <c r="AU26" s="45" t="str">
        <f aca="false">IF(OR(AU12="",ЕТАЛОН_ПЛ="",IFERROR(INDEX(БАЗА_RO,1,IFERROR(MATCH(ЕТАЛОН_ПЛ,ПЛ_РЯДОК,0),0)),"")=""),"",AU12-IFERROR(INDEX(БАЗА_RO,1,IFERROR(MATCH(ЕТАЛОН_ПЛ,ПЛ_РЯДОК,0),0)),""))</f>
        <v/>
      </c>
      <c r="AV26" s="47" t="str">
        <f aca="false">IF(OR(AU12="",ЕТАЛОН_ПЛ="",IFERROR(INDEX(БАЗА_RO,1,IFERROR(MATCH(ЕТАЛОН_ПЛ,ПЛ_РЯДОК,0),0)),"")="",IFERROR(INDEX(БАЗА_RO,1,IFERROR(MATCH(ЕТАЛОН_ПЛ,ПЛ_РЯДОК,0),0)),"")=0),"",AU12/IFERROR(INDEX(БАЗА_RO,1,IFERROR(MATCH(ЕТАЛОН_ПЛ,ПЛ_РЯДОК,0),0)),"")-1)</f>
        <v/>
      </c>
      <c r="AW26" s="45" t="str">
        <f aca="false">IF(OR(AW12="",ЕТАЛОН_ПЛ="",IFERROR(INDEX(БАЗА_RO,1,IFERROR(MATCH(ЕТАЛОН_ПЛ,ПЛ_РЯДОК,0),0)),"")=""),"",AW12-IFERROR(INDEX(БАЗА_RO,1,IFERROR(MATCH(ЕТАЛОН_ПЛ,ПЛ_РЯДОК,0),0)),""))</f>
        <v/>
      </c>
      <c r="AX26" s="47" t="str">
        <f aca="false">IF(OR(AW12="",ЕТАЛОН_ПЛ="",IFERROR(INDEX(БАЗА_RO,1,IFERROR(MATCH(ЕТАЛОН_ПЛ,ПЛ_РЯДОК,0),0)),"")="",IFERROR(INDEX(БАЗА_RO,1,IFERROR(MATCH(ЕТАЛОН_ПЛ,ПЛ_РЯДОК,0),0)),"")=0),"",AW12/IFERROR(INDEX(БАЗА_RO,1,IFERROR(MATCH(ЕТАЛОН_ПЛ,ПЛ_РЯДОК,0),0)),"")-1)</f>
        <v/>
      </c>
      <c r="AY26" s="45" t="str">
        <f aca="false">IF(OR(AY12="",ЕТАЛОН_ПЛ="",IFERROR(INDEX(БАЗА_RO,1,IFERROR(MATCH(ЕТАЛОН_ПЛ,ПЛ_РЯДОК,0),0)),"")=""),"",AY12-IFERROR(INDEX(БАЗА_RO,1,IFERROR(MATCH(ЕТАЛОН_ПЛ,ПЛ_РЯДОК,0),0)),""))</f>
        <v/>
      </c>
      <c r="AZ26" s="47" t="str">
        <f aca="false">IF(OR(AY12="",ЕТАЛОН_ПЛ="",IFERROR(INDEX(БАЗА_RO,1,IFERROR(MATCH(ЕТАЛОН_ПЛ,ПЛ_РЯДОК,0),0)),"")="",IFERROR(INDEX(БАЗА_RO,1,IFERROR(MATCH(ЕТАЛОН_ПЛ,ПЛ_РЯДОК,0),0)),"")=0),"",AY12/IFERROR(INDEX(БАЗА_RO,1,IFERROR(MATCH(ЕТАЛОН_ПЛ,ПЛ_РЯДОК,0),0)),"")-1)</f>
        <v/>
      </c>
      <c r="BA26" s="45" t="str">
        <f aca="false">IF(OR(BA12="",ЕТАЛОН_ПЛ="",IFERROR(INDEX(БАЗА_RO,1,IFERROR(MATCH(ЕТАЛОН_ПЛ,ПЛ_РЯДОК,0),0)),"")=""),"",BA12-IFERROR(INDEX(БАЗА_RO,1,IFERROR(MATCH(ЕТАЛОН_ПЛ,ПЛ_РЯДОК,0),0)),""))</f>
        <v/>
      </c>
      <c r="BB26" s="47" t="str">
        <f aca="false">IF(OR(BA12="",ЕТАЛОН_ПЛ="",IFERROR(INDEX(БАЗА_RO,1,IFERROR(MATCH(ЕТАЛОН_ПЛ,ПЛ_РЯДОК,0),0)),"")="",IFERROR(INDEX(БАЗА_RO,1,IFERROR(MATCH(ЕТАЛОН_ПЛ,ПЛ_РЯДОК,0),0)),"")=0),"",BA12/IFERROR(INDEX(БАЗА_RO,1,IFERROR(MATCH(ЕТАЛОН_ПЛ,ПЛ_РЯДОК,0),0)),"")-1)</f>
        <v/>
      </c>
      <c r="BC26" s="45" t="str">
        <f aca="false">IF(OR(BC12="",ЕТАЛОН_ПЛ="",IFERROR(INDEX(БАЗА_RO,1,IFERROR(MATCH(ЕТАЛОН_ПЛ,ПЛ_РЯДОК,0),0)),"")=""),"",BC12-IFERROR(INDEX(БАЗА_RO,1,IFERROR(MATCH(ЕТАЛОН_ПЛ,ПЛ_РЯДОК,0),0)),""))</f>
        <v/>
      </c>
      <c r="BD26" s="47" t="str">
        <f aca="false">IF(OR(BC12="",ЕТАЛОН_ПЛ="",IFERROR(INDEX(БАЗА_RO,1,IFERROR(MATCH(ЕТАЛОН_ПЛ,ПЛ_РЯДОК,0),0)),"")="",IFERROR(INDEX(БАЗА_RO,1,IFERROR(MATCH(ЕТАЛОН_ПЛ,ПЛ_РЯДОК,0),0)),"")=0),"",BC12/IFERROR(INDEX(БАЗА_RO,1,IFERROR(MATCH(ЕТАЛОН_ПЛ,ПЛ_РЯДОК,0),0)),"")-1)</f>
        <v/>
      </c>
      <c r="BE26" s="45" t="str">
        <f aca="false">IF(OR(BE12="",ЕТАЛОН_ПЛ="",IFERROR(INDEX(БАЗА_RO,1,IFERROR(MATCH(ЕТАЛОН_ПЛ,ПЛ_РЯДОК,0),0)),"")=""),"",BE12-IFERROR(INDEX(БАЗА_RO,1,IFERROR(MATCH(ЕТАЛОН_ПЛ,ПЛ_РЯДОК,0),0)),""))</f>
        <v/>
      </c>
      <c r="BF26" s="47" t="str">
        <f aca="false">IF(OR(BE12="",ЕТАЛОН_ПЛ="",IFERROR(INDEX(БАЗА_RO,1,IFERROR(MATCH(ЕТАЛОН_ПЛ,ПЛ_РЯДОК,0),0)),"")="",IFERROR(INDEX(БАЗА_RO,1,IFERROR(MATCH(ЕТАЛОН_ПЛ,ПЛ_РЯДОК,0),0)),"")=0),"",BE12/IFERROR(INDEX(БАЗА_RO,1,IFERROR(MATCH(ЕТАЛОН_ПЛ,ПЛ_РЯДОК,0),0)),"")-1)</f>
        <v/>
      </c>
      <c r="BG26" s="45" t="str">
        <f aca="false">IF(OR(BG12="",ЕТАЛОН_ПЛ="",IFERROR(INDEX(БАЗА_RO,1,IFERROR(MATCH(ЕТАЛОН_ПЛ,ПЛ_РЯДОК,0),0)),"")=""),"",BG12-IFERROR(INDEX(БАЗА_RO,1,IFERROR(MATCH(ЕТАЛОН_ПЛ,ПЛ_РЯДОК,0),0)),""))</f>
        <v/>
      </c>
      <c r="BH26" s="47" t="str">
        <f aca="false">IF(OR(BG12="",ЕТАЛОН_ПЛ="",IFERROR(INDEX(БАЗА_RO,1,IFERROR(MATCH(ЕТАЛОН_ПЛ,ПЛ_РЯДОК,0),0)),"")="",IFERROR(INDEX(БАЗА_RO,1,IFERROR(MATCH(ЕТАЛОН_ПЛ,ПЛ_РЯДОК,0),0)),"")=0),"",BG12/IFERROR(INDEX(БАЗА_RO,1,IFERROR(MATCH(ЕТАЛОН_ПЛ,ПЛ_РЯДОК,0),0)),"")-1)</f>
        <v/>
      </c>
      <c r="BI26" s="45" t="str">
        <f aca="false">IF(OR(BI12="",ЕТАЛОН_ПЛ="",IFERROR(INDEX(БАЗА_RO,1,IFERROR(MATCH(ЕТАЛОН_ПЛ,ПЛ_РЯДОК,0),0)),"")=""),"",BI12-IFERROR(INDEX(БАЗА_RO,1,IFERROR(MATCH(ЕТАЛОН_ПЛ,ПЛ_РЯДОК,0),0)),""))</f>
        <v/>
      </c>
      <c r="BJ26" s="47" t="str">
        <f aca="false">IF(OR(BI12="",ЕТАЛОН_ПЛ="",IFERROR(INDEX(БАЗА_RO,1,IFERROR(MATCH(ЕТАЛОН_ПЛ,ПЛ_РЯДОК,0),0)),"")="",IFERROR(INDEX(БАЗА_RO,1,IFERROR(MATCH(ЕТАЛОН_ПЛ,ПЛ_РЯДОК,0),0)),"")=0),"",BI12/IFERROR(INDEX(БАЗА_RO,1,IFERROR(MATCH(ЕТАЛОН_ПЛ,ПЛ_РЯДОК,0),0)),"")-1)</f>
        <v/>
      </c>
      <c r="BK26" s="45" t="str">
        <f aca="false">IF(OR(BK12="",ЕТАЛОН_ПЛ="",IFERROR(INDEX(БАЗА_RO,1,IFERROR(MATCH(ЕТАЛОН_ПЛ,ПЛ_РЯДОК,0),0)),"")=""),"",BK12-IFERROR(INDEX(БАЗА_RO,1,IFERROR(MATCH(ЕТАЛОН_ПЛ,ПЛ_РЯДОК,0),0)),""))</f>
        <v/>
      </c>
      <c r="BL26" s="47" t="str">
        <f aca="false">IF(OR(BK12="",ЕТАЛОН_ПЛ="",IFERROR(INDEX(БАЗА_RO,1,IFERROR(MATCH(ЕТАЛОН_ПЛ,ПЛ_РЯДОК,0),0)),"")="",IFERROR(INDEX(БАЗА_RO,1,IFERROR(MATCH(ЕТАЛОН_ПЛ,ПЛ_РЯДОК,0),0)),"")=0),"",BK12/IFERROR(INDEX(БАЗА_RO,1,IFERROR(MATCH(ЕТАЛОН_ПЛ,ПЛ_РЯДОК,0),0)),"")-1)</f>
        <v/>
      </c>
      <c r="BM26" s="45" t="str">
        <f aca="false">IF(OR(BM12="",ЕТАЛОН_ПЛ="",IFERROR(INDEX(БАЗА_RO,1,IFERROR(MATCH(ЕТАЛОН_ПЛ,ПЛ_РЯДОК,0),0)),"")=""),"",BM12-IFERROR(INDEX(БАЗА_RO,1,IFERROR(MATCH(ЕТАЛОН_ПЛ,ПЛ_РЯДОК,0),0)),""))</f>
        <v/>
      </c>
      <c r="BN26" s="47" t="str">
        <f aca="false">IF(OR(BM12="",ЕТАЛОН_ПЛ="",IFERROR(INDEX(БАЗА_RO,1,IFERROR(MATCH(ЕТАЛОН_ПЛ,ПЛ_РЯДОК,0),0)),"")="",IFERROR(INDEX(БАЗА_RO,1,IFERROR(MATCH(ЕТАЛОН_ПЛ,ПЛ_РЯДОК,0),0)),"")=0),"",BM12/IFERROR(INDEX(БАЗА_RO,1,IFERROR(MATCH(ЕТАЛОН_ПЛ,ПЛ_РЯДОК,0),0)),"")-1)</f>
        <v/>
      </c>
      <c r="BO26" s="45" t="str">
        <f aca="false">IF(OR(BO12="",ЕТАЛОН_ПЛ="",IFERROR(INDEX(БАЗА_RO,1,IFERROR(MATCH(ЕТАЛОН_ПЛ,ПЛ_РЯДОК,0),0)),"")=""),"",BO12-IFERROR(INDEX(БАЗА_RO,1,IFERROR(MATCH(ЕТАЛОН_ПЛ,ПЛ_РЯДОК,0),0)),""))</f>
        <v/>
      </c>
      <c r="BP26" s="47" t="str">
        <f aca="false">IF(OR(BO12="",ЕТАЛОН_ПЛ="",IFERROR(INDEX(БАЗА_RO,1,IFERROR(MATCH(ЕТАЛОН_ПЛ,ПЛ_РЯДОК,0),0)),"")="",IFERROR(INDEX(БАЗА_RO,1,IFERROR(MATCH(ЕТАЛОН_ПЛ,ПЛ_РЯДОК,0),0)),"")=0),"",BO12/IFERROR(INDEX(БАЗА_RO,1,IFERROR(MATCH(ЕТАЛОН_ПЛ,ПЛ_РЯДОК,0),0)),"")-1)</f>
        <v/>
      </c>
      <c r="BQ26" s="45" t="str">
        <f aca="false">IF(OR(BQ12="",ЕТАЛОН_ПЛ="",IFERROR(INDEX(БАЗА_RO,1,IFERROR(MATCH(ЕТАЛОН_ПЛ,ПЛ_РЯДОК,0),0)),"")=""),"",BQ12-IFERROR(INDEX(БАЗА_RO,1,IFERROR(MATCH(ЕТАЛОН_ПЛ,ПЛ_РЯДОК,0),0)),""))</f>
        <v/>
      </c>
      <c r="BR26" s="47" t="str">
        <f aca="false">IF(OR(BQ12="",ЕТАЛОН_ПЛ="",IFERROR(INDEX(БАЗА_RO,1,IFERROR(MATCH(ЕТАЛОН_ПЛ,ПЛ_РЯДОК,0),0)),"")="",IFERROR(INDEX(БАЗА_RO,1,IFERROR(MATCH(ЕТАЛОН_ПЛ,ПЛ_РЯДОК,0),0)),"")=0),"",BQ12/IFERROR(INDEX(БАЗА_RO,1,IFERROR(MATCH(ЕТАЛОН_ПЛ,ПЛ_РЯДОК,0),0)),"")-1)</f>
        <v/>
      </c>
      <c r="BS26" s="45" t="str">
        <f aca="false">IF(OR(BS12="",ЕТАЛОН_ПЛ="",IFERROR(INDEX(БАЗА_RO,1,IFERROR(MATCH(ЕТАЛОН_ПЛ,ПЛ_РЯДОК,0),0)),"")=""),"",BS12-IFERROR(INDEX(БАЗА_RO,1,IFERROR(MATCH(ЕТАЛОН_ПЛ,ПЛ_РЯДОК,0),0)),""))</f>
        <v/>
      </c>
      <c r="BT26" s="47" t="str">
        <f aca="false">IF(OR(BS12="",ЕТАЛОН_ПЛ="",IFERROR(INDEX(БАЗА_RO,1,IFERROR(MATCH(ЕТАЛОН_ПЛ,ПЛ_РЯДОК,0),0)),"")="",IFERROR(INDEX(БАЗА_RO,1,IFERROR(MATCH(ЕТАЛОН_ПЛ,ПЛ_РЯДОК,0),0)),"")=0),"",BS12/IFERROR(INDEX(БАЗА_RO,1,IFERROR(MATCH(ЕТАЛОН_ПЛ,ПЛ_РЯДОК,0),0)),"")-1)</f>
        <v/>
      </c>
      <c r="BU26" s="45" t="str">
        <f aca="false">IF(OR(BU12="",ЕТАЛОН_ПЛ="",IFERROR(INDEX(БАЗА_RO,1,IFERROR(MATCH(ЕТАЛОН_ПЛ,ПЛ_РЯДОК,0),0)),"")=""),"",BU12-IFERROR(INDEX(БАЗА_RO,1,IFERROR(MATCH(ЕТАЛОН_ПЛ,ПЛ_РЯДОК,0),0)),""))</f>
        <v/>
      </c>
      <c r="BV26" s="47" t="str">
        <f aca="false">IF(OR(BU12="",ЕТАЛОН_ПЛ="",IFERROR(INDEX(БАЗА_RO,1,IFERROR(MATCH(ЕТАЛОН_ПЛ,ПЛ_РЯДОК,0),0)),"")="",IFERROR(INDEX(БАЗА_RO,1,IFERROR(MATCH(ЕТАЛОН_ПЛ,ПЛ_РЯДОК,0),0)),"")=0),"",BU12/IFERROR(INDEX(БАЗА_RO,1,IFERROR(MATCH(ЕТАЛОН_ПЛ,ПЛ_РЯДОК,0),0)),"")-1)</f>
        <v/>
      </c>
      <c r="BW26" s="45" t="str">
        <f aca="false">IF(OR(BW12="",ЕТАЛОН_ПЛ="",IFERROR(INDEX(БАЗА_RO,1,IFERROR(MATCH(ЕТАЛОН_ПЛ,ПЛ_РЯДОК,0),0)),"")=""),"",BW12-IFERROR(INDEX(БАЗА_RO,1,IFERROR(MATCH(ЕТАЛОН_ПЛ,ПЛ_РЯДОК,0),0)),""))</f>
        <v/>
      </c>
      <c r="BX26" s="47" t="str">
        <f aca="false">IF(OR(BW12="",ЕТАЛОН_ПЛ="",IFERROR(INDEX(БАЗА_RO,1,IFERROR(MATCH(ЕТАЛОН_ПЛ,ПЛ_РЯДОК,0),0)),"")="",IFERROR(INDEX(БАЗА_RO,1,IFERROR(MATCH(ЕТАЛОН_ПЛ,ПЛ_РЯДОК,0),0)),"")=0),"",BW12/IFERROR(INDEX(БАЗА_RO,1,IFERROR(MATCH(ЕТАЛОН_ПЛ,ПЛ_РЯДОК,0),0)),"")-1)</f>
        <v/>
      </c>
      <c r="BY26" s="45" t="str">
        <f aca="false">IF(OR(BY12="",ЕТАЛОН_ПЛ="",IFERROR(INDEX(БАЗА_RO,1,IFERROR(MATCH(ЕТАЛОН_ПЛ,ПЛ_РЯДОК,0),0)),"")=""),"",BY12-IFERROR(INDEX(БАЗА_RO,1,IFERROR(MATCH(ЕТАЛОН_ПЛ,ПЛ_РЯДОК,0),0)),""))</f>
        <v/>
      </c>
      <c r="BZ26" s="47" t="str">
        <f aca="false">IF(OR(BY12="",ЕТАЛОН_ПЛ="",IFERROR(INDEX(БАЗА_RO,1,IFERROR(MATCH(ЕТАЛОН_ПЛ,ПЛ_РЯДОК,0),0)),"")="",IFERROR(INDEX(БАЗА_RO,1,IFERROR(MATCH(ЕТАЛОН_ПЛ,ПЛ_РЯДОК,0),0)),"")=0),"",BY12/IFERROR(INDEX(БАЗА_RO,1,IFERROR(MATCH(ЕТАЛОН_ПЛ,ПЛ_РЯДОК,0),0)),"")-1)</f>
        <v/>
      </c>
      <c r="CA26" s="45" t="str">
        <f aca="false">IF(OR(CA12="",ЕТАЛОН_ПЛ="",IFERROR(INDEX(БАЗА_RO,1,IFERROR(MATCH(ЕТАЛОН_ПЛ,ПЛ_РЯДОК,0),0)),"")=""),"",CA12-IFERROR(INDEX(БАЗА_RO,1,IFERROR(MATCH(ЕТАЛОН_ПЛ,ПЛ_РЯДОК,0),0)),""))</f>
        <v/>
      </c>
      <c r="CB26" s="47" t="str">
        <f aca="false">IF(OR(CA12="",ЕТАЛОН_ПЛ="",IFERROR(INDEX(БАЗА_RO,1,IFERROR(MATCH(ЕТАЛОН_ПЛ,ПЛ_РЯДОК,0),0)),"")="",IFERROR(INDEX(БАЗА_RO,1,IFERROR(MATCH(ЕТАЛОН_ПЛ,ПЛ_РЯДОК,0),0)),"")=0),"",CA12/IFERROR(INDEX(БАЗА_RO,1,IFERROR(MATCH(ЕТАЛОН_ПЛ,ПЛ_РЯДОК,0),0)),"")-1)</f>
        <v/>
      </c>
      <c r="CC26" s="45" t="str">
        <f aca="false">IF(OR(CC12="",ЕТАЛОН_ПЛ="",IFERROR(INDEX(БАЗА_RO,1,IFERROR(MATCH(ЕТАЛОН_ПЛ,ПЛ_РЯДОК,0),0)),"")=""),"",CC12-IFERROR(INDEX(БАЗА_RO,1,IFERROR(MATCH(ЕТАЛОН_ПЛ,ПЛ_РЯДОК,0),0)),""))</f>
        <v/>
      </c>
      <c r="CD26" s="47" t="str">
        <f aca="false">IF(OR(CC12="",ЕТАЛОН_ПЛ="",IFERROR(INDEX(БАЗА_RO,1,IFERROR(MATCH(ЕТАЛОН_ПЛ,ПЛ_РЯДОК,0),0)),"")="",IFERROR(INDEX(БАЗА_RO,1,IFERROR(MATCH(ЕТАЛОН_ПЛ,ПЛ_РЯДОК,0),0)),"")=0),"",CC12/IFERROR(INDEX(БАЗА_RO,1,IFERROR(MATCH(ЕТАЛОН_ПЛ,ПЛ_РЯДОК,0),0)),"")-1)</f>
        <v/>
      </c>
      <c r="CE26" s="45" t="str">
        <f aca="false">IF(OR(CE12="",ЕТАЛОН_ПЛ="",IFERROR(INDEX(БАЗА_RO,1,IFERROR(MATCH(ЕТАЛОН_ПЛ,ПЛ_РЯДОК,0),0)),"")=""),"",CE12-IFERROR(INDEX(БАЗА_RO,1,IFERROR(MATCH(ЕТАЛОН_ПЛ,ПЛ_РЯДОК,0),0)),""))</f>
        <v/>
      </c>
      <c r="CF26" s="47" t="str">
        <f aca="false">IF(OR(CE12="",ЕТАЛОН_ПЛ="",IFERROR(INDEX(БАЗА_RO,1,IFERROR(MATCH(ЕТАЛОН_ПЛ,ПЛ_РЯДОК,0),0)),"")="",IFERROR(INDEX(БАЗА_RO,1,IFERROR(MATCH(ЕТАЛОН_ПЛ,ПЛ_РЯДОК,0),0)),"")=0),"",CE12/IFERROR(INDEX(БАЗА_RO,1,IFERROR(MATCH(ЕТАЛОН_ПЛ,ПЛ_РЯДОК,0),0)),"")-1)</f>
        <v/>
      </c>
      <c r="CG26" s="45" t="str">
        <f aca="false">IF(OR(CG12="",ЕТАЛОН_ПЛ="",IFERROR(INDEX(БАЗА_RO,1,IFERROR(MATCH(ЕТАЛОН_ПЛ,ПЛ_РЯДОК,0),0)),"")=""),"",CG12-IFERROR(INDEX(БАЗА_RO,1,IFERROR(MATCH(ЕТАЛОН_ПЛ,ПЛ_РЯДОК,0),0)),""))</f>
        <v/>
      </c>
      <c r="CH26" s="47" t="str">
        <f aca="false">IF(OR(CG12="",ЕТАЛОН_ПЛ="",IFERROR(INDEX(БАЗА_RO,1,IFERROR(MATCH(ЕТАЛОН_ПЛ,ПЛ_РЯДОК,0),0)),"")="",IFERROR(INDEX(БАЗА_RO,1,IFERROR(MATCH(ЕТАЛОН_ПЛ,ПЛ_РЯДОК,0),0)),"")=0),"",CG12/IFERROR(INDEX(БАЗА_RO,1,IFERROR(MATCH(ЕТАЛОН_ПЛ,ПЛ_РЯДОК,0),0)),"")-1)</f>
        <v/>
      </c>
      <c r="CI26" s="45" t="str">
        <f aca="false">IF(OR(CI12="",ЕТАЛОН_ПЛ="",IFERROR(INDEX(БАЗА_RO,1,IFERROR(MATCH(ЕТАЛОН_ПЛ,ПЛ_РЯДОК,0),0)),"")=""),"",CI12-IFERROR(INDEX(БАЗА_RO,1,IFERROR(MATCH(ЕТАЛОН_ПЛ,ПЛ_РЯДОК,0),0)),""))</f>
        <v/>
      </c>
      <c r="CJ26" s="47" t="str">
        <f aca="false">IF(OR(CI12="",ЕТАЛОН_ПЛ="",IFERROR(INDEX(БАЗА_RO,1,IFERROR(MATCH(ЕТАЛОН_ПЛ,ПЛ_РЯДОК,0),0)),"")="",IFERROR(INDEX(БАЗА_RO,1,IFERROR(MATCH(ЕТАЛОН_ПЛ,ПЛ_РЯДОК,0),0)),"")=0),"",CI12/IFERROR(INDEX(БАЗА_RO,1,IFERROR(MATCH(ЕТАЛОН_ПЛ,ПЛ_РЯДОК,0),0)),"")-1)</f>
        <v/>
      </c>
      <c r="CK26" s="45" t="str">
        <f aca="false">IF(OR(CK12="",ЕТАЛОН_ПЛ="",IFERROR(INDEX(БАЗА_RO,1,IFERROR(MATCH(ЕТАЛОН_ПЛ,ПЛ_РЯДОК,0),0)),"")=""),"",CK12-IFERROR(INDEX(БАЗА_RO,1,IFERROR(MATCH(ЕТАЛОН_ПЛ,ПЛ_РЯДОК,0),0)),""))</f>
        <v/>
      </c>
      <c r="CL26" s="47" t="str">
        <f aca="false">IF(OR(CK12="",ЕТАЛОН_ПЛ="",IFERROR(INDEX(БАЗА_RO,1,IFERROR(MATCH(ЕТАЛОН_ПЛ,ПЛ_РЯДОК,0),0)),"")="",IFERROR(INDEX(БАЗА_RO,1,IFERROR(MATCH(ЕТАЛОН_ПЛ,ПЛ_РЯДОК,0),0)),"")=0),"",CK12/IFERROR(INDEX(БАЗА_RO,1,IFERROR(MATCH(ЕТАЛОН_ПЛ,ПЛ_РЯДОК,0),0)),"")-1)</f>
        <v/>
      </c>
      <c r="CM26" s="45" t="str">
        <f aca="false">IF(OR(CM12="",ЕТАЛОН_ПЛ="",IFERROR(INDEX(БАЗА_RO,1,IFERROR(MATCH(ЕТАЛОН_ПЛ,ПЛ_РЯДОК,0),0)),"")=""),"",CM12-IFERROR(INDEX(БАЗА_RO,1,IFERROR(MATCH(ЕТАЛОН_ПЛ,ПЛ_РЯДОК,0),0)),""))</f>
        <v/>
      </c>
      <c r="CN26" s="47" t="str">
        <f aca="false">IF(OR(CM12="",ЕТАЛОН_ПЛ="",IFERROR(INDEX(БАЗА_RO,1,IFERROR(MATCH(ЕТАЛОН_ПЛ,ПЛ_РЯДОК,0),0)),"")="",IFERROR(INDEX(БАЗА_RO,1,IFERROR(MATCH(ЕТАЛОН_ПЛ,ПЛ_РЯДОК,0),0)),"")=0),"",CM12/IFERROR(INDEX(БАЗА_RO,1,IFERROR(MATCH(ЕТАЛОН_ПЛ,ПЛ_РЯДОК,0),0)),"")-1)</f>
        <v/>
      </c>
      <c r="CO26" s="45" t="str">
        <f aca="false">IF(OR(CO12="",ЕТАЛОН_ПЛ="",IFERROR(INDEX(БАЗА_RO,1,IFERROR(MATCH(ЕТАЛОН_ПЛ,ПЛ_РЯДОК,0),0)),"")=""),"",CO12-IFERROR(INDEX(БАЗА_RO,1,IFERROR(MATCH(ЕТАЛОН_ПЛ,ПЛ_РЯДОК,0),0)),""))</f>
        <v/>
      </c>
      <c r="CP26" s="47" t="str">
        <f aca="false">IF(OR(CO12="",ЕТАЛОН_ПЛ="",IFERROR(INDEX(БАЗА_RO,1,IFERROR(MATCH(ЕТАЛОН_ПЛ,ПЛ_РЯДОК,0),0)),"")="",IFERROR(INDEX(БАЗА_RO,1,IFERROR(MATCH(ЕТАЛОН_ПЛ,ПЛ_РЯДОК,0),0)),"")=0),"",CO12/IFERROR(INDEX(БАЗА_RO,1,IFERROR(MATCH(ЕТАЛОН_ПЛ,ПЛ_РЯДОК,0),0)),"")-1)</f>
        <v/>
      </c>
      <c r="CQ26" s="45" t="str">
        <f aca="false">IF(OR(CQ12="",ЕТАЛОН_ПЛ="",IFERROR(INDEX(БАЗА_RO,1,IFERROR(MATCH(ЕТАЛОН_ПЛ,ПЛ_РЯДОК,0),0)),"")=""),"",CQ12-IFERROR(INDEX(БАЗА_RO,1,IFERROR(MATCH(ЕТАЛОН_ПЛ,ПЛ_РЯДОК,0),0)),""))</f>
        <v/>
      </c>
      <c r="CR26" s="47" t="str">
        <f aca="false">IF(OR(CQ12="",ЕТАЛОН_ПЛ="",IFERROR(INDEX(БАЗА_RO,1,IFERROR(MATCH(ЕТАЛОН_ПЛ,ПЛ_РЯДОК,0),0)),"")="",IFERROR(INDEX(БАЗА_RO,1,IFERROR(MATCH(ЕТАЛОН_ПЛ,ПЛ_РЯДОК,0),0)),"")=0),"",CQ12/IFERROR(INDEX(БАЗА_RO,1,IFERROR(MATCH(ЕТАЛОН_ПЛ,ПЛ_РЯДОК,0),0)),"")-1)</f>
        <v/>
      </c>
      <c r="CS26" s="45" t="str">
        <f aca="false">IF(OR(CS12="",ЕТАЛОН_ПЛ="",IFERROR(INDEX(БАЗА_RO,1,IFERROR(MATCH(ЕТАЛОН_ПЛ,ПЛ_РЯДОК,0),0)),"")=""),"",CS12-IFERROR(INDEX(БАЗА_RO,1,IFERROR(MATCH(ЕТАЛОН_ПЛ,ПЛ_РЯДОК,0),0)),""))</f>
        <v/>
      </c>
      <c r="CT26" s="47" t="str">
        <f aca="false">IF(OR(CS12="",ЕТАЛОН_ПЛ="",IFERROR(INDEX(БАЗА_RO,1,IFERROR(MATCH(ЕТАЛОН_ПЛ,ПЛ_РЯДОК,0),0)),"")="",IFERROR(INDEX(БАЗА_RO,1,IFERROR(MATCH(ЕТАЛОН_ПЛ,ПЛ_РЯДОК,0),0)),"")=0),"",CS12/IFERROR(INDEX(БАЗА_RO,1,IFERROR(MATCH(ЕТАЛОН_ПЛ,ПЛ_РЯДОК,0),0)),"")-1)</f>
        <v/>
      </c>
      <c r="CU26" s="45" t="str">
        <f aca="false">IF(OR(CU12="",ЕТАЛОН_ПЛ="",IFERROR(INDEX(БАЗА_RO,1,IFERROR(MATCH(ЕТАЛОН_ПЛ,ПЛ_РЯДОК,0),0)),"")=""),"",CU12-IFERROR(INDEX(БАЗА_RO,1,IFERROR(MATCH(ЕТАЛОН_ПЛ,ПЛ_РЯДОК,0),0)),""))</f>
        <v/>
      </c>
      <c r="CV26" s="47" t="str">
        <f aca="false">IF(OR(CU12="",ЕТАЛОН_ПЛ="",IFERROR(INDEX(БАЗА_RO,1,IFERROR(MATCH(ЕТАЛОН_ПЛ,ПЛ_РЯДОК,0),0)),"")="",IFERROR(INDEX(БАЗА_RO,1,IFERROR(MATCH(ЕТАЛОН_ПЛ,ПЛ_РЯДОК,0),0)),"")=0),"",CU12/IFERROR(INDEX(БАЗА_RO,1,IFERROR(MATCH(ЕТАЛОН_ПЛ,ПЛ_РЯДОК,0),0)),"")-1)</f>
        <v/>
      </c>
      <c r="CW26" s="45" t="str">
        <f aca="false">IF(OR(CW12="",ЕТАЛОН_ПЛ="",IFERROR(INDEX(БАЗА_RO,1,IFERROR(MATCH(ЕТАЛОН_ПЛ,ПЛ_РЯДОК,0),0)),"")=""),"",CW12-IFERROR(INDEX(БАЗА_RO,1,IFERROR(MATCH(ЕТАЛОН_ПЛ,ПЛ_РЯДОК,0),0)),""))</f>
        <v/>
      </c>
      <c r="CX26" s="47" t="str">
        <f aca="false">IF(OR(CW12="",ЕТАЛОН_ПЛ="",IFERROR(INDEX(БАЗА_RO,1,IFERROR(MATCH(ЕТАЛОН_ПЛ,ПЛ_РЯДОК,0),0)),"")="",IFERROR(INDEX(БАЗА_RO,1,IFERROR(MATCH(ЕТАЛОН_ПЛ,ПЛ_РЯДОК,0),0)),"")=0),"",CW12/IFERROR(INDEX(БАЗА_RO,1,IFERROR(MATCH(ЕТАЛОН_ПЛ,ПЛ_РЯДОК,0),0)),"")-1)</f>
        <v/>
      </c>
      <c r="CY26" s="45" t="str">
        <f aca="false">IF(OR(CY12="",ЕТАЛОН_ПЛ="",IFERROR(INDEX(БАЗА_RO,1,IFERROR(MATCH(ЕТАЛОН_ПЛ,ПЛ_РЯДОК,0),0)),"")=""),"",CY12-IFERROR(INDEX(БАЗА_RO,1,IFERROR(MATCH(ЕТАЛОН_ПЛ,ПЛ_РЯДОК,0),0)),""))</f>
        <v/>
      </c>
      <c r="CZ26" s="47" t="str">
        <f aca="false">IF(OR(CY12="",ЕТАЛОН_ПЛ="",IFERROR(INDEX(БАЗА_RO,1,IFERROR(MATCH(ЕТАЛОН_ПЛ,ПЛ_РЯДОК,0),0)),"")="",IFERROR(INDEX(БАЗА_RO,1,IFERROR(MATCH(ЕТАЛОН_ПЛ,ПЛ_РЯДОК,0),0)),"")=0),"",CY12/IFERROR(INDEX(БАЗА_RO,1,IFERROR(MATCH(ЕТАЛОН_ПЛ,ПЛ_РЯДОК,0),0)),"")-1)</f>
        <v/>
      </c>
      <c r="DA26" s="45" t="str">
        <f aca="false">IF(OR(DA12="",ЕТАЛОН_ПЛ="",IFERROR(INDEX(БАЗА_RO,1,IFERROR(MATCH(ЕТАЛОН_ПЛ,ПЛ_РЯДОК,0),0)),"")=""),"",DA12-IFERROR(INDEX(БАЗА_RO,1,IFERROR(MATCH(ЕТАЛОН_ПЛ,ПЛ_РЯДОК,0),0)),""))</f>
        <v/>
      </c>
      <c r="DB26" s="47" t="str">
        <f aca="false">IF(OR(DA12="",ЕТАЛОН_ПЛ="",IFERROR(INDEX(БАЗА_RO,1,IFERROR(MATCH(ЕТАЛОН_ПЛ,ПЛ_РЯДОК,0),0)),"")="",IFERROR(INDEX(БАЗА_RO,1,IFERROR(MATCH(ЕТАЛОН_ПЛ,ПЛ_РЯДОК,0),0)),"")=0),"",DA12/IFERROR(INDEX(БАЗА_RO,1,IFERROR(MATCH(ЕТАЛОН_ПЛ,ПЛ_РЯДОК,0),0)),"")-1)</f>
        <v/>
      </c>
      <c r="DC26" s="45" t="str">
        <f aca="false">IF(OR(DC12="",ЕТАЛОН_ПЛ="",IFERROR(INDEX(БАЗА_RO,1,IFERROR(MATCH(ЕТАЛОН_ПЛ,ПЛ_РЯДОК,0),0)),"")=""),"",DC12-IFERROR(INDEX(БАЗА_RO,1,IFERROR(MATCH(ЕТАЛОН_ПЛ,ПЛ_РЯДОК,0),0)),""))</f>
        <v/>
      </c>
      <c r="DD26" s="47" t="str">
        <f aca="false">IF(OR(DC12="",ЕТАЛОН_ПЛ="",IFERROR(INDEX(БАЗА_RO,1,IFERROR(MATCH(ЕТАЛОН_ПЛ,ПЛ_РЯДОК,0),0)),"")="",IFERROR(INDEX(БАЗА_RO,1,IFERROR(MATCH(ЕТАЛОН_ПЛ,ПЛ_РЯДОК,0),0)),"")=0),"",DC12/IFERROR(INDEX(БАЗА_RO,1,IFERROR(MATCH(ЕТАЛОН_ПЛ,ПЛ_РЯДОК,0),0)),"")-1)</f>
        <v/>
      </c>
      <c r="DE26" s="45" t="str">
        <f aca="false">IF(OR(DE12="",ЕТАЛОН_ПЛ="",IFERROR(INDEX(БАЗА_RO,1,IFERROR(MATCH(ЕТАЛОН_ПЛ,ПЛ_РЯДОК,0),0)),"")=""),"",DE12-IFERROR(INDEX(БАЗА_RO,1,IFERROR(MATCH(ЕТАЛОН_ПЛ,ПЛ_РЯДОК,0),0)),""))</f>
        <v/>
      </c>
      <c r="DF26" s="47" t="str">
        <f aca="false">IF(OR(DE12="",ЕТАЛОН_ПЛ="",IFERROR(INDEX(БАЗА_RO,1,IFERROR(MATCH(ЕТАЛОН_ПЛ,ПЛ_РЯДОК,0),0)),"")="",IFERROR(INDEX(БАЗА_RO,1,IFERROR(MATCH(ЕТАЛОН_ПЛ,ПЛ_РЯДОК,0),0)),"")=0),"",DE12/IFERROR(INDEX(БАЗА_RO,1,IFERROR(MATCH(ЕТАЛОН_ПЛ,ПЛ_РЯДОК,0),0)),"")-1)</f>
        <v/>
      </c>
      <c r="DG26" s="45" t="str">
        <f aca="false">IF(OR(DG12="",ЕТАЛОН_ПЛ="",IFERROR(INDEX(БАЗА_RO,1,IFERROR(MATCH(ЕТАЛОН_ПЛ,ПЛ_РЯДОК,0),0)),"")=""),"",DG12-IFERROR(INDEX(БАЗА_RO,1,IFERROR(MATCH(ЕТАЛОН_ПЛ,ПЛ_РЯДОК,0),0)),""))</f>
        <v/>
      </c>
      <c r="DH26" s="47" t="str">
        <f aca="false">IF(OR(DG12="",ЕТАЛОН_ПЛ="",IFERROR(INDEX(БАЗА_RO,1,IFERROR(MATCH(ЕТАЛОН_ПЛ,ПЛ_РЯДОК,0),0)),"")="",IFERROR(INDEX(БАЗА_RO,1,IFERROR(MATCH(ЕТАЛОН_ПЛ,ПЛ_РЯДОК,0),0)),"")=0),"",DG12/IFERROR(INDEX(БАЗА_RO,1,IFERROR(MATCH(ЕТАЛОН_ПЛ,ПЛ_РЯДОК,0),0)),"")-1)</f>
        <v/>
      </c>
      <c r="DI26" s="45" t="str">
        <f aca="false">IF(OR(DI12="",ЕТАЛОН_ПЛ="",IFERROR(INDEX(БАЗА_RO,1,IFERROR(MATCH(ЕТАЛОН_ПЛ,ПЛ_РЯДОК,0),0)),"")=""),"",DI12-IFERROR(INDEX(БАЗА_RO,1,IFERROR(MATCH(ЕТАЛОН_ПЛ,ПЛ_РЯДОК,0),0)),""))</f>
        <v/>
      </c>
      <c r="DJ26" s="47" t="str">
        <f aca="false">IF(OR(DI12="",ЕТАЛОН_ПЛ="",IFERROR(INDEX(БАЗА_RO,1,IFERROR(MATCH(ЕТАЛОН_ПЛ,ПЛ_РЯДОК,0),0)),"")="",IFERROR(INDEX(БАЗА_RO,1,IFERROR(MATCH(ЕТАЛОН_ПЛ,ПЛ_РЯДОК,0),0)),"")=0),"",DI12/IFERROR(INDEX(БАЗА_RO,1,IFERROR(MATCH(ЕТАЛОН_ПЛ,ПЛ_РЯДОК,0),0)),"")-1)</f>
        <v/>
      </c>
      <c r="DK26" s="45" t="str">
        <f aca="false">IF(OR(DK12="",ЕТАЛОН_ПЛ="",IFERROR(INDEX(БАЗА_RO,1,IFERROR(MATCH(ЕТАЛОН_ПЛ,ПЛ_РЯДОК,0),0)),"")=""),"",DK12-IFERROR(INDEX(БАЗА_RO,1,IFERROR(MATCH(ЕТАЛОН_ПЛ,ПЛ_РЯДОК,0),0)),""))</f>
        <v/>
      </c>
      <c r="DL26" s="47" t="str">
        <f aca="false">IF(OR(DK12="",ЕТАЛОН_ПЛ="",IFERROR(INDEX(БАЗА_RO,1,IFERROR(MATCH(ЕТАЛОН_ПЛ,ПЛ_РЯДОК,0),0)),"")="",IFERROR(INDEX(БАЗА_RO,1,IFERROR(MATCH(ЕТАЛОН_ПЛ,ПЛ_РЯДОК,0),0)),"")=0),"",DK12/IFERROR(INDEX(БАЗА_RO,1,IFERROR(MATCH(ЕТАЛОН_ПЛ,ПЛ_РЯДОК,0),0)),"")-1)</f>
        <v/>
      </c>
      <c r="DM26" s="45" t="str">
        <f aca="false">IF(OR(DM12="",ЕТАЛОН_ПЛ="",IFERROR(INDEX(БАЗА_RO,1,IFERROR(MATCH(ЕТАЛОН_ПЛ,ПЛ_РЯДОК,0),0)),"")=""),"",DM12-IFERROR(INDEX(БАЗА_RO,1,IFERROR(MATCH(ЕТАЛОН_ПЛ,ПЛ_РЯДОК,0),0)),""))</f>
        <v/>
      </c>
      <c r="DN26" s="47" t="str">
        <f aca="false">IF(OR(DM12="",ЕТАЛОН_ПЛ="",IFERROR(INDEX(БАЗА_RO,1,IFERROR(MATCH(ЕТАЛОН_ПЛ,ПЛ_РЯДОК,0),0)),"")="",IFERROR(INDEX(БАЗА_RO,1,IFERROR(MATCH(ЕТАЛОН_ПЛ,ПЛ_РЯДОК,0),0)),"")=0),"",DM12/IFERROR(INDEX(БАЗА_RO,1,IFERROR(MATCH(ЕТАЛОН_ПЛ,ПЛ_РЯДОК,0),0)),"")-1)</f>
        <v/>
      </c>
      <c r="DO26" s="45" t="str">
        <f aca="false">IF(OR(DO12="",ЕТАЛОН_ПЛ="",IFERROR(INDEX(БАЗА_RO,1,IFERROR(MATCH(ЕТАЛОН_ПЛ,ПЛ_РЯДОК,0),0)),"")=""),"",DO12-IFERROR(INDEX(БАЗА_RO,1,IFERROR(MATCH(ЕТАЛОН_ПЛ,ПЛ_РЯДОК,0),0)),""))</f>
        <v/>
      </c>
      <c r="DP26" s="47" t="str">
        <f aca="false">IF(OR(DO12="",ЕТАЛОН_ПЛ="",IFERROR(INDEX(БАЗА_RO,1,IFERROR(MATCH(ЕТАЛОН_ПЛ,ПЛ_РЯДОК,0),0)),"")="",IFERROR(INDEX(БАЗА_RO,1,IFERROR(MATCH(ЕТАЛОН_ПЛ,ПЛ_РЯДОК,0),0)),"")=0),"",DO12/IFERROR(INDEX(БАЗА_RO,1,IFERROR(MATCH(ЕТАЛОН_ПЛ,ПЛ_РЯДОК,0),0)),"")-1)</f>
        <v/>
      </c>
      <c r="DQ26" s="45" t="str">
        <f aca="false">IF(OR(DQ12="",ЕТАЛОН_ПЛ="",IFERROR(INDEX(БАЗА_RO,1,IFERROR(MATCH(ЕТАЛОН_ПЛ,ПЛ_РЯДОК,0),0)),"")=""),"",DQ12-IFERROR(INDEX(БАЗА_RO,1,IFERROR(MATCH(ЕТАЛОН_ПЛ,ПЛ_РЯДОК,0),0)),""))</f>
        <v/>
      </c>
      <c r="DR26" s="47" t="str">
        <f aca="false">IF(OR(DQ12="",ЕТАЛОН_ПЛ="",IFERROR(INDEX(БАЗА_RO,1,IFERROR(MATCH(ЕТАЛОН_ПЛ,ПЛ_РЯДОК,0),0)),"")="",IFERROR(INDEX(БАЗА_RO,1,IFERROR(MATCH(ЕТАЛОН_ПЛ,ПЛ_РЯДОК,0),0)),"")=0),"",DQ12/IFERROR(INDEX(БАЗА_RO,1,IFERROR(MATCH(ЕТАЛОН_ПЛ,ПЛ_РЯДОК,0),0)),"")-1)</f>
        <v/>
      </c>
      <c r="DS26" s="45" t="str">
        <f aca="false">IF(OR(DS12="",ЕТАЛОН_ПЛ="",IFERROR(INDEX(БАЗА_RO,1,IFERROR(MATCH(ЕТАЛОН_ПЛ,ПЛ_РЯДОК,0),0)),"")=""),"",DS12-IFERROR(INDEX(БАЗА_RO,1,IFERROR(MATCH(ЕТАЛОН_ПЛ,ПЛ_РЯДОК,0),0)),""))</f>
        <v/>
      </c>
      <c r="DT26" s="47" t="str">
        <f aca="false">IF(OR(DS12="",ЕТАЛОН_ПЛ="",IFERROR(INDEX(БАЗА_RO,1,IFERROR(MATCH(ЕТАЛОН_ПЛ,ПЛ_РЯДОК,0),0)),"")="",IFERROR(INDEX(БАЗА_RO,1,IFERROR(MATCH(ЕТАЛОН_ПЛ,ПЛ_РЯДОК,0),0)),"")=0),"",DS12/IFERROR(INDEX(БАЗА_RO,1,IFERROR(MATCH(ЕТАЛОН_ПЛ,ПЛ_РЯДОК,0),0)),"")-1)</f>
        <v/>
      </c>
      <c r="DU26" s="45" t="str">
        <f aca="false">IF(OR(DU12="",ЕТАЛОН_ПЛ="",IFERROR(INDEX(БАЗА_RO,1,IFERROR(MATCH(ЕТАЛОН_ПЛ,ПЛ_РЯДОК,0),0)),"")=""),"",DU12-IFERROR(INDEX(БАЗА_RO,1,IFERROR(MATCH(ЕТАЛОН_ПЛ,ПЛ_РЯДОК,0),0)),""))</f>
        <v/>
      </c>
      <c r="DV26" s="47" t="str">
        <f aca="false">IF(OR(DU12="",ЕТАЛОН_ПЛ="",IFERROR(INDEX(БАЗА_RO,1,IFERROR(MATCH(ЕТАЛОН_ПЛ,ПЛ_РЯДОК,0),0)),"")="",IFERROR(INDEX(БАЗА_RO,1,IFERROR(MATCH(ЕТАЛОН_ПЛ,ПЛ_РЯДОК,0),0)),"")=0),"",DU12/IFERROR(INDEX(БАЗА_RO,1,IFERROR(MATCH(ЕТАЛОН_ПЛ,ПЛ_РЯДОК,0),0)),"")-1)</f>
        <v/>
      </c>
      <c r="DW26" s="45" t="str">
        <f aca="false">IF(OR(DW12="",ЕТАЛОН_ПЛ="",IFERROR(INDEX(БАЗА_RO,1,IFERROR(MATCH(ЕТАЛОН_ПЛ,ПЛ_РЯДОК,0),0)),"")=""),"",DW12-IFERROR(INDEX(БАЗА_RO,1,IFERROR(MATCH(ЕТАЛОН_ПЛ,ПЛ_РЯДОК,0),0)),""))</f>
        <v/>
      </c>
      <c r="DX26" s="47" t="str">
        <f aca="false">IF(OR(DW12="",ЕТАЛОН_ПЛ="",IFERROR(INDEX(БАЗА_RO,1,IFERROR(MATCH(ЕТАЛОН_ПЛ,ПЛ_РЯДОК,0),0)),"")="",IFERROR(INDEX(БАЗА_RO,1,IFERROR(MATCH(ЕТАЛОН_ПЛ,ПЛ_РЯДОК,0),0)),"")=0),"",DW12/IFERROR(INDEX(БАЗА_RO,1,IFERROR(MATCH(ЕТАЛОН_ПЛ,ПЛ_РЯДОК,0),0)),"")-1)</f>
        <v/>
      </c>
    </row>
    <row r="27" customFormat="false" ht="15" hidden="false" customHeight="false" outlineLevel="0" collapsed="false">
      <c r="A27" s="4"/>
      <c r="B27" s="31"/>
      <c r="C27" s="31"/>
      <c r="D27" s="41"/>
      <c r="E27" s="4"/>
      <c r="F27" s="14" t="s">
        <v>119</v>
      </c>
      <c r="H27" s="13" t="s">
        <v>94</v>
      </c>
      <c r="I27" s="45" t="n">
        <f aca="false">IF(OR(I13="",ЕТАЛОН_ПЛ="",IFERROR(INDEX(БАЗА_RO,2,IFERROR(MATCH(ЕТАЛОН_ПЛ,ПЛ_РЯДОК,0),0)),"")=""),"",I13-IFERROR(INDEX(БАЗА_RO,2,IFERROR(MATCH(ЕТАЛОН_ПЛ,ПЛ_РЯДОК,0),0)),""))</f>
        <v>-2300</v>
      </c>
      <c r="J27" s="47" t="n">
        <f aca="false">IF(OR(I13="",ЕТАЛОН_ПЛ="",IFERROR(INDEX(БАЗА_RO,2,IFERROR(MATCH(ЕТАЛОН_ПЛ,ПЛ_РЯДОК,0),0)),"")="",IFERROR(INDEX(БАЗА_RO,2,IFERROR(MATCH(ЕТАЛОН_ПЛ,ПЛ_РЯДОК,0),0)),"")=0),"",I13/IFERROR(INDEX(БАЗА_RO,2,IFERROR(MATCH(ЕТАЛОН_ПЛ,ПЛ_РЯДОК,0),0)),"")-1)</f>
        <v>-0.24468085106383</v>
      </c>
      <c r="K27" s="45" t="n">
        <f aca="false">IF(OR(K13="",ЕТАЛОН_ПЛ="",IFERROR(INDEX(БАЗА_RO,2,IFERROR(MATCH(ЕТАЛОН_ПЛ,ПЛ_РЯДОК,0),0)),"")=""),"",K13-IFERROR(INDEX(БАЗА_RO,2,IFERROR(MATCH(ЕТАЛОН_ПЛ,ПЛ_РЯДОК,0),0)),""))</f>
        <v>0</v>
      </c>
      <c r="L27" s="47" t="n">
        <f aca="false">IF(OR(K13="",ЕТАЛОН_ПЛ="",IFERROR(INDEX(БАЗА_RO,2,IFERROR(MATCH(ЕТАЛОН_ПЛ,ПЛ_РЯДОК,0),0)),"")="",IFERROR(INDEX(БАЗА_RO,2,IFERROR(MATCH(ЕТАЛОН_ПЛ,ПЛ_РЯДОК,0),0)),"")=0),"",K13/IFERROR(INDEX(БАЗА_RO,2,IFERROR(MATCH(ЕТАЛОН_ПЛ,ПЛ_РЯДОК,0),0)),"")-1)</f>
        <v>0</v>
      </c>
      <c r="M27" s="45" t="n">
        <f aca="false">IF(OR(M13="",ЕТАЛОН_ПЛ="",IFERROR(INDEX(БАЗА_RO,2,IFERROR(MATCH(ЕТАЛОН_ПЛ,ПЛ_РЯДОК,0),0)),"")=""),"",M13-IFERROR(INDEX(БАЗА_RO,2,IFERROR(MATCH(ЕТАЛОН_ПЛ,ПЛ_РЯДОК,0),0)),""))</f>
        <v>-2820</v>
      </c>
      <c r="N27" s="47" t="n">
        <f aca="false">IF(OR(M13="",ЕТАЛОН_ПЛ="",IFERROR(INDEX(БАЗА_RO,2,IFERROR(MATCH(ЕТАЛОН_ПЛ,ПЛ_РЯДОК,0),0)),"")="",IFERROR(INDEX(БАЗА_RO,2,IFERROR(MATCH(ЕТАЛОН_ПЛ,ПЛ_РЯДОК,0),0)),"")=0),"",M13/IFERROR(INDEX(БАЗА_RO,2,IFERROR(MATCH(ЕТАЛОН_ПЛ,ПЛ_РЯДОК,0),0)),"")-1)</f>
        <v>-0.3</v>
      </c>
      <c r="O27" s="45" t="n">
        <f aca="false">IF(OR(O13="",ЕТАЛОН_ПЛ="",IFERROR(INDEX(БАЗА_RO,2,IFERROR(MATCH(ЕТАЛОН_ПЛ,ПЛ_РЯДОК,0),0)),"")=""),"",O13-IFERROR(INDEX(БАЗА_RO,2,IFERROR(MATCH(ЕТАЛОН_ПЛ,ПЛ_РЯДОК,0),0)),""))</f>
        <v>-2350</v>
      </c>
      <c r="P27" s="47" t="n">
        <f aca="false">IF(OR(O13="",ЕТАЛОН_ПЛ="",IFERROR(INDEX(БАЗА_RO,2,IFERROR(MATCH(ЕТАЛОН_ПЛ,ПЛ_РЯДОК,0),0)),"")="",IFERROR(INDEX(БАЗА_RO,2,IFERROR(MATCH(ЕТАЛОН_ПЛ,ПЛ_РЯДОК,0),0)),"")=0),"",O13/IFERROR(INDEX(БАЗА_RO,2,IFERROR(MATCH(ЕТАЛОН_ПЛ,ПЛ_РЯДОК,0),0)),"")-1)</f>
        <v>-0.25</v>
      </c>
      <c r="Q27" s="45" t="n">
        <f aca="false">IF(OR(Q13="",ЕТАЛОН_ПЛ="",IFERROR(INDEX(БАЗА_RO,2,IFERROR(MATCH(ЕТАЛОН_ПЛ,ПЛ_РЯДОК,0),0)),"")=""),"",Q13-IFERROR(INDEX(БАЗА_RO,2,IFERROR(MATCH(ЕТАЛОН_ПЛ,ПЛ_РЯДОК,0),0)),""))</f>
        <v>-2300</v>
      </c>
      <c r="R27" s="47" t="n">
        <f aca="false">IF(OR(Q13="",ЕТАЛОН_ПЛ="",IFERROR(INDEX(БАЗА_RO,2,IFERROR(MATCH(ЕТАЛОН_ПЛ,ПЛ_РЯДОК,0),0)),"")="",IFERROR(INDEX(БАЗА_RO,2,IFERROR(MATCH(ЕТАЛОН_ПЛ,ПЛ_РЯДОК,0),0)),"")=0),"",Q13/IFERROR(INDEX(БАЗА_RO,2,IFERROR(MATCH(ЕТАЛОН_ПЛ,ПЛ_РЯДОК,0),0)),"")-1)</f>
        <v>-0.24468085106383</v>
      </c>
      <c r="S27" s="45" t="str">
        <f aca="false">IF(OR(S13="",ЕТАЛОН_ПЛ="",IFERROR(INDEX(БАЗА_RO,2,IFERROR(MATCH(ЕТАЛОН_ПЛ,ПЛ_РЯДОК,0),0)),"")=""),"",S13-IFERROR(INDEX(БАЗА_RO,2,IFERROR(MATCH(ЕТАЛОН_ПЛ,ПЛ_РЯДОК,0),0)),""))</f>
        <v/>
      </c>
      <c r="T27" s="47" t="str">
        <f aca="false">IF(OR(S13="",ЕТАЛОН_ПЛ="",IFERROR(INDEX(БАЗА_RO,2,IFERROR(MATCH(ЕТАЛОН_ПЛ,ПЛ_РЯДОК,0),0)),"")="",IFERROR(INDEX(БАЗА_RO,2,IFERROR(MATCH(ЕТАЛОН_ПЛ,ПЛ_РЯДОК,0),0)),"")=0),"",S13/IFERROR(INDEX(БАЗА_RO,2,IFERROR(MATCH(ЕТАЛОН_ПЛ,ПЛ_РЯДОК,0),0)),"")-1)</f>
        <v/>
      </c>
      <c r="U27" s="45" t="n">
        <f aca="false">IF(OR(U13="",ЕТАЛОН_ПЛ="",IFERROR(INDEX(БАЗА_RO,2,IFERROR(MATCH(ЕТАЛОН_ПЛ,ПЛ_РЯДОК,0),0)),"")=""),"",U13-IFERROR(INDEX(БАЗА_RO,2,IFERROR(MATCH(ЕТАЛОН_ПЛ,ПЛ_РЯДОК,0),0)),""))</f>
        <v>-1880</v>
      </c>
      <c r="V27" s="47" t="n">
        <f aca="false">IF(OR(U13="",ЕТАЛОН_ПЛ="",IFERROR(INDEX(БАЗА_RO,2,IFERROR(MATCH(ЕТАЛОН_ПЛ,ПЛ_РЯДОК,0),0)),"")="",IFERROR(INDEX(БАЗА_RO,2,IFERROR(MATCH(ЕТАЛОН_ПЛ,ПЛ_РЯДОК,0),0)),"")=0),"",U13/IFERROR(INDEX(БАЗА_RO,2,IFERROR(MATCH(ЕТАЛОН_ПЛ,ПЛ_РЯДОК,0),0)),"")-1)</f>
        <v>-0.2</v>
      </c>
      <c r="W27" s="45" t="str">
        <f aca="false">IF(OR(W13="",ЕТАЛОН_ПЛ="",IFERROR(INDEX(БАЗА_RO,2,IFERROR(MATCH(ЕТАЛОН_ПЛ,ПЛ_РЯДОК,0),0)),"")=""),"",W13-IFERROR(INDEX(БАЗА_RO,2,IFERROR(MATCH(ЕТАЛОН_ПЛ,ПЛ_РЯДОК,0),0)),""))</f>
        <v/>
      </c>
      <c r="X27" s="47" t="str">
        <f aca="false">IF(OR(W13="",ЕТАЛОН_ПЛ="",IFERROR(INDEX(БАЗА_RO,2,IFERROR(MATCH(ЕТАЛОН_ПЛ,ПЛ_РЯДОК,0),0)),"")="",IFERROR(INDEX(БАЗА_RO,2,IFERROR(MATCH(ЕТАЛОН_ПЛ,ПЛ_РЯДОК,0),0)),"")=0),"",W13/IFERROR(INDEX(БАЗА_RO,2,IFERROR(MATCH(ЕТАЛОН_ПЛ,ПЛ_РЯДОК,0),0)),"")-1)</f>
        <v/>
      </c>
      <c r="Y27" s="45" t="str">
        <f aca="false">IF(OR(Y13="",ЕТАЛОН_ПЛ="",IFERROR(INDEX(БАЗА_RO,2,IFERROR(MATCH(ЕТАЛОН_ПЛ,ПЛ_РЯДОК,0),0)),"")=""),"",Y13-IFERROR(INDEX(БАЗА_RO,2,IFERROR(MATCH(ЕТАЛОН_ПЛ,ПЛ_РЯДОК,0),0)),""))</f>
        <v/>
      </c>
      <c r="Z27" s="47" t="str">
        <f aca="false">IF(OR(Y13="",ЕТАЛОН_ПЛ="",IFERROR(INDEX(БАЗА_RO,2,IFERROR(MATCH(ЕТАЛОН_ПЛ,ПЛ_РЯДОК,0),0)),"")="",IFERROR(INDEX(БАЗА_RO,2,IFERROR(MATCH(ЕТАЛОН_ПЛ,ПЛ_РЯДОК,0),0)),"")=0),"",Y13/IFERROR(INDEX(БАЗА_RO,2,IFERROR(MATCH(ЕТАЛОН_ПЛ,ПЛ_РЯДОК,0),0)),"")-1)</f>
        <v/>
      </c>
      <c r="AA27" s="45" t="str">
        <f aca="false">IF(OR(AA13="",ЕТАЛОН_ПЛ="",IFERROR(INDEX(БАЗА_RO,2,IFERROR(MATCH(ЕТАЛОН_ПЛ,ПЛ_РЯДОК,0),0)),"")=""),"",AA13-IFERROR(INDEX(БАЗА_RO,2,IFERROR(MATCH(ЕТАЛОН_ПЛ,ПЛ_РЯДОК,0),0)),""))</f>
        <v/>
      </c>
      <c r="AB27" s="47" t="str">
        <f aca="false">IF(OR(AA13="",ЕТАЛОН_ПЛ="",IFERROR(INDEX(БАЗА_RO,2,IFERROR(MATCH(ЕТАЛОН_ПЛ,ПЛ_РЯДОК,0),0)),"")="",IFERROR(INDEX(БАЗА_RO,2,IFERROR(MATCH(ЕТАЛОН_ПЛ,ПЛ_РЯДОК,0),0)),"")=0),"",AA13/IFERROR(INDEX(БАЗА_RO,2,IFERROR(MATCH(ЕТАЛОН_ПЛ,ПЛ_РЯДОК,0),0)),"")-1)</f>
        <v/>
      </c>
      <c r="AC27" s="45" t="str">
        <f aca="false">IF(OR(AC13="",ЕТАЛОН_ПЛ="",IFERROR(INDEX(БАЗА_RO,2,IFERROR(MATCH(ЕТАЛОН_ПЛ,ПЛ_РЯДОК,0),0)),"")=""),"",AC13-IFERROR(INDEX(БАЗА_RO,2,IFERROR(MATCH(ЕТАЛОН_ПЛ,ПЛ_РЯДОК,0),0)),""))</f>
        <v/>
      </c>
      <c r="AD27" s="47" t="str">
        <f aca="false">IF(OR(AC13="",ЕТАЛОН_ПЛ="",IFERROR(INDEX(БАЗА_RO,2,IFERROR(MATCH(ЕТАЛОН_ПЛ,ПЛ_РЯДОК,0),0)),"")="",IFERROR(INDEX(БАЗА_RO,2,IFERROR(MATCH(ЕТАЛОН_ПЛ,ПЛ_РЯДОК,0),0)),"")=0),"",AC13/IFERROR(INDEX(БАЗА_RO,2,IFERROR(MATCH(ЕТАЛОН_ПЛ,ПЛ_РЯДОК,0),0)),"")-1)</f>
        <v/>
      </c>
      <c r="AE27" s="45" t="str">
        <f aca="false">IF(OR(AE13="",ЕТАЛОН_ПЛ="",IFERROR(INDEX(БАЗА_RO,2,IFERROR(MATCH(ЕТАЛОН_ПЛ,ПЛ_РЯДОК,0),0)),"")=""),"",AE13-IFERROR(INDEX(БАЗА_RO,2,IFERROR(MATCH(ЕТАЛОН_ПЛ,ПЛ_РЯДОК,0),0)),""))</f>
        <v/>
      </c>
      <c r="AF27" s="47" t="str">
        <f aca="false">IF(OR(AE13="",ЕТАЛОН_ПЛ="",IFERROR(INDEX(БАЗА_RO,2,IFERROR(MATCH(ЕТАЛОН_ПЛ,ПЛ_РЯДОК,0),0)),"")="",IFERROR(INDEX(БАЗА_RO,2,IFERROR(MATCH(ЕТАЛОН_ПЛ,ПЛ_РЯДОК,0),0)),"")=0),"",AE13/IFERROR(INDEX(БАЗА_RO,2,IFERROR(MATCH(ЕТАЛОН_ПЛ,ПЛ_РЯДОК,0),0)),"")-1)</f>
        <v/>
      </c>
      <c r="AG27" s="45" t="str">
        <f aca="false">IF(OR(AG13="",ЕТАЛОН_ПЛ="",IFERROR(INDEX(БАЗА_RO,2,IFERROR(MATCH(ЕТАЛОН_ПЛ,ПЛ_РЯДОК,0),0)),"")=""),"",AG13-IFERROR(INDEX(БАЗА_RO,2,IFERROR(MATCH(ЕТАЛОН_ПЛ,ПЛ_РЯДОК,0),0)),""))</f>
        <v/>
      </c>
      <c r="AH27" s="47" t="str">
        <f aca="false">IF(OR(AG13="",ЕТАЛОН_ПЛ="",IFERROR(INDEX(БАЗА_RO,2,IFERROR(MATCH(ЕТАЛОН_ПЛ,ПЛ_РЯДОК,0),0)),"")="",IFERROR(INDEX(БАЗА_RO,2,IFERROR(MATCH(ЕТАЛОН_ПЛ,ПЛ_РЯДОК,0),0)),"")=0),"",AG13/IFERROR(INDEX(БАЗА_RO,2,IFERROR(MATCH(ЕТАЛОН_ПЛ,ПЛ_РЯДОК,0),0)),"")-1)</f>
        <v/>
      </c>
      <c r="AI27" s="45" t="str">
        <f aca="false">IF(OR(AI13="",ЕТАЛОН_ПЛ="",IFERROR(INDEX(БАЗА_RO,2,IFERROR(MATCH(ЕТАЛОН_ПЛ,ПЛ_РЯДОК,0),0)),"")=""),"",AI13-IFERROR(INDEX(БАЗА_RO,2,IFERROR(MATCH(ЕТАЛОН_ПЛ,ПЛ_РЯДОК,0),0)),""))</f>
        <v/>
      </c>
      <c r="AJ27" s="47" t="str">
        <f aca="false">IF(OR(AI13="",ЕТАЛОН_ПЛ="",IFERROR(INDEX(БАЗА_RO,2,IFERROR(MATCH(ЕТАЛОН_ПЛ,ПЛ_РЯДОК,0),0)),"")="",IFERROR(INDEX(БАЗА_RO,2,IFERROR(MATCH(ЕТАЛОН_ПЛ,ПЛ_РЯДОК,0),0)),"")=0),"",AI13/IFERROR(INDEX(БАЗА_RO,2,IFERROR(MATCH(ЕТАЛОН_ПЛ,ПЛ_РЯДОК,0),0)),"")-1)</f>
        <v/>
      </c>
      <c r="AK27" s="45" t="str">
        <f aca="false">IF(OR(AK13="",ЕТАЛОН_ПЛ="",IFERROR(INDEX(БАЗА_RO,2,IFERROR(MATCH(ЕТАЛОН_ПЛ,ПЛ_РЯДОК,0),0)),"")=""),"",AK13-IFERROR(INDEX(БАЗА_RO,2,IFERROR(MATCH(ЕТАЛОН_ПЛ,ПЛ_РЯДОК,0),0)),""))</f>
        <v/>
      </c>
      <c r="AL27" s="47" t="str">
        <f aca="false">IF(OR(AK13="",ЕТАЛОН_ПЛ="",IFERROR(INDEX(БАЗА_RO,2,IFERROR(MATCH(ЕТАЛОН_ПЛ,ПЛ_РЯДОК,0),0)),"")="",IFERROR(INDEX(БАЗА_RO,2,IFERROR(MATCH(ЕТАЛОН_ПЛ,ПЛ_РЯДОК,0),0)),"")=0),"",AK13/IFERROR(INDEX(БАЗА_RO,2,IFERROR(MATCH(ЕТАЛОН_ПЛ,ПЛ_РЯДОК,0),0)),"")-1)</f>
        <v/>
      </c>
      <c r="AM27" s="45" t="str">
        <f aca="false">IF(OR(AM13="",ЕТАЛОН_ПЛ="",IFERROR(INDEX(БАЗА_RO,2,IFERROR(MATCH(ЕТАЛОН_ПЛ,ПЛ_РЯДОК,0),0)),"")=""),"",AM13-IFERROR(INDEX(БАЗА_RO,2,IFERROR(MATCH(ЕТАЛОН_ПЛ,ПЛ_РЯДОК,0),0)),""))</f>
        <v/>
      </c>
      <c r="AN27" s="47" t="str">
        <f aca="false">IF(OR(AM13="",ЕТАЛОН_ПЛ="",IFERROR(INDEX(БАЗА_RO,2,IFERROR(MATCH(ЕТАЛОН_ПЛ,ПЛ_РЯДОК,0),0)),"")="",IFERROR(INDEX(БАЗА_RO,2,IFERROR(MATCH(ЕТАЛОН_ПЛ,ПЛ_РЯДОК,0),0)),"")=0),"",AM13/IFERROR(INDEX(БАЗА_RO,2,IFERROR(MATCH(ЕТАЛОН_ПЛ,ПЛ_РЯДОК,0),0)),"")-1)</f>
        <v/>
      </c>
      <c r="AO27" s="45" t="str">
        <f aca="false">IF(OR(AO13="",ЕТАЛОН_ПЛ="",IFERROR(INDEX(БАЗА_RO,2,IFERROR(MATCH(ЕТАЛОН_ПЛ,ПЛ_РЯДОК,0),0)),"")=""),"",AO13-IFERROR(INDEX(БАЗА_RO,2,IFERROR(MATCH(ЕТАЛОН_ПЛ,ПЛ_РЯДОК,0),0)),""))</f>
        <v/>
      </c>
      <c r="AP27" s="47" t="str">
        <f aca="false">IF(OR(AO13="",ЕТАЛОН_ПЛ="",IFERROR(INDEX(БАЗА_RO,2,IFERROR(MATCH(ЕТАЛОН_ПЛ,ПЛ_РЯДОК,0),0)),"")="",IFERROR(INDEX(БАЗА_RO,2,IFERROR(MATCH(ЕТАЛОН_ПЛ,ПЛ_РЯДОК,0),0)),"")=0),"",AO13/IFERROR(INDEX(БАЗА_RO,2,IFERROR(MATCH(ЕТАЛОН_ПЛ,ПЛ_РЯДОК,0),0)),"")-1)</f>
        <v/>
      </c>
      <c r="AQ27" s="45" t="str">
        <f aca="false">IF(OR(AQ13="",ЕТАЛОН_ПЛ="",IFERROR(INDEX(БАЗА_RO,2,IFERROR(MATCH(ЕТАЛОН_ПЛ,ПЛ_РЯДОК,0),0)),"")=""),"",AQ13-IFERROR(INDEX(БАЗА_RO,2,IFERROR(MATCH(ЕТАЛОН_ПЛ,ПЛ_РЯДОК,0),0)),""))</f>
        <v/>
      </c>
      <c r="AR27" s="47" t="str">
        <f aca="false">IF(OR(AQ13="",ЕТАЛОН_ПЛ="",IFERROR(INDEX(БАЗА_RO,2,IFERROR(MATCH(ЕТАЛОН_ПЛ,ПЛ_РЯДОК,0),0)),"")="",IFERROR(INDEX(БАЗА_RO,2,IFERROR(MATCH(ЕТАЛОН_ПЛ,ПЛ_РЯДОК,0),0)),"")=0),"",AQ13/IFERROR(INDEX(БАЗА_RO,2,IFERROR(MATCH(ЕТАЛОН_ПЛ,ПЛ_РЯДОК,0),0)),"")-1)</f>
        <v/>
      </c>
      <c r="AS27" s="45" t="str">
        <f aca="false">IF(OR(AS13="",ЕТАЛОН_ПЛ="",IFERROR(INDEX(БАЗА_RO,2,IFERROR(MATCH(ЕТАЛОН_ПЛ,ПЛ_РЯДОК,0),0)),"")=""),"",AS13-IFERROR(INDEX(БАЗА_RO,2,IFERROR(MATCH(ЕТАЛОН_ПЛ,ПЛ_РЯДОК,0),0)),""))</f>
        <v/>
      </c>
      <c r="AT27" s="47" t="str">
        <f aca="false">IF(OR(AS13="",ЕТАЛОН_ПЛ="",IFERROR(INDEX(БАЗА_RO,2,IFERROR(MATCH(ЕТАЛОН_ПЛ,ПЛ_РЯДОК,0),0)),"")="",IFERROR(INDEX(БАЗА_RO,2,IFERROR(MATCH(ЕТАЛОН_ПЛ,ПЛ_РЯДОК,0),0)),"")=0),"",AS13/IFERROR(INDEX(БАЗА_RO,2,IFERROR(MATCH(ЕТАЛОН_ПЛ,ПЛ_РЯДОК,0),0)),"")-1)</f>
        <v/>
      </c>
      <c r="AU27" s="45" t="str">
        <f aca="false">IF(OR(AU13="",ЕТАЛОН_ПЛ="",IFERROR(INDEX(БАЗА_RO,2,IFERROR(MATCH(ЕТАЛОН_ПЛ,ПЛ_РЯДОК,0),0)),"")=""),"",AU13-IFERROR(INDEX(БАЗА_RO,2,IFERROR(MATCH(ЕТАЛОН_ПЛ,ПЛ_РЯДОК,0),0)),""))</f>
        <v/>
      </c>
      <c r="AV27" s="47" t="str">
        <f aca="false">IF(OR(AU13="",ЕТАЛОН_ПЛ="",IFERROR(INDEX(БАЗА_RO,2,IFERROR(MATCH(ЕТАЛОН_ПЛ,ПЛ_РЯДОК,0),0)),"")="",IFERROR(INDEX(БАЗА_RO,2,IFERROR(MATCH(ЕТАЛОН_ПЛ,ПЛ_РЯДОК,0),0)),"")=0),"",AU13/IFERROR(INDEX(БАЗА_RO,2,IFERROR(MATCH(ЕТАЛОН_ПЛ,ПЛ_РЯДОК,0),0)),"")-1)</f>
        <v/>
      </c>
      <c r="AW27" s="45" t="str">
        <f aca="false">IF(OR(AW13="",ЕТАЛОН_ПЛ="",IFERROR(INDEX(БАЗА_RO,2,IFERROR(MATCH(ЕТАЛОН_ПЛ,ПЛ_РЯДОК,0),0)),"")=""),"",AW13-IFERROR(INDEX(БАЗА_RO,2,IFERROR(MATCH(ЕТАЛОН_ПЛ,ПЛ_РЯДОК,0),0)),""))</f>
        <v/>
      </c>
      <c r="AX27" s="47" t="str">
        <f aca="false">IF(OR(AW13="",ЕТАЛОН_ПЛ="",IFERROR(INDEX(БАЗА_RO,2,IFERROR(MATCH(ЕТАЛОН_ПЛ,ПЛ_РЯДОК,0),0)),"")="",IFERROR(INDEX(БАЗА_RO,2,IFERROR(MATCH(ЕТАЛОН_ПЛ,ПЛ_РЯДОК,0),0)),"")=0),"",AW13/IFERROR(INDEX(БАЗА_RO,2,IFERROR(MATCH(ЕТАЛОН_ПЛ,ПЛ_РЯДОК,0),0)),"")-1)</f>
        <v/>
      </c>
      <c r="AY27" s="45" t="str">
        <f aca="false">IF(OR(AY13="",ЕТАЛОН_ПЛ="",IFERROR(INDEX(БАЗА_RO,2,IFERROR(MATCH(ЕТАЛОН_ПЛ,ПЛ_РЯДОК,0),0)),"")=""),"",AY13-IFERROR(INDEX(БАЗА_RO,2,IFERROR(MATCH(ЕТАЛОН_ПЛ,ПЛ_РЯДОК,0),0)),""))</f>
        <v/>
      </c>
      <c r="AZ27" s="47" t="str">
        <f aca="false">IF(OR(AY13="",ЕТАЛОН_ПЛ="",IFERROR(INDEX(БАЗА_RO,2,IFERROR(MATCH(ЕТАЛОН_ПЛ,ПЛ_РЯДОК,0),0)),"")="",IFERROR(INDEX(БАЗА_RO,2,IFERROR(MATCH(ЕТАЛОН_ПЛ,ПЛ_РЯДОК,0),0)),"")=0),"",AY13/IFERROR(INDEX(БАЗА_RO,2,IFERROR(MATCH(ЕТАЛОН_ПЛ,ПЛ_РЯДОК,0),0)),"")-1)</f>
        <v/>
      </c>
      <c r="BA27" s="45" t="str">
        <f aca="false">IF(OR(BA13="",ЕТАЛОН_ПЛ="",IFERROR(INDEX(БАЗА_RO,2,IFERROR(MATCH(ЕТАЛОН_ПЛ,ПЛ_РЯДОК,0),0)),"")=""),"",BA13-IFERROR(INDEX(БАЗА_RO,2,IFERROR(MATCH(ЕТАЛОН_ПЛ,ПЛ_РЯДОК,0),0)),""))</f>
        <v/>
      </c>
      <c r="BB27" s="47" t="str">
        <f aca="false">IF(OR(BA13="",ЕТАЛОН_ПЛ="",IFERROR(INDEX(БАЗА_RO,2,IFERROR(MATCH(ЕТАЛОН_ПЛ,ПЛ_РЯДОК,0),0)),"")="",IFERROR(INDEX(БАЗА_RO,2,IFERROR(MATCH(ЕТАЛОН_ПЛ,ПЛ_РЯДОК,0),0)),"")=0),"",BA13/IFERROR(INDEX(БАЗА_RO,2,IFERROR(MATCH(ЕТАЛОН_ПЛ,ПЛ_РЯДОК,0),0)),"")-1)</f>
        <v/>
      </c>
      <c r="BC27" s="45" t="str">
        <f aca="false">IF(OR(BC13="",ЕТАЛОН_ПЛ="",IFERROR(INDEX(БАЗА_RO,2,IFERROR(MATCH(ЕТАЛОН_ПЛ,ПЛ_РЯДОК,0),0)),"")=""),"",BC13-IFERROR(INDEX(БАЗА_RO,2,IFERROR(MATCH(ЕТАЛОН_ПЛ,ПЛ_РЯДОК,0),0)),""))</f>
        <v/>
      </c>
      <c r="BD27" s="47" t="str">
        <f aca="false">IF(OR(BC13="",ЕТАЛОН_ПЛ="",IFERROR(INDEX(БАЗА_RO,2,IFERROR(MATCH(ЕТАЛОН_ПЛ,ПЛ_РЯДОК,0),0)),"")="",IFERROR(INDEX(БАЗА_RO,2,IFERROR(MATCH(ЕТАЛОН_ПЛ,ПЛ_РЯДОК,0),0)),"")=0),"",BC13/IFERROR(INDEX(БАЗА_RO,2,IFERROR(MATCH(ЕТАЛОН_ПЛ,ПЛ_РЯДОК,0),0)),"")-1)</f>
        <v/>
      </c>
      <c r="BE27" s="45" t="str">
        <f aca="false">IF(OR(BE13="",ЕТАЛОН_ПЛ="",IFERROR(INDEX(БАЗА_RO,2,IFERROR(MATCH(ЕТАЛОН_ПЛ,ПЛ_РЯДОК,0),0)),"")=""),"",BE13-IFERROR(INDEX(БАЗА_RO,2,IFERROR(MATCH(ЕТАЛОН_ПЛ,ПЛ_РЯДОК,0),0)),""))</f>
        <v/>
      </c>
      <c r="BF27" s="47" t="str">
        <f aca="false">IF(OR(BE13="",ЕТАЛОН_ПЛ="",IFERROR(INDEX(БАЗА_RO,2,IFERROR(MATCH(ЕТАЛОН_ПЛ,ПЛ_РЯДОК,0),0)),"")="",IFERROR(INDEX(БАЗА_RO,2,IFERROR(MATCH(ЕТАЛОН_ПЛ,ПЛ_РЯДОК,0),0)),"")=0),"",BE13/IFERROR(INDEX(БАЗА_RO,2,IFERROR(MATCH(ЕТАЛОН_ПЛ,ПЛ_РЯДОК,0),0)),"")-1)</f>
        <v/>
      </c>
      <c r="BG27" s="45" t="str">
        <f aca="false">IF(OR(BG13="",ЕТАЛОН_ПЛ="",IFERROR(INDEX(БАЗА_RO,2,IFERROR(MATCH(ЕТАЛОН_ПЛ,ПЛ_РЯДОК,0),0)),"")=""),"",BG13-IFERROR(INDEX(БАЗА_RO,2,IFERROR(MATCH(ЕТАЛОН_ПЛ,ПЛ_РЯДОК,0),0)),""))</f>
        <v/>
      </c>
      <c r="BH27" s="47" t="str">
        <f aca="false">IF(OR(BG13="",ЕТАЛОН_ПЛ="",IFERROR(INDEX(БАЗА_RO,2,IFERROR(MATCH(ЕТАЛОН_ПЛ,ПЛ_РЯДОК,0),0)),"")="",IFERROR(INDEX(БАЗА_RO,2,IFERROR(MATCH(ЕТАЛОН_ПЛ,ПЛ_РЯДОК,0),0)),"")=0),"",BG13/IFERROR(INDEX(БАЗА_RO,2,IFERROR(MATCH(ЕТАЛОН_ПЛ,ПЛ_РЯДОК,0),0)),"")-1)</f>
        <v/>
      </c>
      <c r="BI27" s="45" t="str">
        <f aca="false">IF(OR(BI13="",ЕТАЛОН_ПЛ="",IFERROR(INDEX(БАЗА_RO,2,IFERROR(MATCH(ЕТАЛОН_ПЛ,ПЛ_РЯДОК,0),0)),"")=""),"",BI13-IFERROR(INDEX(БАЗА_RO,2,IFERROR(MATCH(ЕТАЛОН_ПЛ,ПЛ_РЯДОК,0),0)),""))</f>
        <v/>
      </c>
      <c r="BJ27" s="47" t="str">
        <f aca="false">IF(OR(BI13="",ЕТАЛОН_ПЛ="",IFERROR(INDEX(БАЗА_RO,2,IFERROR(MATCH(ЕТАЛОН_ПЛ,ПЛ_РЯДОК,0),0)),"")="",IFERROR(INDEX(БАЗА_RO,2,IFERROR(MATCH(ЕТАЛОН_ПЛ,ПЛ_РЯДОК,0),0)),"")=0),"",BI13/IFERROR(INDEX(БАЗА_RO,2,IFERROR(MATCH(ЕТАЛОН_ПЛ,ПЛ_РЯДОК,0),0)),"")-1)</f>
        <v/>
      </c>
      <c r="BK27" s="45" t="str">
        <f aca="false">IF(OR(BK13="",ЕТАЛОН_ПЛ="",IFERROR(INDEX(БАЗА_RO,2,IFERROR(MATCH(ЕТАЛОН_ПЛ,ПЛ_РЯДОК,0),0)),"")=""),"",BK13-IFERROR(INDEX(БАЗА_RO,2,IFERROR(MATCH(ЕТАЛОН_ПЛ,ПЛ_РЯДОК,0),0)),""))</f>
        <v/>
      </c>
      <c r="BL27" s="47" t="str">
        <f aca="false">IF(OR(BK13="",ЕТАЛОН_ПЛ="",IFERROR(INDEX(БАЗА_RO,2,IFERROR(MATCH(ЕТАЛОН_ПЛ,ПЛ_РЯДОК,0),0)),"")="",IFERROR(INDEX(БАЗА_RO,2,IFERROR(MATCH(ЕТАЛОН_ПЛ,ПЛ_РЯДОК,0),0)),"")=0),"",BK13/IFERROR(INDEX(БАЗА_RO,2,IFERROR(MATCH(ЕТАЛОН_ПЛ,ПЛ_РЯДОК,0),0)),"")-1)</f>
        <v/>
      </c>
      <c r="BM27" s="45" t="str">
        <f aca="false">IF(OR(BM13="",ЕТАЛОН_ПЛ="",IFERROR(INDEX(БАЗА_RO,2,IFERROR(MATCH(ЕТАЛОН_ПЛ,ПЛ_РЯДОК,0),0)),"")=""),"",BM13-IFERROR(INDEX(БАЗА_RO,2,IFERROR(MATCH(ЕТАЛОН_ПЛ,ПЛ_РЯДОК,0),0)),""))</f>
        <v/>
      </c>
      <c r="BN27" s="47" t="str">
        <f aca="false">IF(OR(BM13="",ЕТАЛОН_ПЛ="",IFERROR(INDEX(БАЗА_RO,2,IFERROR(MATCH(ЕТАЛОН_ПЛ,ПЛ_РЯДОК,0),0)),"")="",IFERROR(INDEX(БАЗА_RO,2,IFERROR(MATCH(ЕТАЛОН_ПЛ,ПЛ_РЯДОК,0),0)),"")=0),"",BM13/IFERROR(INDEX(БАЗА_RO,2,IFERROR(MATCH(ЕТАЛОН_ПЛ,ПЛ_РЯДОК,0),0)),"")-1)</f>
        <v/>
      </c>
      <c r="BO27" s="45" t="str">
        <f aca="false">IF(OR(BO13="",ЕТАЛОН_ПЛ="",IFERROR(INDEX(БАЗА_RO,2,IFERROR(MATCH(ЕТАЛОН_ПЛ,ПЛ_РЯДОК,0),0)),"")=""),"",BO13-IFERROR(INDEX(БАЗА_RO,2,IFERROR(MATCH(ЕТАЛОН_ПЛ,ПЛ_РЯДОК,0),0)),""))</f>
        <v/>
      </c>
      <c r="BP27" s="47" t="str">
        <f aca="false">IF(OR(BO13="",ЕТАЛОН_ПЛ="",IFERROR(INDEX(БАЗА_RO,2,IFERROR(MATCH(ЕТАЛОН_ПЛ,ПЛ_РЯДОК,0),0)),"")="",IFERROR(INDEX(БАЗА_RO,2,IFERROR(MATCH(ЕТАЛОН_ПЛ,ПЛ_РЯДОК,0),0)),"")=0),"",BO13/IFERROR(INDEX(БАЗА_RO,2,IFERROR(MATCH(ЕТАЛОН_ПЛ,ПЛ_РЯДОК,0),0)),"")-1)</f>
        <v/>
      </c>
      <c r="BQ27" s="45" t="str">
        <f aca="false">IF(OR(BQ13="",ЕТАЛОН_ПЛ="",IFERROR(INDEX(БАЗА_RO,2,IFERROR(MATCH(ЕТАЛОН_ПЛ,ПЛ_РЯДОК,0),0)),"")=""),"",BQ13-IFERROR(INDEX(БАЗА_RO,2,IFERROR(MATCH(ЕТАЛОН_ПЛ,ПЛ_РЯДОК,0),0)),""))</f>
        <v/>
      </c>
      <c r="BR27" s="47" t="str">
        <f aca="false">IF(OR(BQ13="",ЕТАЛОН_ПЛ="",IFERROR(INDEX(БАЗА_RO,2,IFERROR(MATCH(ЕТАЛОН_ПЛ,ПЛ_РЯДОК,0),0)),"")="",IFERROR(INDEX(БАЗА_RO,2,IFERROR(MATCH(ЕТАЛОН_ПЛ,ПЛ_РЯДОК,0),0)),"")=0),"",BQ13/IFERROR(INDEX(БАЗА_RO,2,IFERROR(MATCH(ЕТАЛОН_ПЛ,ПЛ_РЯДОК,0),0)),"")-1)</f>
        <v/>
      </c>
      <c r="BS27" s="45" t="str">
        <f aca="false">IF(OR(BS13="",ЕТАЛОН_ПЛ="",IFERROR(INDEX(БАЗА_RO,2,IFERROR(MATCH(ЕТАЛОН_ПЛ,ПЛ_РЯДОК,0),0)),"")=""),"",BS13-IFERROR(INDEX(БАЗА_RO,2,IFERROR(MATCH(ЕТАЛОН_ПЛ,ПЛ_РЯДОК,0),0)),""))</f>
        <v/>
      </c>
      <c r="BT27" s="47" t="str">
        <f aca="false">IF(OR(BS13="",ЕТАЛОН_ПЛ="",IFERROR(INDEX(БАЗА_RO,2,IFERROR(MATCH(ЕТАЛОН_ПЛ,ПЛ_РЯДОК,0),0)),"")="",IFERROR(INDEX(БАЗА_RO,2,IFERROR(MATCH(ЕТАЛОН_ПЛ,ПЛ_РЯДОК,0),0)),"")=0),"",BS13/IFERROR(INDEX(БАЗА_RO,2,IFERROR(MATCH(ЕТАЛОН_ПЛ,ПЛ_РЯДОК,0),0)),"")-1)</f>
        <v/>
      </c>
      <c r="BU27" s="45" t="str">
        <f aca="false">IF(OR(BU13="",ЕТАЛОН_ПЛ="",IFERROR(INDEX(БАЗА_RO,2,IFERROR(MATCH(ЕТАЛОН_ПЛ,ПЛ_РЯДОК,0),0)),"")=""),"",BU13-IFERROR(INDEX(БАЗА_RO,2,IFERROR(MATCH(ЕТАЛОН_ПЛ,ПЛ_РЯДОК,0),0)),""))</f>
        <v/>
      </c>
      <c r="BV27" s="47" t="str">
        <f aca="false">IF(OR(BU13="",ЕТАЛОН_ПЛ="",IFERROR(INDEX(БАЗА_RO,2,IFERROR(MATCH(ЕТАЛОН_ПЛ,ПЛ_РЯДОК,0),0)),"")="",IFERROR(INDEX(БАЗА_RO,2,IFERROR(MATCH(ЕТАЛОН_ПЛ,ПЛ_РЯДОК,0),0)),"")=0),"",BU13/IFERROR(INDEX(БАЗА_RO,2,IFERROR(MATCH(ЕТАЛОН_ПЛ,ПЛ_РЯДОК,0),0)),"")-1)</f>
        <v/>
      </c>
      <c r="BW27" s="45" t="str">
        <f aca="false">IF(OR(BW13="",ЕТАЛОН_ПЛ="",IFERROR(INDEX(БАЗА_RO,2,IFERROR(MATCH(ЕТАЛОН_ПЛ,ПЛ_РЯДОК,0),0)),"")=""),"",BW13-IFERROR(INDEX(БАЗА_RO,2,IFERROR(MATCH(ЕТАЛОН_ПЛ,ПЛ_РЯДОК,0),0)),""))</f>
        <v/>
      </c>
      <c r="BX27" s="47" t="str">
        <f aca="false">IF(OR(BW13="",ЕТАЛОН_ПЛ="",IFERROR(INDEX(БАЗА_RO,2,IFERROR(MATCH(ЕТАЛОН_ПЛ,ПЛ_РЯДОК,0),0)),"")="",IFERROR(INDEX(БАЗА_RO,2,IFERROR(MATCH(ЕТАЛОН_ПЛ,ПЛ_РЯДОК,0),0)),"")=0),"",BW13/IFERROR(INDEX(БАЗА_RO,2,IFERROR(MATCH(ЕТАЛОН_ПЛ,ПЛ_РЯДОК,0),0)),"")-1)</f>
        <v/>
      </c>
      <c r="BY27" s="45" t="str">
        <f aca="false">IF(OR(BY13="",ЕТАЛОН_ПЛ="",IFERROR(INDEX(БАЗА_RO,2,IFERROR(MATCH(ЕТАЛОН_ПЛ,ПЛ_РЯДОК,0),0)),"")=""),"",BY13-IFERROR(INDEX(БАЗА_RO,2,IFERROR(MATCH(ЕТАЛОН_ПЛ,ПЛ_РЯДОК,0),0)),""))</f>
        <v/>
      </c>
      <c r="BZ27" s="47" t="str">
        <f aca="false">IF(OR(BY13="",ЕТАЛОН_ПЛ="",IFERROR(INDEX(БАЗА_RO,2,IFERROR(MATCH(ЕТАЛОН_ПЛ,ПЛ_РЯДОК,0),0)),"")="",IFERROR(INDEX(БАЗА_RO,2,IFERROR(MATCH(ЕТАЛОН_ПЛ,ПЛ_РЯДОК,0),0)),"")=0),"",BY13/IFERROR(INDEX(БАЗА_RO,2,IFERROR(MATCH(ЕТАЛОН_ПЛ,ПЛ_РЯДОК,0),0)),"")-1)</f>
        <v/>
      </c>
      <c r="CA27" s="45" t="str">
        <f aca="false">IF(OR(CA13="",ЕТАЛОН_ПЛ="",IFERROR(INDEX(БАЗА_RO,2,IFERROR(MATCH(ЕТАЛОН_ПЛ,ПЛ_РЯДОК,0),0)),"")=""),"",CA13-IFERROR(INDEX(БАЗА_RO,2,IFERROR(MATCH(ЕТАЛОН_ПЛ,ПЛ_РЯДОК,0),0)),""))</f>
        <v/>
      </c>
      <c r="CB27" s="47" t="str">
        <f aca="false">IF(OR(CA13="",ЕТАЛОН_ПЛ="",IFERROR(INDEX(БАЗА_RO,2,IFERROR(MATCH(ЕТАЛОН_ПЛ,ПЛ_РЯДОК,0),0)),"")="",IFERROR(INDEX(БАЗА_RO,2,IFERROR(MATCH(ЕТАЛОН_ПЛ,ПЛ_РЯДОК,0),0)),"")=0),"",CA13/IFERROR(INDEX(БАЗА_RO,2,IFERROR(MATCH(ЕТАЛОН_ПЛ,ПЛ_РЯДОК,0),0)),"")-1)</f>
        <v/>
      </c>
      <c r="CC27" s="45" t="str">
        <f aca="false">IF(OR(CC13="",ЕТАЛОН_ПЛ="",IFERROR(INDEX(БАЗА_RO,2,IFERROR(MATCH(ЕТАЛОН_ПЛ,ПЛ_РЯДОК,0),0)),"")=""),"",CC13-IFERROR(INDEX(БАЗА_RO,2,IFERROR(MATCH(ЕТАЛОН_ПЛ,ПЛ_РЯДОК,0),0)),""))</f>
        <v/>
      </c>
      <c r="CD27" s="47" t="str">
        <f aca="false">IF(OR(CC13="",ЕТАЛОН_ПЛ="",IFERROR(INDEX(БАЗА_RO,2,IFERROR(MATCH(ЕТАЛОН_ПЛ,ПЛ_РЯДОК,0),0)),"")="",IFERROR(INDEX(БАЗА_RO,2,IFERROR(MATCH(ЕТАЛОН_ПЛ,ПЛ_РЯДОК,0),0)),"")=0),"",CC13/IFERROR(INDEX(БАЗА_RO,2,IFERROR(MATCH(ЕТАЛОН_ПЛ,ПЛ_РЯДОК,0),0)),"")-1)</f>
        <v/>
      </c>
      <c r="CE27" s="45" t="str">
        <f aca="false">IF(OR(CE13="",ЕТАЛОН_ПЛ="",IFERROR(INDEX(БАЗА_RO,2,IFERROR(MATCH(ЕТАЛОН_ПЛ,ПЛ_РЯДОК,0),0)),"")=""),"",CE13-IFERROR(INDEX(БАЗА_RO,2,IFERROR(MATCH(ЕТАЛОН_ПЛ,ПЛ_РЯДОК,0),0)),""))</f>
        <v/>
      </c>
      <c r="CF27" s="47" t="str">
        <f aca="false">IF(OR(CE13="",ЕТАЛОН_ПЛ="",IFERROR(INDEX(БАЗА_RO,2,IFERROR(MATCH(ЕТАЛОН_ПЛ,ПЛ_РЯДОК,0),0)),"")="",IFERROR(INDEX(БАЗА_RO,2,IFERROR(MATCH(ЕТАЛОН_ПЛ,ПЛ_РЯДОК,0),0)),"")=0),"",CE13/IFERROR(INDEX(БАЗА_RO,2,IFERROR(MATCH(ЕТАЛОН_ПЛ,ПЛ_РЯДОК,0),0)),"")-1)</f>
        <v/>
      </c>
      <c r="CG27" s="45" t="str">
        <f aca="false">IF(OR(CG13="",ЕТАЛОН_ПЛ="",IFERROR(INDEX(БАЗА_RO,2,IFERROR(MATCH(ЕТАЛОН_ПЛ,ПЛ_РЯДОК,0),0)),"")=""),"",CG13-IFERROR(INDEX(БАЗА_RO,2,IFERROR(MATCH(ЕТАЛОН_ПЛ,ПЛ_РЯДОК,0),0)),""))</f>
        <v/>
      </c>
      <c r="CH27" s="47" t="str">
        <f aca="false">IF(OR(CG13="",ЕТАЛОН_ПЛ="",IFERROR(INDEX(БАЗА_RO,2,IFERROR(MATCH(ЕТАЛОН_ПЛ,ПЛ_РЯДОК,0),0)),"")="",IFERROR(INDEX(БАЗА_RO,2,IFERROR(MATCH(ЕТАЛОН_ПЛ,ПЛ_РЯДОК,0),0)),"")=0),"",CG13/IFERROR(INDEX(БАЗА_RO,2,IFERROR(MATCH(ЕТАЛОН_ПЛ,ПЛ_РЯДОК,0),0)),"")-1)</f>
        <v/>
      </c>
      <c r="CI27" s="45" t="str">
        <f aca="false">IF(OR(CI13="",ЕТАЛОН_ПЛ="",IFERROR(INDEX(БАЗА_RO,2,IFERROR(MATCH(ЕТАЛОН_ПЛ,ПЛ_РЯДОК,0),0)),"")=""),"",CI13-IFERROR(INDEX(БАЗА_RO,2,IFERROR(MATCH(ЕТАЛОН_ПЛ,ПЛ_РЯДОК,0),0)),""))</f>
        <v/>
      </c>
      <c r="CJ27" s="47" t="str">
        <f aca="false">IF(OR(CI13="",ЕТАЛОН_ПЛ="",IFERROR(INDEX(БАЗА_RO,2,IFERROR(MATCH(ЕТАЛОН_ПЛ,ПЛ_РЯДОК,0),0)),"")="",IFERROR(INDEX(БАЗА_RO,2,IFERROR(MATCH(ЕТАЛОН_ПЛ,ПЛ_РЯДОК,0),0)),"")=0),"",CI13/IFERROR(INDEX(БАЗА_RO,2,IFERROR(MATCH(ЕТАЛОН_ПЛ,ПЛ_РЯДОК,0),0)),"")-1)</f>
        <v/>
      </c>
      <c r="CK27" s="45" t="str">
        <f aca="false">IF(OR(CK13="",ЕТАЛОН_ПЛ="",IFERROR(INDEX(БАЗА_RO,2,IFERROR(MATCH(ЕТАЛОН_ПЛ,ПЛ_РЯДОК,0),0)),"")=""),"",CK13-IFERROR(INDEX(БАЗА_RO,2,IFERROR(MATCH(ЕТАЛОН_ПЛ,ПЛ_РЯДОК,0),0)),""))</f>
        <v/>
      </c>
      <c r="CL27" s="47" t="str">
        <f aca="false">IF(OR(CK13="",ЕТАЛОН_ПЛ="",IFERROR(INDEX(БАЗА_RO,2,IFERROR(MATCH(ЕТАЛОН_ПЛ,ПЛ_РЯДОК,0),0)),"")="",IFERROR(INDEX(БАЗА_RO,2,IFERROR(MATCH(ЕТАЛОН_ПЛ,ПЛ_РЯДОК,0),0)),"")=0),"",CK13/IFERROR(INDEX(БАЗА_RO,2,IFERROR(MATCH(ЕТАЛОН_ПЛ,ПЛ_РЯДОК,0),0)),"")-1)</f>
        <v/>
      </c>
      <c r="CM27" s="45" t="str">
        <f aca="false">IF(OR(CM13="",ЕТАЛОН_ПЛ="",IFERROR(INDEX(БАЗА_RO,2,IFERROR(MATCH(ЕТАЛОН_ПЛ,ПЛ_РЯДОК,0),0)),"")=""),"",CM13-IFERROR(INDEX(БАЗА_RO,2,IFERROR(MATCH(ЕТАЛОН_ПЛ,ПЛ_РЯДОК,0),0)),""))</f>
        <v/>
      </c>
      <c r="CN27" s="47" t="str">
        <f aca="false">IF(OR(CM13="",ЕТАЛОН_ПЛ="",IFERROR(INDEX(БАЗА_RO,2,IFERROR(MATCH(ЕТАЛОН_ПЛ,ПЛ_РЯДОК,0),0)),"")="",IFERROR(INDEX(БАЗА_RO,2,IFERROR(MATCH(ЕТАЛОН_ПЛ,ПЛ_РЯДОК,0),0)),"")=0),"",CM13/IFERROR(INDEX(БАЗА_RO,2,IFERROR(MATCH(ЕТАЛОН_ПЛ,ПЛ_РЯДОК,0),0)),"")-1)</f>
        <v/>
      </c>
      <c r="CO27" s="45" t="str">
        <f aca="false">IF(OR(CO13="",ЕТАЛОН_ПЛ="",IFERROR(INDEX(БАЗА_RO,2,IFERROR(MATCH(ЕТАЛОН_ПЛ,ПЛ_РЯДОК,0),0)),"")=""),"",CO13-IFERROR(INDEX(БАЗА_RO,2,IFERROR(MATCH(ЕТАЛОН_ПЛ,ПЛ_РЯДОК,0),0)),""))</f>
        <v/>
      </c>
      <c r="CP27" s="47" t="str">
        <f aca="false">IF(OR(CO13="",ЕТАЛОН_ПЛ="",IFERROR(INDEX(БАЗА_RO,2,IFERROR(MATCH(ЕТАЛОН_ПЛ,ПЛ_РЯДОК,0),0)),"")="",IFERROR(INDEX(БАЗА_RO,2,IFERROR(MATCH(ЕТАЛОН_ПЛ,ПЛ_РЯДОК,0),0)),"")=0),"",CO13/IFERROR(INDEX(БАЗА_RO,2,IFERROR(MATCH(ЕТАЛОН_ПЛ,ПЛ_РЯДОК,0),0)),"")-1)</f>
        <v/>
      </c>
      <c r="CQ27" s="45" t="str">
        <f aca="false">IF(OR(CQ13="",ЕТАЛОН_ПЛ="",IFERROR(INDEX(БАЗА_RO,2,IFERROR(MATCH(ЕТАЛОН_ПЛ,ПЛ_РЯДОК,0),0)),"")=""),"",CQ13-IFERROR(INDEX(БАЗА_RO,2,IFERROR(MATCH(ЕТАЛОН_ПЛ,ПЛ_РЯДОК,0),0)),""))</f>
        <v/>
      </c>
      <c r="CR27" s="47" t="str">
        <f aca="false">IF(OR(CQ13="",ЕТАЛОН_ПЛ="",IFERROR(INDEX(БАЗА_RO,2,IFERROR(MATCH(ЕТАЛОН_ПЛ,ПЛ_РЯДОК,0),0)),"")="",IFERROR(INDEX(БАЗА_RO,2,IFERROR(MATCH(ЕТАЛОН_ПЛ,ПЛ_РЯДОК,0),0)),"")=0),"",CQ13/IFERROR(INDEX(БАЗА_RO,2,IFERROR(MATCH(ЕТАЛОН_ПЛ,ПЛ_РЯДОК,0),0)),"")-1)</f>
        <v/>
      </c>
      <c r="CS27" s="45" t="str">
        <f aca="false">IF(OR(CS13="",ЕТАЛОН_ПЛ="",IFERROR(INDEX(БАЗА_RO,2,IFERROR(MATCH(ЕТАЛОН_ПЛ,ПЛ_РЯДОК,0),0)),"")=""),"",CS13-IFERROR(INDEX(БАЗА_RO,2,IFERROR(MATCH(ЕТАЛОН_ПЛ,ПЛ_РЯДОК,0),0)),""))</f>
        <v/>
      </c>
      <c r="CT27" s="47" t="str">
        <f aca="false">IF(OR(CS13="",ЕТАЛОН_ПЛ="",IFERROR(INDEX(БАЗА_RO,2,IFERROR(MATCH(ЕТАЛОН_ПЛ,ПЛ_РЯДОК,0),0)),"")="",IFERROR(INDEX(БАЗА_RO,2,IFERROR(MATCH(ЕТАЛОН_ПЛ,ПЛ_РЯДОК,0),0)),"")=0),"",CS13/IFERROR(INDEX(БАЗА_RO,2,IFERROR(MATCH(ЕТАЛОН_ПЛ,ПЛ_РЯДОК,0),0)),"")-1)</f>
        <v/>
      </c>
      <c r="CU27" s="45" t="str">
        <f aca="false">IF(OR(CU13="",ЕТАЛОН_ПЛ="",IFERROR(INDEX(БАЗА_RO,2,IFERROR(MATCH(ЕТАЛОН_ПЛ,ПЛ_РЯДОК,0),0)),"")=""),"",CU13-IFERROR(INDEX(БАЗА_RO,2,IFERROR(MATCH(ЕТАЛОН_ПЛ,ПЛ_РЯДОК,0),0)),""))</f>
        <v/>
      </c>
      <c r="CV27" s="47" t="str">
        <f aca="false">IF(OR(CU13="",ЕТАЛОН_ПЛ="",IFERROR(INDEX(БАЗА_RO,2,IFERROR(MATCH(ЕТАЛОН_ПЛ,ПЛ_РЯДОК,0),0)),"")="",IFERROR(INDEX(БАЗА_RO,2,IFERROR(MATCH(ЕТАЛОН_ПЛ,ПЛ_РЯДОК,0),0)),"")=0),"",CU13/IFERROR(INDEX(БАЗА_RO,2,IFERROR(MATCH(ЕТАЛОН_ПЛ,ПЛ_РЯДОК,0),0)),"")-1)</f>
        <v/>
      </c>
      <c r="CW27" s="45" t="str">
        <f aca="false">IF(OR(CW13="",ЕТАЛОН_ПЛ="",IFERROR(INDEX(БАЗА_RO,2,IFERROR(MATCH(ЕТАЛОН_ПЛ,ПЛ_РЯДОК,0),0)),"")=""),"",CW13-IFERROR(INDEX(БАЗА_RO,2,IFERROR(MATCH(ЕТАЛОН_ПЛ,ПЛ_РЯДОК,0),0)),""))</f>
        <v/>
      </c>
      <c r="CX27" s="47" t="str">
        <f aca="false">IF(OR(CW13="",ЕТАЛОН_ПЛ="",IFERROR(INDEX(БАЗА_RO,2,IFERROR(MATCH(ЕТАЛОН_ПЛ,ПЛ_РЯДОК,0),0)),"")="",IFERROR(INDEX(БАЗА_RO,2,IFERROR(MATCH(ЕТАЛОН_ПЛ,ПЛ_РЯДОК,0),0)),"")=0),"",CW13/IFERROR(INDEX(БАЗА_RO,2,IFERROR(MATCH(ЕТАЛОН_ПЛ,ПЛ_РЯДОК,0),0)),"")-1)</f>
        <v/>
      </c>
      <c r="CY27" s="45" t="str">
        <f aca="false">IF(OR(CY13="",ЕТАЛОН_ПЛ="",IFERROR(INDEX(БАЗА_RO,2,IFERROR(MATCH(ЕТАЛОН_ПЛ,ПЛ_РЯДОК,0),0)),"")=""),"",CY13-IFERROR(INDEX(БАЗА_RO,2,IFERROR(MATCH(ЕТАЛОН_ПЛ,ПЛ_РЯДОК,0),0)),""))</f>
        <v/>
      </c>
      <c r="CZ27" s="47" t="str">
        <f aca="false">IF(OR(CY13="",ЕТАЛОН_ПЛ="",IFERROR(INDEX(БАЗА_RO,2,IFERROR(MATCH(ЕТАЛОН_ПЛ,ПЛ_РЯДОК,0),0)),"")="",IFERROR(INDEX(БАЗА_RO,2,IFERROR(MATCH(ЕТАЛОН_ПЛ,ПЛ_РЯДОК,0),0)),"")=0),"",CY13/IFERROR(INDEX(БАЗА_RO,2,IFERROR(MATCH(ЕТАЛОН_ПЛ,ПЛ_РЯДОК,0),0)),"")-1)</f>
        <v/>
      </c>
      <c r="DA27" s="45" t="str">
        <f aca="false">IF(OR(DA13="",ЕТАЛОН_ПЛ="",IFERROR(INDEX(БАЗА_RO,2,IFERROR(MATCH(ЕТАЛОН_ПЛ,ПЛ_РЯДОК,0),0)),"")=""),"",DA13-IFERROR(INDEX(БАЗА_RO,2,IFERROR(MATCH(ЕТАЛОН_ПЛ,ПЛ_РЯДОК,0),0)),""))</f>
        <v/>
      </c>
      <c r="DB27" s="47" t="str">
        <f aca="false">IF(OR(DA13="",ЕТАЛОН_ПЛ="",IFERROR(INDEX(БАЗА_RO,2,IFERROR(MATCH(ЕТАЛОН_ПЛ,ПЛ_РЯДОК,0),0)),"")="",IFERROR(INDEX(БАЗА_RO,2,IFERROR(MATCH(ЕТАЛОН_ПЛ,ПЛ_РЯДОК,0),0)),"")=0),"",DA13/IFERROR(INDEX(БАЗА_RO,2,IFERROR(MATCH(ЕТАЛОН_ПЛ,ПЛ_РЯДОК,0),0)),"")-1)</f>
        <v/>
      </c>
      <c r="DC27" s="45" t="str">
        <f aca="false">IF(OR(DC13="",ЕТАЛОН_ПЛ="",IFERROR(INDEX(БАЗА_RO,2,IFERROR(MATCH(ЕТАЛОН_ПЛ,ПЛ_РЯДОК,0),0)),"")=""),"",DC13-IFERROR(INDEX(БАЗА_RO,2,IFERROR(MATCH(ЕТАЛОН_ПЛ,ПЛ_РЯДОК,0),0)),""))</f>
        <v/>
      </c>
      <c r="DD27" s="47" t="str">
        <f aca="false">IF(OR(DC13="",ЕТАЛОН_ПЛ="",IFERROR(INDEX(БАЗА_RO,2,IFERROR(MATCH(ЕТАЛОН_ПЛ,ПЛ_РЯДОК,0),0)),"")="",IFERROR(INDEX(БАЗА_RO,2,IFERROR(MATCH(ЕТАЛОН_ПЛ,ПЛ_РЯДОК,0),0)),"")=0),"",DC13/IFERROR(INDEX(БАЗА_RO,2,IFERROR(MATCH(ЕТАЛОН_ПЛ,ПЛ_РЯДОК,0),0)),"")-1)</f>
        <v/>
      </c>
      <c r="DE27" s="45" t="str">
        <f aca="false">IF(OR(DE13="",ЕТАЛОН_ПЛ="",IFERROR(INDEX(БАЗА_RO,2,IFERROR(MATCH(ЕТАЛОН_ПЛ,ПЛ_РЯДОК,0),0)),"")=""),"",DE13-IFERROR(INDEX(БАЗА_RO,2,IFERROR(MATCH(ЕТАЛОН_ПЛ,ПЛ_РЯДОК,0),0)),""))</f>
        <v/>
      </c>
      <c r="DF27" s="47" t="str">
        <f aca="false">IF(OR(DE13="",ЕТАЛОН_ПЛ="",IFERROR(INDEX(БАЗА_RO,2,IFERROR(MATCH(ЕТАЛОН_ПЛ,ПЛ_РЯДОК,0),0)),"")="",IFERROR(INDEX(БАЗА_RO,2,IFERROR(MATCH(ЕТАЛОН_ПЛ,ПЛ_РЯДОК,0),0)),"")=0),"",DE13/IFERROR(INDEX(БАЗА_RO,2,IFERROR(MATCH(ЕТАЛОН_ПЛ,ПЛ_РЯДОК,0),0)),"")-1)</f>
        <v/>
      </c>
      <c r="DG27" s="45" t="str">
        <f aca="false">IF(OR(DG13="",ЕТАЛОН_ПЛ="",IFERROR(INDEX(БАЗА_RO,2,IFERROR(MATCH(ЕТАЛОН_ПЛ,ПЛ_РЯДОК,0),0)),"")=""),"",DG13-IFERROR(INDEX(БАЗА_RO,2,IFERROR(MATCH(ЕТАЛОН_ПЛ,ПЛ_РЯДОК,0),0)),""))</f>
        <v/>
      </c>
      <c r="DH27" s="47" t="str">
        <f aca="false">IF(OR(DG13="",ЕТАЛОН_ПЛ="",IFERROR(INDEX(БАЗА_RO,2,IFERROR(MATCH(ЕТАЛОН_ПЛ,ПЛ_РЯДОК,0),0)),"")="",IFERROR(INDEX(БАЗА_RO,2,IFERROR(MATCH(ЕТАЛОН_ПЛ,ПЛ_РЯДОК,0),0)),"")=0),"",DG13/IFERROR(INDEX(БАЗА_RO,2,IFERROR(MATCH(ЕТАЛОН_ПЛ,ПЛ_РЯДОК,0),0)),"")-1)</f>
        <v/>
      </c>
      <c r="DI27" s="45" t="str">
        <f aca="false">IF(OR(DI13="",ЕТАЛОН_ПЛ="",IFERROR(INDEX(БАЗА_RO,2,IFERROR(MATCH(ЕТАЛОН_ПЛ,ПЛ_РЯДОК,0),0)),"")=""),"",DI13-IFERROR(INDEX(БАЗА_RO,2,IFERROR(MATCH(ЕТАЛОН_ПЛ,ПЛ_РЯДОК,0),0)),""))</f>
        <v/>
      </c>
      <c r="DJ27" s="47" t="str">
        <f aca="false">IF(OR(DI13="",ЕТАЛОН_ПЛ="",IFERROR(INDEX(БАЗА_RO,2,IFERROR(MATCH(ЕТАЛОН_ПЛ,ПЛ_РЯДОК,0),0)),"")="",IFERROR(INDEX(БАЗА_RO,2,IFERROR(MATCH(ЕТАЛОН_ПЛ,ПЛ_РЯДОК,0),0)),"")=0),"",DI13/IFERROR(INDEX(БАЗА_RO,2,IFERROR(MATCH(ЕТАЛОН_ПЛ,ПЛ_РЯДОК,0),0)),"")-1)</f>
        <v/>
      </c>
      <c r="DK27" s="45" t="str">
        <f aca="false">IF(OR(DK13="",ЕТАЛОН_ПЛ="",IFERROR(INDEX(БАЗА_RO,2,IFERROR(MATCH(ЕТАЛОН_ПЛ,ПЛ_РЯДОК,0),0)),"")=""),"",DK13-IFERROR(INDEX(БАЗА_RO,2,IFERROR(MATCH(ЕТАЛОН_ПЛ,ПЛ_РЯДОК,0),0)),""))</f>
        <v/>
      </c>
      <c r="DL27" s="47" t="str">
        <f aca="false">IF(OR(DK13="",ЕТАЛОН_ПЛ="",IFERROR(INDEX(БАЗА_RO,2,IFERROR(MATCH(ЕТАЛОН_ПЛ,ПЛ_РЯДОК,0),0)),"")="",IFERROR(INDEX(БАЗА_RO,2,IFERROR(MATCH(ЕТАЛОН_ПЛ,ПЛ_РЯДОК,0),0)),"")=0),"",DK13/IFERROR(INDEX(БАЗА_RO,2,IFERROR(MATCH(ЕТАЛОН_ПЛ,ПЛ_РЯДОК,0),0)),"")-1)</f>
        <v/>
      </c>
      <c r="DM27" s="45" t="str">
        <f aca="false">IF(OR(DM13="",ЕТАЛОН_ПЛ="",IFERROR(INDEX(БАЗА_RO,2,IFERROR(MATCH(ЕТАЛОН_ПЛ,ПЛ_РЯДОК,0),0)),"")=""),"",DM13-IFERROR(INDEX(БАЗА_RO,2,IFERROR(MATCH(ЕТАЛОН_ПЛ,ПЛ_РЯДОК,0),0)),""))</f>
        <v/>
      </c>
      <c r="DN27" s="47" t="str">
        <f aca="false">IF(OR(DM13="",ЕТАЛОН_ПЛ="",IFERROR(INDEX(БАЗА_RO,2,IFERROR(MATCH(ЕТАЛОН_ПЛ,ПЛ_РЯДОК,0),0)),"")="",IFERROR(INDEX(БАЗА_RO,2,IFERROR(MATCH(ЕТАЛОН_ПЛ,ПЛ_РЯДОК,0),0)),"")=0),"",DM13/IFERROR(INDEX(БАЗА_RO,2,IFERROR(MATCH(ЕТАЛОН_ПЛ,ПЛ_РЯДОК,0),0)),"")-1)</f>
        <v/>
      </c>
      <c r="DO27" s="45" t="str">
        <f aca="false">IF(OR(DO13="",ЕТАЛОН_ПЛ="",IFERROR(INDEX(БАЗА_RO,2,IFERROR(MATCH(ЕТАЛОН_ПЛ,ПЛ_РЯДОК,0),0)),"")=""),"",DO13-IFERROR(INDEX(БАЗА_RO,2,IFERROR(MATCH(ЕТАЛОН_ПЛ,ПЛ_РЯДОК,0),0)),""))</f>
        <v/>
      </c>
      <c r="DP27" s="47" t="str">
        <f aca="false">IF(OR(DO13="",ЕТАЛОН_ПЛ="",IFERROR(INDEX(БАЗА_RO,2,IFERROR(MATCH(ЕТАЛОН_ПЛ,ПЛ_РЯДОК,0),0)),"")="",IFERROR(INDEX(БАЗА_RO,2,IFERROR(MATCH(ЕТАЛОН_ПЛ,ПЛ_РЯДОК,0),0)),"")=0),"",DO13/IFERROR(INDEX(БАЗА_RO,2,IFERROR(MATCH(ЕТАЛОН_ПЛ,ПЛ_РЯДОК,0),0)),"")-1)</f>
        <v/>
      </c>
      <c r="DQ27" s="45" t="str">
        <f aca="false">IF(OR(DQ13="",ЕТАЛОН_ПЛ="",IFERROR(INDEX(БАЗА_RO,2,IFERROR(MATCH(ЕТАЛОН_ПЛ,ПЛ_РЯДОК,0),0)),"")=""),"",DQ13-IFERROR(INDEX(БАЗА_RO,2,IFERROR(MATCH(ЕТАЛОН_ПЛ,ПЛ_РЯДОК,0),0)),""))</f>
        <v/>
      </c>
      <c r="DR27" s="47" t="str">
        <f aca="false">IF(OR(DQ13="",ЕТАЛОН_ПЛ="",IFERROR(INDEX(БАЗА_RO,2,IFERROR(MATCH(ЕТАЛОН_ПЛ,ПЛ_РЯДОК,0),0)),"")="",IFERROR(INDEX(БАЗА_RO,2,IFERROR(MATCH(ЕТАЛОН_ПЛ,ПЛ_РЯДОК,0),0)),"")=0),"",DQ13/IFERROR(INDEX(БАЗА_RO,2,IFERROR(MATCH(ЕТАЛОН_ПЛ,ПЛ_РЯДОК,0),0)),"")-1)</f>
        <v/>
      </c>
      <c r="DS27" s="45" t="str">
        <f aca="false">IF(OR(DS13="",ЕТАЛОН_ПЛ="",IFERROR(INDEX(БАЗА_RO,2,IFERROR(MATCH(ЕТАЛОН_ПЛ,ПЛ_РЯДОК,0),0)),"")=""),"",DS13-IFERROR(INDEX(БАЗА_RO,2,IFERROR(MATCH(ЕТАЛОН_ПЛ,ПЛ_РЯДОК,0),0)),""))</f>
        <v/>
      </c>
      <c r="DT27" s="47" t="str">
        <f aca="false">IF(OR(DS13="",ЕТАЛОН_ПЛ="",IFERROR(INDEX(БАЗА_RO,2,IFERROR(MATCH(ЕТАЛОН_ПЛ,ПЛ_РЯДОК,0),0)),"")="",IFERROR(INDEX(БАЗА_RO,2,IFERROR(MATCH(ЕТАЛОН_ПЛ,ПЛ_РЯДОК,0),0)),"")=0),"",DS13/IFERROR(INDEX(БАЗА_RO,2,IFERROR(MATCH(ЕТАЛОН_ПЛ,ПЛ_РЯДОК,0),0)),"")-1)</f>
        <v/>
      </c>
      <c r="DU27" s="45" t="str">
        <f aca="false">IF(OR(DU13="",ЕТАЛОН_ПЛ="",IFERROR(INDEX(БАЗА_RO,2,IFERROR(MATCH(ЕТАЛОН_ПЛ,ПЛ_РЯДОК,0),0)),"")=""),"",DU13-IFERROR(INDEX(БАЗА_RO,2,IFERROR(MATCH(ЕТАЛОН_ПЛ,ПЛ_РЯДОК,0),0)),""))</f>
        <v/>
      </c>
      <c r="DV27" s="47" t="str">
        <f aca="false">IF(OR(DU13="",ЕТАЛОН_ПЛ="",IFERROR(INDEX(БАЗА_RO,2,IFERROR(MATCH(ЕТАЛОН_ПЛ,ПЛ_РЯДОК,0),0)),"")="",IFERROR(INDEX(БАЗА_RO,2,IFERROR(MATCH(ЕТАЛОН_ПЛ,ПЛ_РЯДОК,0),0)),"")=0),"",DU13/IFERROR(INDEX(БАЗА_RO,2,IFERROR(MATCH(ЕТАЛОН_ПЛ,ПЛ_РЯДОК,0),0)),"")-1)</f>
        <v/>
      </c>
      <c r="DW27" s="45" t="str">
        <f aca="false">IF(OR(DW13="",ЕТАЛОН_ПЛ="",IFERROR(INDEX(БАЗА_RO,2,IFERROR(MATCH(ЕТАЛОН_ПЛ,ПЛ_РЯДОК,0),0)),"")=""),"",DW13-IFERROR(INDEX(БАЗА_RO,2,IFERROR(MATCH(ЕТАЛОН_ПЛ,ПЛ_РЯДОК,0),0)),""))</f>
        <v/>
      </c>
      <c r="DX27" s="47" t="str">
        <f aca="false">IF(OR(DW13="",ЕТАЛОН_ПЛ="",IFERROR(INDEX(БАЗА_RO,2,IFERROR(MATCH(ЕТАЛОН_ПЛ,ПЛ_РЯДОК,0),0)),"")="",IFERROR(INDEX(БАЗА_RO,2,IFERROR(MATCH(ЕТАЛОН_ПЛ,ПЛ_РЯДОК,0),0)),"")=0),"",DW13/IFERROR(INDEX(БАЗА_RO,2,IFERROR(MATCH(ЕТАЛОН_ПЛ,ПЛ_РЯДОК,0),0)),"")-1)</f>
        <v/>
      </c>
    </row>
    <row r="28" customFormat="false" ht="15" hidden="false" customHeight="false" outlineLevel="0" collapsed="false">
      <c r="A28" s="4"/>
      <c r="B28" s="31"/>
      <c r="C28" s="31"/>
      <c r="D28" s="41"/>
      <c r="E28" s="4"/>
      <c r="F28" s="14" t="s">
        <v>8</v>
      </c>
      <c r="H28" s="13" t="s">
        <v>96</v>
      </c>
      <c r="I28" s="45" t="n">
        <f aca="false">IF(OR(I14="",ЕТАЛОН_ПЛ="",IFERROR(INDEX(БАЗА_RO,3,IFERROR(MATCH(ЕТАЛОН_ПЛ,ПЛ_РЯДОК,0),0)),"")=""),"",I14-IFERROR(INDEX(БАЗА_RO,3,IFERROR(MATCH(ЕТАЛОН_ПЛ,ПЛ_РЯДОК,0),0)),""))</f>
        <v>-485</v>
      </c>
      <c r="J28" s="47" t="n">
        <f aca="false">IF(OR(I14="",ЕТАЛОН_ПЛ="",IFERROR(INDEX(БАЗА_RO,3,IFERROR(MATCH(ЕТАЛОН_ПЛ,ПЛ_РЯДОК,0),0)),"")="",IFERROR(INDEX(БАЗА_RO,3,IFERROR(MATCH(ЕТАЛОН_ПЛ,ПЛ_РЯДОК,0),0)),"")=0),"",I14/IFERROR(INDEX(БАЗА_RO,3,IFERROR(MATCH(ЕТАЛОН_ПЛ,ПЛ_РЯДОК,0),0)),"")-1)</f>
        <v>-0.14327917282127</v>
      </c>
      <c r="K28" s="45" t="n">
        <f aca="false">IF(OR(K14="",ЕТАЛОН_ПЛ="",IFERROR(INDEX(БАЗА_RO,3,IFERROR(MATCH(ЕТАЛОН_ПЛ,ПЛ_РЯДОК,0),0)),"")=""),"",K14-IFERROR(INDEX(БАЗА_RO,3,IFERROR(MATCH(ЕТАЛОН_ПЛ,ПЛ_РЯДОК,0),0)),""))</f>
        <v>0</v>
      </c>
      <c r="L28" s="47" t="n">
        <f aca="false">IF(OR(K14="",ЕТАЛОН_ПЛ="",IFERROR(INDEX(БАЗА_RO,3,IFERROR(MATCH(ЕТАЛОН_ПЛ,ПЛ_РЯДОК,0),0)),"")="",IFERROR(INDEX(БАЗА_RO,3,IFERROR(MATCH(ЕТАЛОН_ПЛ,ПЛ_РЯДОК,0),0)),"")=0),"",K14/IFERROR(INDEX(БАЗА_RO,3,IFERROR(MATCH(ЕТАЛОН_ПЛ,ПЛ_РЯДОК,0),0)),"")-1)</f>
        <v>0</v>
      </c>
      <c r="M28" s="45" t="n">
        <f aca="false">IF(OR(M14="",ЕТАЛОН_ПЛ="",IFERROR(INDEX(БАЗА_RO,3,IFERROR(MATCH(ЕТАЛОН_ПЛ,ПЛ_РЯДОК,0),0)),"")=""),"",M14-IFERROR(INDEX(БАЗА_RO,3,IFERROR(MATCH(ЕТАЛОН_ПЛ,ПЛ_РЯДОК,0),0)),""))</f>
        <v>-1015</v>
      </c>
      <c r="N28" s="47" t="n">
        <f aca="false">IF(OR(M14="",ЕТАЛОН_ПЛ="",IFERROR(INDEX(БАЗА_RO,3,IFERROR(MATCH(ЕТАЛОН_ПЛ,ПЛ_РЯДОК,0),0)),"")="",IFERROR(INDEX(БАЗА_RO,3,IFERROR(MATCH(ЕТАЛОН_ПЛ,ПЛ_РЯДОК,0),0)),"")=0),"",M14/IFERROR(INDEX(БАЗА_RO,3,IFERROR(MATCH(ЕТАЛОН_ПЛ,ПЛ_РЯДОК,0),0)),"")-1)</f>
        <v>-0.299852289512555</v>
      </c>
      <c r="O28" s="45" t="n">
        <f aca="false">IF(OR(O14="",ЕТАЛОН_ПЛ="",IFERROR(INDEX(БАЗА_RO,3,IFERROR(MATCH(ЕТАЛОН_ПЛ,ПЛ_РЯДОК,0),0)),"")=""),"",O14-IFERROR(INDEX(БАЗА_RO,3,IFERROR(MATCH(ЕТАЛОН_ПЛ,ПЛ_РЯДОК,0),0)),""))</f>
        <v>-846</v>
      </c>
      <c r="P28" s="47" t="n">
        <f aca="false">IF(OR(O14="",ЕТАЛОН_ПЛ="",IFERROR(INDEX(БАЗА_RO,3,IFERROR(MATCH(ЕТАЛОН_ПЛ,ПЛ_РЯДОК,0),0)),"")="",IFERROR(INDEX(БАЗА_RO,3,IFERROR(MATCH(ЕТАЛОН_ПЛ,ПЛ_РЯДОК,0),0)),"")=0),"",O14/IFERROR(INDEX(БАЗА_RO,3,IFERROR(MATCH(ЕТАЛОН_ПЛ,ПЛ_РЯДОК,0),0)),"")-1)</f>
        <v>-0.249926144756278</v>
      </c>
      <c r="Q28" s="45" t="n">
        <f aca="false">IF(OR(Q14="",ЕТАЛОН_ПЛ="",IFERROR(INDEX(БАЗА_RO,3,IFERROR(MATCH(ЕТАЛОН_ПЛ,ПЛ_РЯДОК,0),0)),"")=""),"",Q14-IFERROR(INDEX(БАЗА_RO,3,IFERROR(MATCH(ЕТАЛОН_ПЛ,ПЛ_РЯДОК,0),0)),""))</f>
        <v>-785</v>
      </c>
      <c r="R28" s="47" t="n">
        <f aca="false">IF(OR(Q14="",ЕТАЛОН_ПЛ="",IFERROR(INDEX(БАЗА_RO,3,IFERROR(MATCH(ЕТАЛОН_ПЛ,ПЛ_РЯДОК,0),0)),"")="",IFERROR(INDEX(БАЗА_RO,3,IFERROR(MATCH(ЕТАЛОН_ПЛ,ПЛ_РЯДОК,0),0)),"")=0),"",Q14/IFERROR(INDEX(БАЗА_RO,3,IFERROR(MATCH(ЕТАЛОН_ПЛ,ПЛ_РЯДОК,0),0)),"")-1)</f>
        <v>-0.231905465288035</v>
      </c>
      <c r="S28" s="45" t="str">
        <f aca="false">IF(OR(S14="",ЕТАЛОН_ПЛ="",IFERROR(INDEX(БАЗА_RO,3,IFERROR(MATCH(ЕТАЛОН_ПЛ,ПЛ_РЯДОК,0),0)),"")=""),"",S14-IFERROR(INDEX(БАЗА_RO,3,IFERROR(MATCH(ЕТАЛОН_ПЛ,ПЛ_РЯДОК,0),0)),""))</f>
        <v/>
      </c>
      <c r="T28" s="47" t="str">
        <f aca="false">IF(OR(S14="",ЕТАЛОН_ПЛ="",IFERROR(INDEX(БАЗА_RO,3,IFERROR(MATCH(ЕТАЛОН_ПЛ,ПЛ_РЯДОК,0),0)),"")="",IFERROR(INDEX(БАЗА_RO,3,IFERROR(MATCH(ЕТАЛОН_ПЛ,ПЛ_РЯДОК,0),0)),"")=0),"",S14/IFERROR(INDEX(БАЗА_RO,3,IFERROR(MATCH(ЕТАЛОН_ПЛ,ПЛ_РЯДОК,0),0)),"")-1)</f>
        <v/>
      </c>
      <c r="U28" s="45" t="n">
        <f aca="false">IF(OR(U14="",ЕТАЛОН_ПЛ="",IFERROR(INDEX(БАЗА_RO,3,IFERROR(MATCH(ЕТАЛОН_ПЛ,ПЛ_РЯДОК,0),0)),"")=""),"",U14-IFERROR(INDEX(БАЗА_RO,3,IFERROR(MATCH(ЕТАЛОН_ПЛ,ПЛ_РЯДОК,0),0)),""))</f>
        <v>-685</v>
      </c>
      <c r="V28" s="47" t="n">
        <f aca="false">IF(OR(U14="",ЕТАЛОН_ПЛ="",IFERROR(INDEX(БАЗА_RO,3,IFERROR(MATCH(ЕТАЛОН_ПЛ,ПЛ_РЯДОК,0),0)),"")="",IFERROR(INDEX(БАЗА_RO,3,IFERROR(MATCH(ЕТАЛОН_ПЛ,ПЛ_РЯДОК,0),0)),"")=0),"",U14/IFERROR(INDEX(БАЗА_RO,3,IFERROR(MATCH(ЕТАЛОН_ПЛ,ПЛ_РЯДОК,0),0)),"")-1)</f>
        <v>-0.202363367799114</v>
      </c>
      <c r="W28" s="45" t="str">
        <f aca="false">IF(OR(W14="",ЕТАЛОН_ПЛ="",IFERROR(INDEX(БАЗА_RO,3,IFERROR(MATCH(ЕТАЛОН_ПЛ,ПЛ_РЯДОК,0),0)),"")=""),"",W14-IFERROR(INDEX(БАЗА_RO,3,IFERROR(MATCH(ЕТАЛОН_ПЛ,ПЛ_РЯДОК,0),0)),""))</f>
        <v/>
      </c>
      <c r="X28" s="47" t="str">
        <f aca="false">IF(OR(W14="",ЕТАЛОН_ПЛ="",IFERROR(INDEX(БАЗА_RO,3,IFERROR(MATCH(ЕТАЛОН_ПЛ,ПЛ_РЯДОК,0),0)),"")="",IFERROR(INDEX(БАЗА_RO,3,IFERROR(MATCH(ЕТАЛОН_ПЛ,ПЛ_РЯДОК,0),0)),"")=0),"",W14/IFERROR(INDEX(БАЗА_RO,3,IFERROR(MATCH(ЕТАЛОН_ПЛ,ПЛ_РЯДОК,0),0)),"")-1)</f>
        <v/>
      </c>
      <c r="Y28" s="45" t="str">
        <f aca="false">IF(OR(Y14="",ЕТАЛОН_ПЛ="",IFERROR(INDEX(БАЗА_RO,3,IFERROR(MATCH(ЕТАЛОН_ПЛ,ПЛ_РЯДОК,0),0)),"")=""),"",Y14-IFERROR(INDEX(БАЗА_RO,3,IFERROR(MATCH(ЕТАЛОН_ПЛ,ПЛ_РЯДОК,0),0)),""))</f>
        <v/>
      </c>
      <c r="Z28" s="47" t="str">
        <f aca="false">IF(OR(Y14="",ЕТАЛОН_ПЛ="",IFERROR(INDEX(БАЗА_RO,3,IFERROR(MATCH(ЕТАЛОН_ПЛ,ПЛ_РЯДОК,0),0)),"")="",IFERROR(INDEX(БАЗА_RO,3,IFERROR(MATCH(ЕТАЛОН_ПЛ,ПЛ_РЯДОК,0),0)),"")=0),"",Y14/IFERROR(INDEX(БАЗА_RO,3,IFERROR(MATCH(ЕТАЛОН_ПЛ,ПЛ_РЯДОК,0),0)),"")-1)</f>
        <v/>
      </c>
      <c r="AA28" s="45" t="str">
        <f aca="false">IF(OR(AA14="",ЕТАЛОН_ПЛ="",IFERROR(INDEX(БАЗА_RO,3,IFERROR(MATCH(ЕТАЛОН_ПЛ,ПЛ_РЯДОК,0),0)),"")=""),"",AA14-IFERROR(INDEX(БАЗА_RO,3,IFERROR(MATCH(ЕТАЛОН_ПЛ,ПЛ_РЯДОК,0),0)),""))</f>
        <v/>
      </c>
      <c r="AB28" s="47" t="str">
        <f aca="false">IF(OR(AA14="",ЕТАЛОН_ПЛ="",IFERROR(INDEX(БАЗА_RO,3,IFERROR(MATCH(ЕТАЛОН_ПЛ,ПЛ_РЯДОК,0),0)),"")="",IFERROR(INDEX(БАЗА_RO,3,IFERROR(MATCH(ЕТАЛОН_ПЛ,ПЛ_РЯДОК,0),0)),"")=0),"",AA14/IFERROR(INDEX(БАЗА_RO,3,IFERROR(MATCH(ЕТАЛОН_ПЛ,ПЛ_РЯДОК,0),0)),"")-1)</f>
        <v/>
      </c>
      <c r="AC28" s="45" t="str">
        <f aca="false">IF(OR(AC14="",ЕТАЛОН_ПЛ="",IFERROR(INDEX(БАЗА_RO,3,IFERROR(MATCH(ЕТАЛОН_ПЛ,ПЛ_РЯДОК,0),0)),"")=""),"",AC14-IFERROR(INDEX(БАЗА_RO,3,IFERROR(MATCH(ЕТАЛОН_ПЛ,ПЛ_РЯДОК,0),0)),""))</f>
        <v/>
      </c>
      <c r="AD28" s="47" t="str">
        <f aca="false">IF(OR(AC14="",ЕТАЛОН_ПЛ="",IFERROR(INDEX(БАЗА_RO,3,IFERROR(MATCH(ЕТАЛОН_ПЛ,ПЛ_РЯДОК,0),0)),"")="",IFERROR(INDEX(БАЗА_RO,3,IFERROR(MATCH(ЕТАЛОН_ПЛ,ПЛ_РЯДОК,0),0)),"")=0),"",AC14/IFERROR(INDEX(БАЗА_RO,3,IFERROR(MATCH(ЕТАЛОН_ПЛ,ПЛ_РЯДОК,0),0)),"")-1)</f>
        <v/>
      </c>
      <c r="AE28" s="45" t="str">
        <f aca="false">IF(OR(AE14="",ЕТАЛОН_ПЛ="",IFERROR(INDEX(БАЗА_RO,3,IFERROR(MATCH(ЕТАЛОН_ПЛ,ПЛ_РЯДОК,0),0)),"")=""),"",AE14-IFERROR(INDEX(БАЗА_RO,3,IFERROR(MATCH(ЕТАЛОН_ПЛ,ПЛ_РЯДОК,0),0)),""))</f>
        <v/>
      </c>
      <c r="AF28" s="47" t="str">
        <f aca="false">IF(OR(AE14="",ЕТАЛОН_ПЛ="",IFERROR(INDEX(БАЗА_RO,3,IFERROR(MATCH(ЕТАЛОН_ПЛ,ПЛ_РЯДОК,0),0)),"")="",IFERROR(INDEX(БАЗА_RO,3,IFERROR(MATCH(ЕТАЛОН_ПЛ,ПЛ_РЯДОК,0),0)),"")=0),"",AE14/IFERROR(INDEX(БАЗА_RO,3,IFERROR(MATCH(ЕТАЛОН_ПЛ,ПЛ_РЯДОК,0),0)),"")-1)</f>
        <v/>
      </c>
      <c r="AG28" s="45" t="str">
        <f aca="false">IF(OR(AG14="",ЕТАЛОН_ПЛ="",IFERROR(INDEX(БАЗА_RO,3,IFERROR(MATCH(ЕТАЛОН_ПЛ,ПЛ_РЯДОК,0),0)),"")=""),"",AG14-IFERROR(INDEX(БАЗА_RO,3,IFERROR(MATCH(ЕТАЛОН_ПЛ,ПЛ_РЯДОК,0),0)),""))</f>
        <v/>
      </c>
      <c r="AH28" s="47" t="str">
        <f aca="false">IF(OR(AG14="",ЕТАЛОН_ПЛ="",IFERROR(INDEX(БАЗА_RO,3,IFERROR(MATCH(ЕТАЛОН_ПЛ,ПЛ_РЯДОК,0),0)),"")="",IFERROR(INDEX(БАЗА_RO,3,IFERROR(MATCH(ЕТАЛОН_ПЛ,ПЛ_РЯДОК,0),0)),"")=0),"",AG14/IFERROR(INDEX(БАЗА_RO,3,IFERROR(MATCH(ЕТАЛОН_ПЛ,ПЛ_РЯДОК,0),0)),"")-1)</f>
        <v/>
      </c>
      <c r="AI28" s="45" t="str">
        <f aca="false">IF(OR(AI14="",ЕТАЛОН_ПЛ="",IFERROR(INDEX(БАЗА_RO,3,IFERROR(MATCH(ЕТАЛОН_ПЛ,ПЛ_РЯДОК,0),0)),"")=""),"",AI14-IFERROR(INDEX(БАЗА_RO,3,IFERROR(MATCH(ЕТАЛОН_ПЛ,ПЛ_РЯДОК,0),0)),""))</f>
        <v/>
      </c>
      <c r="AJ28" s="47" t="str">
        <f aca="false">IF(OR(AI14="",ЕТАЛОН_ПЛ="",IFERROR(INDEX(БАЗА_RO,3,IFERROR(MATCH(ЕТАЛОН_ПЛ,ПЛ_РЯДОК,0),0)),"")="",IFERROR(INDEX(БАЗА_RO,3,IFERROR(MATCH(ЕТАЛОН_ПЛ,ПЛ_РЯДОК,0),0)),"")=0),"",AI14/IFERROR(INDEX(БАЗА_RO,3,IFERROR(MATCH(ЕТАЛОН_ПЛ,ПЛ_РЯДОК,0),0)),"")-1)</f>
        <v/>
      </c>
      <c r="AK28" s="45" t="str">
        <f aca="false">IF(OR(AK14="",ЕТАЛОН_ПЛ="",IFERROR(INDEX(БАЗА_RO,3,IFERROR(MATCH(ЕТАЛОН_ПЛ,ПЛ_РЯДОК,0),0)),"")=""),"",AK14-IFERROR(INDEX(БАЗА_RO,3,IFERROR(MATCH(ЕТАЛОН_ПЛ,ПЛ_РЯДОК,0),0)),""))</f>
        <v/>
      </c>
      <c r="AL28" s="47" t="str">
        <f aca="false">IF(OR(AK14="",ЕТАЛОН_ПЛ="",IFERROR(INDEX(БАЗА_RO,3,IFERROR(MATCH(ЕТАЛОН_ПЛ,ПЛ_РЯДОК,0),0)),"")="",IFERROR(INDEX(БАЗА_RO,3,IFERROR(MATCH(ЕТАЛОН_ПЛ,ПЛ_РЯДОК,0),0)),"")=0),"",AK14/IFERROR(INDEX(БАЗА_RO,3,IFERROR(MATCH(ЕТАЛОН_ПЛ,ПЛ_РЯДОК,0),0)),"")-1)</f>
        <v/>
      </c>
      <c r="AM28" s="45" t="str">
        <f aca="false">IF(OR(AM14="",ЕТАЛОН_ПЛ="",IFERROR(INDEX(БАЗА_RO,3,IFERROR(MATCH(ЕТАЛОН_ПЛ,ПЛ_РЯДОК,0),0)),"")=""),"",AM14-IFERROR(INDEX(БАЗА_RO,3,IFERROR(MATCH(ЕТАЛОН_ПЛ,ПЛ_РЯДОК,0),0)),""))</f>
        <v/>
      </c>
      <c r="AN28" s="47" t="str">
        <f aca="false">IF(OR(AM14="",ЕТАЛОН_ПЛ="",IFERROR(INDEX(БАЗА_RO,3,IFERROR(MATCH(ЕТАЛОН_ПЛ,ПЛ_РЯДОК,0),0)),"")="",IFERROR(INDEX(БАЗА_RO,3,IFERROR(MATCH(ЕТАЛОН_ПЛ,ПЛ_РЯДОК,0),0)),"")=0),"",AM14/IFERROR(INDEX(БАЗА_RO,3,IFERROR(MATCH(ЕТАЛОН_ПЛ,ПЛ_РЯДОК,0),0)),"")-1)</f>
        <v/>
      </c>
      <c r="AO28" s="45" t="str">
        <f aca="false">IF(OR(AO14="",ЕТАЛОН_ПЛ="",IFERROR(INDEX(БАЗА_RO,3,IFERROR(MATCH(ЕТАЛОН_ПЛ,ПЛ_РЯДОК,0),0)),"")=""),"",AO14-IFERROR(INDEX(БАЗА_RO,3,IFERROR(MATCH(ЕТАЛОН_ПЛ,ПЛ_РЯДОК,0),0)),""))</f>
        <v/>
      </c>
      <c r="AP28" s="47" t="str">
        <f aca="false">IF(OR(AO14="",ЕТАЛОН_ПЛ="",IFERROR(INDEX(БАЗА_RO,3,IFERROR(MATCH(ЕТАЛОН_ПЛ,ПЛ_РЯДОК,0),0)),"")="",IFERROR(INDEX(БАЗА_RO,3,IFERROR(MATCH(ЕТАЛОН_ПЛ,ПЛ_РЯДОК,0),0)),"")=0),"",AO14/IFERROR(INDEX(БАЗА_RO,3,IFERROR(MATCH(ЕТАЛОН_ПЛ,ПЛ_РЯДОК,0),0)),"")-1)</f>
        <v/>
      </c>
      <c r="AQ28" s="45" t="str">
        <f aca="false">IF(OR(AQ14="",ЕТАЛОН_ПЛ="",IFERROR(INDEX(БАЗА_RO,3,IFERROR(MATCH(ЕТАЛОН_ПЛ,ПЛ_РЯДОК,0),0)),"")=""),"",AQ14-IFERROR(INDEX(БАЗА_RO,3,IFERROR(MATCH(ЕТАЛОН_ПЛ,ПЛ_РЯДОК,0),0)),""))</f>
        <v/>
      </c>
      <c r="AR28" s="47" t="str">
        <f aca="false">IF(OR(AQ14="",ЕТАЛОН_ПЛ="",IFERROR(INDEX(БАЗА_RO,3,IFERROR(MATCH(ЕТАЛОН_ПЛ,ПЛ_РЯДОК,0),0)),"")="",IFERROR(INDEX(БАЗА_RO,3,IFERROR(MATCH(ЕТАЛОН_ПЛ,ПЛ_РЯДОК,0),0)),"")=0),"",AQ14/IFERROR(INDEX(БАЗА_RO,3,IFERROR(MATCH(ЕТАЛОН_ПЛ,ПЛ_РЯДОК,0),0)),"")-1)</f>
        <v/>
      </c>
      <c r="AS28" s="45" t="str">
        <f aca="false">IF(OR(AS14="",ЕТАЛОН_ПЛ="",IFERROR(INDEX(БАЗА_RO,3,IFERROR(MATCH(ЕТАЛОН_ПЛ,ПЛ_РЯДОК,0),0)),"")=""),"",AS14-IFERROR(INDEX(БАЗА_RO,3,IFERROR(MATCH(ЕТАЛОН_ПЛ,ПЛ_РЯДОК,0),0)),""))</f>
        <v/>
      </c>
      <c r="AT28" s="47" t="str">
        <f aca="false">IF(OR(AS14="",ЕТАЛОН_ПЛ="",IFERROR(INDEX(БАЗА_RO,3,IFERROR(MATCH(ЕТАЛОН_ПЛ,ПЛ_РЯДОК,0),0)),"")="",IFERROR(INDEX(БАЗА_RO,3,IFERROR(MATCH(ЕТАЛОН_ПЛ,ПЛ_РЯДОК,0),0)),"")=0),"",AS14/IFERROR(INDEX(БАЗА_RO,3,IFERROR(MATCH(ЕТАЛОН_ПЛ,ПЛ_РЯДОК,0),0)),"")-1)</f>
        <v/>
      </c>
      <c r="AU28" s="45" t="str">
        <f aca="false">IF(OR(AU14="",ЕТАЛОН_ПЛ="",IFERROR(INDEX(БАЗА_RO,3,IFERROR(MATCH(ЕТАЛОН_ПЛ,ПЛ_РЯДОК,0),0)),"")=""),"",AU14-IFERROR(INDEX(БАЗА_RO,3,IFERROR(MATCH(ЕТАЛОН_ПЛ,ПЛ_РЯДОК,0),0)),""))</f>
        <v/>
      </c>
      <c r="AV28" s="47" t="str">
        <f aca="false">IF(OR(AU14="",ЕТАЛОН_ПЛ="",IFERROR(INDEX(БАЗА_RO,3,IFERROR(MATCH(ЕТАЛОН_ПЛ,ПЛ_РЯДОК,0),0)),"")="",IFERROR(INDEX(БАЗА_RO,3,IFERROR(MATCH(ЕТАЛОН_ПЛ,ПЛ_РЯДОК,0),0)),"")=0),"",AU14/IFERROR(INDEX(БАЗА_RO,3,IFERROR(MATCH(ЕТАЛОН_ПЛ,ПЛ_РЯДОК,0),0)),"")-1)</f>
        <v/>
      </c>
      <c r="AW28" s="45" t="str">
        <f aca="false">IF(OR(AW14="",ЕТАЛОН_ПЛ="",IFERROR(INDEX(БАЗА_RO,3,IFERROR(MATCH(ЕТАЛОН_ПЛ,ПЛ_РЯДОК,0),0)),"")=""),"",AW14-IFERROR(INDEX(БАЗА_RO,3,IFERROR(MATCH(ЕТАЛОН_ПЛ,ПЛ_РЯДОК,0),0)),""))</f>
        <v/>
      </c>
      <c r="AX28" s="47" t="str">
        <f aca="false">IF(OR(AW14="",ЕТАЛОН_ПЛ="",IFERROR(INDEX(БАЗА_RO,3,IFERROR(MATCH(ЕТАЛОН_ПЛ,ПЛ_РЯДОК,0),0)),"")="",IFERROR(INDEX(БАЗА_RO,3,IFERROR(MATCH(ЕТАЛОН_ПЛ,ПЛ_РЯДОК,0),0)),"")=0),"",AW14/IFERROR(INDEX(БАЗА_RO,3,IFERROR(MATCH(ЕТАЛОН_ПЛ,ПЛ_РЯДОК,0),0)),"")-1)</f>
        <v/>
      </c>
      <c r="AY28" s="45" t="str">
        <f aca="false">IF(OR(AY14="",ЕТАЛОН_ПЛ="",IFERROR(INDEX(БАЗА_RO,3,IFERROR(MATCH(ЕТАЛОН_ПЛ,ПЛ_РЯДОК,0),0)),"")=""),"",AY14-IFERROR(INDEX(БАЗА_RO,3,IFERROR(MATCH(ЕТАЛОН_ПЛ,ПЛ_РЯДОК,0),0)),""))</f>
        <v/>
      </c>
      <c r="AZ28" s="47" t="str">
        <f aca="false">IF(OR(AY14="",ЕТАЛОН_ПЛ="",IFERROR(INDEX(БАЗА_RO,3,IFERROR(MATCH(ЕТАЛОН_ПЛ,ПЛ_РЯДОК,0),0)),"")="",IFERROR(INDEX(БАЗА_RO,3,IFERROR(MATCH(ЕТАЛОН_ПЛ,ПЛ_РЯДОК,0),0)),"")=0),"",AY14/IFERROR(INDEX(БАЗА_RO,3,IFERROR(MATCH(ЕТАЛОН_ПЛ,ПЛ_РЯДОК,0),0)),"")-1)</f>
        <v/>
      </c>
      <c r="BA28" s="45" t="str">
        <f aca="false">IF(OR(BA14="",ЕТАЛОН_ПЛ="",IFERROR(INDEX(БАЗА_RO,3,IFERROR(MATCH(ЕТАЛОН_ПЛ,ПЛ_РЯДОК,0),0)),"")=""),"",BA14-IFERROR(INDEX(БАЗА_RO,3,IFERROR(MATCH(ЕТАЛОН_ПЛ,ПЛ_РЯДОК,0),0)),""))</f>
        <v/>
      </c>
      <c r="BB28" s="47" t="str">
        <f aca="false">IF(OR(BA14="",ЕТАЛОН_ПЛ="",IFERROR(INDEX(БАЗА_RO,3,IFERROR(MATCH(ЕТАЛОН_ПЛ,ПЛ_РЯДОК,0),0)),"")="",IFERROR(INDEX(БАЗА_RO,3,IFERROR(MATCH(ЕТАЛОН_ПЛ,ПЛ_РЯДОК,0),0)),"")=0),"",BA14/IFERROR(INDEX(БАЗА_RO,3,IFERROR(MATCH(ЕТАЛОН_ПЛ,ПЛ_РЯДОК,0),0)),"")-1)</f>
        <v/>
      </c>
      <c r="BC28" s="45" t="str">
        <f aca="false">IF(OR(BC14="",ЕТАЛОН_ПЛ="",IFERROR(INDEX(БАЗА_RO,3,IFERROR(MATCH(ЕТАЛОН_ПЛ,ПЛ_РЯДОК,0),0)),"")=""),"",BC14-IFERROR(INDEX(БАЗА_RO,3,IFERROR(MATCH(ЕТАЛОН_ПЛ,ПЛ_РЯДОК,0),0)),""))</f>
        <v/>
      </c>
      <c r="BD28" s="47" t="str">
        <f aca="false">IF(OR(BC14="",ЕТАЛОН_ПЛ="",IFERROR(INDEX(БАЗА_RO,3,IFERROR(MATCH(ЕТАЛОН_ПЛ,ПЛ_РЯДОК,0),0)),"")="",IFERROR(INDEX(БАЗА_RO,3,IFERROR(MATCH(ЕТАЛОН_ПЛ,ПЛ_РЯДОК,0),0)),"")=0),"",BC14/IFERROR(INDEX(БАЗА_RO,3,IFERROR(MATCH(ЕТАЛОН_ПЛ,ПЛ_РЯДОК,0),0)),"")-1)</f>
        <v/>
      </c>
      <c r="BE28" s="45" t="str">
        <f aca="false">IF(OR(BE14="",ЕТАЛОН_ПЛ="",IFERROR(INDEX(БАЗА_RO,3,IFERROR(MATCH(ЕТАЛОН_ПЛ,ПЛ_РЯДОК,0),0)),"")=""),"",BE14-IFERROR(INDEX(БАЗА_RO,3,IFERROR(MATCH(ЕТАЛОН_ПЛ,ПЛ_РЯДОК,0),0)),""))</f>
        <v/>
      </c>
      <c r="BF28" s="47" t="str">
        <f aca="false">IF(OR(BE14="",ЕТАЛОН_ПЛ="",IFERROR(INDEX(БАЗА_RO,3,IFERROR(MATCH(ЕТАЛОН_ПЛ,ПЛ_РЯДОК,0),0)),"")="",IFERROR(INDEX(БАЗА_RO,3,IFERROR(MATCH(ЕТАЛОН_ПЛ,ПЛ_РЯДОК,0),0)),"")=0),"",BE14/IFERROR(INDEX(БАЗА_RO,3,IFERROR(MATCH(ЕТАЛОН_ПЛ,ПЛ_РЯДОК,0),0)),"")-1)</f>
        <v/>
      </c>
      <c r="BG28" s="45" t="str">
        <f aca="false">IF(OR(BG14="",ЕТАЛОН_ПЛ="",IFERROR(INDEX(БАЗА_RO,3,IFERROR(MATCH(ЕТАЛОН_ПЛ,ПЛ_РЯДОК,0),0)),"")=""),"",BG14-IFERROR(INDEX(БАЗА_RO,3,IFERROR(MATCH(ЕТАЛОН_ПЛ,ПЛ_РЯДОК,0),0)),""))</f>
        <v/>
      </c>
      <c r="BH28" s="47" t="str">
        <f aca="false">IF(OR(BG14="",ЕТАЛОН_ПЛ="",IFERROR(INDEX(БАЗА_RO,3,IFERROR(MATCH(ЕТАЛОН_ПЛ,ПЛ_РЯДОК,0),0)),"")="",IFERROR(INDEX(БАЗА_RO,3,IFERROR(MATCH(ЕТАЛОН_ПЛ,ПЛ_РЯДОК,0),0)),"")=0),"",BG14/IFERROR(INDEX(БАЗА_RO,3,IFERROR(MATCH(ЕТАЛОН_ПЛ,ПЛ_РЯДОК,0),0)),"")-1)</f>
        <v/>
      </c>
      <c r="BI28" s="45" t="str">
        <f aca="false">IF(OR(BI14="",ЕТАЛОН_ПЛ="",IFERROR(INDEX(БАЗА_RO,3,IFERROR(MATCH(ЕТАЛОН_ПЛ,ПЛ_РЯДОК,0),0)),"")=""),"",BI14-IFERROR(INDEX(БАЗА_RO,3,IFERROR(MATCH(ЕТАЛОН_ПЛ,ПЛ_РЯДОК,0),0)),""))</f>
        <v/>
      </c>
      <c r="BJ28" s="47" t="str">
        <f aca="false">IF(OR(BI14="",ЕТАЛОН_ПЛ="",IFERROR(INDEX(БАЗА_RO,3,IFERROR(MATCH(ЕТАЛОН_ПЛ,ПЛ_РЯДОК,0),0)),"")="",IFERROR(INDEX(БАЗА_RO,3,IFERROR(MATCH(ЕТАЛОН_ПЛ,ПЛ_РЯДОК,0),0)),"")=0),"",BI14/IFERROR(INDEX(БАЗА_RO,3,IFERROR(MATCH(ЕТАЛОН_ПЛ,ПЛ_РЯДОК,0),0)),"")-1)</f>
        <v/>
      </c>
      <c r="BK28" s="45" t="str">
        <f aca="false">IF(OR(BK14="",ЕТАЛОН_ПЛ="",IFERROR(INDEX(БАЗА_RO,3,IFERROR(MATCH(ЕТАЛОН_ПЛ,ПЛ_РЯДОК,0),0)),"")=""),"",BK14-IFERROR(INDEX(БАЗА_RO,3,IFERROR(MATCH(ЕТАЛОН_ПЛ,ПЛ_РЯДОК,0),0)),""))</f>
        <v/>
      </c>
      <c r="BL28" s="47" t="str">
        <f aca="false">IF(OR(BK14="",ЕТАЛОН_ПЛ="",IFERROR(INDEX(БАЗА_RO,3,IFERROR(MATCH(ЕТАЛОН_ПЛ,ПЛ_РЯДОК,0),0)),"")="",IFERROR(INDEX(БАЗА_RO,3,IFERROR(MATCH(ЕТАЛОН_ПЛ,ПЛ_РЯДОК,0),0)),"")=0),"",BK14/IFERROR(INDEX(БАЗА_RO,3,IFERROR(MATCH(ЕТАЛОН_ПЛ,ПЛ_РЯДОК,0),0)),"")-1)</f>
        <v/>
      </c>
      <c r="BM28" s="45" t="str">
        <f aca="false">IF(OR(BM14="",ЕТАЛОН_ПЛ="",IFERROR(INDEX(БАЗА_RO,3,IFERROR(MATCH(ЕТАЛОН_ПЛ,ПЛ_РЯДОК,0),0)),"")=""),"",BM14-IFERROR(INDEX(БАЗА_RO,3,IFERROR(MATCH(ЕТАЛОН_ПЛ,ПЛ_РЯДОК,0),0)),""))</f>
        <v/>
      </c>
      <c r="BN28" s="47" t="str">
        <f aca="false">IF(OR(BM14="",ЕТАЛОН_ПЛ="",IFERROR(INDEX(БАЗА_RO,3,IFERROR(MATCH(ЕТАЛОН_ПЛ,ПЛ_РЯДОК,0),0)),"")="",IFERROR(INDEX(БАЗА_RO,3,IFERROR(MATCH(ЕТАЛОН_ПЛ,ПЛ_РЯДОК,0),0)),"")=0),"",BM14/IFERROR(INDEX(БАЗА_RO,3,IFERROR(MATCH(ЕТАЛОН_ПЛ,ПЛ_РЯДОК,0),0)),"")-1)</f>
        <v/>
      </c>
      <c r="BO28" s="45" t="str">
        <f aca="false">IF(OR(BO14="",ЕТАЛОН_ПЛ="",IFERROR(INDEX(БАЗА_RO,3,IFERROR(MATCH(ЕТАЛОН_ПЛ,ПЛ_РЯДОК,0),0)),"")=""),"",BO14-IFERROR(INDEX(БАЗА_RO,3,IFERROR(MATCH(ЕТАЛОН_ПЛ,ПЛ_РЯДОК,0),0)),""))</f>
        <v/>
      </c>
      <c r="BP28" s="47" t="str">
        <f aca="false">IF(OR(BO14="",ЕТАЛОН_ПЛ="",IFERROR(INDEX(БАЗА_RO,3,IFERROR(MATCH(ЕТАЛОН_ПЛ,ПЛ_РЯДОК,0),0)),"")="",IFERROR(INDEX(БАЗА_RO,3,IFERROR(MATCH(ЕТАЛОН_ПЛ,ПЛ_РЯДОК,0),0)),"")=0),"",BO14/IFERROR(INDEX(БАЗА_RO,3,IFERROR(MATCH(ЕТАЛОН_ПЛ,ПЛ_РЯДОК,0),0)),"")-1)</f>
        <v/>
      </c>
      <c r="BQ28" s="45" t="str">
        <f aca="false">IF(OR(BQ14="",ЕТАЛОН_ПЛ="",IFERROR(INDEX(БАЗА_RO,3,IFERROR(MATCH(ЕТАЛОН_ПЛ,ПЛ_РЯДОК,0),0)),"")=""),"",BQ14-IFERROR(INDEX(БАЗА_RO,3,IFERROR(MATCH(ЕТАЛОН_ПЛ,ПЛ_РЯДОК,0),0)),""))</f>
        <v/>
      </c>
      <c r="BR28" s="47" t="str">
        <f aca="false">IF(OR(BQ14="",ЕТАЛОН_ПЛ="",IFERROR(INDEX(БАЗА_RO,3,IFERROR(MATCH(ЕТАЛОН_ПЛ,ПЛ_РЯДОК,0),0)),"")="",IFERROR(INDEX(БАЗА_RO,3,IFERROR(MATCH(ЕТАЛОН_ПЛ,ПЛ_РЯДОК,0),0)),"")=0),"",BQ14/IFERROR(INDEX(БАЗА_RO,3,IFERROR(MATCH(ЕТАЛОН_ПЛ,ПЛ_РЯДОК,0),0)),"")-1)</f>
        <v/>
      </c>
      <c r="BS28" s="45" t="str">
        <f aca="false">IF(OR(BS14="",ЕТАЛОН_ПЛ="",IFERROR(INDEX(БАЗА_RO,3,IFERROR(MATCH(ЕТАЛОН_ПЛ,ПЛ_РЯДОК,0),0)),"")=""),"",BS14-IFERROR(INDEX(БАЗА_RO,3,IFERROR(MATCH(ЕТАЛОН_ПЛ,ПЛ_РЯДОК,0),0)),""))</f>
        <v/>
      </c>
      <c r="BT28" s="47" t="str">
        <f aca="false">IF(OR(BS14="",ЕТАЛОН_ПЛ="",IFERROR(INDEX(БАЗА_RO,3,IFERROR(MATCH(ЕТАЛОН_ПЛ,ПЛ_РЯДОК,0),0)),"")="",IFERROR(INDEX(БАЗА_RO,3,IFERROR(MATCH(ЕТАЛОН_ПЛ,ПЛ_РЯДОК,0),0)),"")=0),"",BS14/IFERROR(INDEX(БАЗА_RO,3,IFERROR(MATCH(ЕТАЛОН_ПЛ,ПЛ_РЯДОК,0),0)),"")-1)</f>
        <v/>
      </c>
      <c r="BU28" s="45" t="str">
        <f aca="false">IF(OR(BU14="",ЕТАЛОН_ПЛ="",IFERROR(INDEX(БАЗА_RO,3,IFERROR(MATCH(ЕТАЛОН_ПЛ,ПЛ_РЯДОК,0),0)),"")=""),"",BU14-IFERROR(INDEX(БАЗА_RO,3,IFERROR(MATCH(ЕТАЛОН_ПЛ,ПЛ_РЯДОК,0),0)),""))</f>
        <v/>
      </c>
      <c r="BV28" s="47" t="str">
        <f aca="false">IF(OR(BU14="",ЕТАЛОН_ПЛ="",IFERROR(INDEX(БАЗА_RO,3,IFERROR(MATCH(ЕТАЛОН_ПЛ,ПЛ_РЯДОК,0),0)),"")="",IFERROR(INDEX(БАЗА_RO,3,IFERROR(MATCH(ЕТАЛОН_ПЛ,ПЛ_РЯДОК,0),0)),"")=0),"",BU14/IFERROR(INDEX(БАЗА_RO,3,IFERROR(MATCH(ЕТАЛОН_ПЛ,ПЛ_РЯДОК,0),0)),"")-1)</f>
        <v/>
      </c>
      <c r="BW28" s="45" t="str">
        <f aca="false">IF(OR(BW14="",ЕТАЛОН_ПЛ="",IFERROR(INDEX(БАЗА_RO,3,IFERROR(MATCH(ЕТАЛОН_ПЛ,ПЛ_РЯДОК,0),0)),"")=""),"",BW14-IFERROR(INDEX(БАЗА_RO,3,IFERROR(MATCH(ЕТАЛОН_ПЛ,ПЛ_РЯДОК,0),0)),""))</f>
        <v/>
      </c>
      <c r="BX28" s="47" t="str">
        <f aca="false">IF(OR(BW14="",ЕТАЛОН_ПЛ="",IFERROR(INDEX(БАЗА_RO,3,IFERROR(MATCH(ЕТАЛОН_ПЛ,ПЛ_РЯДОК,0),0)),"")="",IFERROR(INDEX(БАЗА_RO,3,IFERROR(MATCH(ЕТАЛОН_ПЛ,ПЛ_РЯДОК,0),0)),"")=0),"",BW14/IFERROR(INDEX(БАЗА_RO,3,IFERROR(MATCH(ЕТАЛОН_ПЛ,ПЛ_РЯДОК,0),0)),"")-1)</f>
        <v/>
      </c>
      <c r="BY28" s="45" t="str">
        <f aca="false">IF(OR(BY14="",ЕТАЛОН_ПЛ="",IFERROR(INDEX(БАЗА_RO,3,IFERROR(MATCH(ЕТАЛОН_ПЛ,ПЛ_РЯДОК,0),0)),"")=""),"",BY14-IFERROR(INDEX(БАЗА_RO,3,IFERROR(MATCH(ЕТАЛОН_ПЛ,ПЛ_РЯДОК,0),0)),""))</f>
        <v/>
      </c>
      <c r="BZ28" s="47" t="str">
        <f aca="false">IF(OR(BY14="",ЕТАЛОН_ПЛ="",IFERROR(INDEX(БАЗА_RO,3,IFERROR(MATCH(ЕТАЛОН_ПЛ,ПЛ_РЯДОК,0),0)),"")="",IFERROR(INDEX(БАЗА_RO,3,IFERROR(MATCH(ЕТАЛОН_ПЛ,ПЛ_РЯДОК,0),0)),"")=0),"",BY14/IFERROR(INDEX(БАЗА_RO,3,IFERROR(MATCH(ЕТАЛОН_ПЛ,ПЛ_РЯДОК,0),0)),"")-1)</f>
        <v/>
      </c>
      <c r="CA28" s="45" t="str">
        <f aca="false">IF(OR(CA14="",ЕТАЛОН_ПЛ="",IFERROR(INDEX(БАЗА_RO,3,IFERROR(MATCH(ЕТАЛОН_ПЛ,ПЛ_РЯДОК,0),0)),"")=""),"",CA14-IFERROR(INDEX(БАЗА_RO,3,IFERROR(MATCH(ЕТАЛОН_ПЛ,ПЛ_РЯДОК,0),0)),""))</f>
        <v/>
      </c>
      <c r="CB28" s="47" t="str">
        <f aca="false">IF(OR(CA14="",ЕТАЛОН_ПЛ="",IFERROR(INDEX(БАЗА_RO,3,IFERROR(MATCH(ЕТАЛОН_ПЛ,ПЛ_РЯДОК,0),0)),"")="",IFERROR(INDEX(БАЗА_RO,3,IFERROR(MATCH(ЕТАЛОН_ПЛ,ПЛ_РЯДОК,0),0)),"")=0),"",CA14/IFERROR(INDEX(БАЗА_RO,3,IFERROR(MATCH(ЕТАЛОН_ПЛ,ПЛ_РЯДОК,0),0)),"")-1)</f>
        <v/>
      </c>
      <c r="CC28" s="45" t="str">
        <f aca="false">IF(OR(CC14="",ЕТАЛОН_ПЛ="",IFERROR(INDEX(БАЗА_RO,3,IFERROR(MATCH(ЕТАЛОН_ПЛ,ПЛ_РЯДОК,0),0)),"")=""),"",CC14-IFERROR(INDEX(БАЗА_RO,3,IFERROR(MATCH(ЕТАЛОН_ПЛ,ПЛ_РЯДОК,0),0)),""))</f>
        <v/>
      </c>
      <c r="CD28" s="47" t="str">
        <f aca="false">IF(OR(CC14="",ЕТАЛОН_ПЛ="",IFERROR(INDEX(БАЗА_RO,3,IFERROR(MATCH(ЕТАЛОН_ПЛ,ПЛ_РЯДОК,0),0)),"")="",IFERROR(INDEX(БАЗА_RO,3,IFERROR(MATCH(ЕТАЛОН_ПЛ,ПЛ_РЯДОК,0),0)),"")=0),"",CC14/IFERROR(INDEX(БАЗА_RO,3,IFERROR(MATCH(ЕТАЛОН_ПЛ,ПЛ_РЯДОК,0),0)),"")-1)</f>
        <v/>
      </c>
      <c r="CE28" s="45" t="str">
        <f aca="false">IF(OR(CE14="",ЕТАЛОН_ПЛ="",IFERROR(INDEX(БАЗА_RO,3,IFERROR(MATCH(ЕТАЛОН_ПЛ,ПЛ_РЯДОК,0),0)),"")=""),"",CE14-IFERROR(INDEX(БАЗА_RO,3,IFERROR(MATCH(ЕТАЛОН_ПЛ,ПЛ_РЯДОК,0),0)),""))</f>
        <v/>
      </c>
      <c r="CF28" s="47" t="str">
        <f aca="false">IF(OR(CE14="",ЕТАЛОН_ПЛ="",IFERROR(INDEX(БАЗА_RO,3,IFERROR(MATCH(ЕТАЛОН_ПЛ,ПЛ_РЯДОК,0),0)),"")="",IFERROR(INDEX(БАЗА_RO,3,IFERROR(MATCH(ЕТАЛОН_ПЛ,ПЛ_РЯДОК,0),0)),"")=0),"",CE14/IFERROR(INDEX(БАЗА_RO,3,IFERROR(MATCH(ЕТАЛОН_ПЛ,ПЛ_РЯДОК,0),0)),"")-1)</f>
        <v/>
      </c>
      <c r="CG28" s="45" t="str">
        <f aca="false">IF(OR(CG14="",ЕТАЛОН_ПЛ="",IFERROR(INDEX(БАЗА_RO,3,IFERROR(MATCH(ЕТАЛОН_ПЛ,ПЛ_РЯДОК,0),0)),"")=""),"",CG14-IFERROR(INDEX(БАЗА_RO,3,IFERROR(MATCH(ЕТАЛОН_ПЛ,ПЛ_РЯДОК,0),0)),""))</f>
        <v/>
      </c>
      <c r="CH28" s="47" t="str">
        <f aca="false">IF(OR(CG14="",ЕТАЛОН_ПЛ="",IFERROR(INDEX(БАЗА_RO,3,IFERROR(MATCH(ЕТАЛОН_ПЛ,ПЛ_РЯДОК,0),0)),"")="",IFERROR(INDEX(БАЗА_RO,3,IFERROR(MATCH(ЕТАЛОН_ПЛ,ПЛ_РЯДОК,0),0)),"")=0),"",CG14/IFERROR(INDEX(БАЗА_RO,3,IFERROR(MATCH(ЕТАЛОН_ПЛ,ПЛ_РЯДОК,0),0)),"")-1)</f>
        <v/>
      </c>
      <c r="CI28" s="45" t="str">
        <f aca="false">IF(OR(CI14="",ЕТАЛОН_ПЛ="",IFERROR(INDEX(БАЗА_RO,3,IFERROR(MATCH(ЕТАЛОН_ПЛ,ПЛ_РЯДОК,0),0)),"")=""),"",CI14-IFERROR(INDEX(БАЗА_RO,3,IFERROR(MATCH(ЕТАЛОН_ПЛ,ПЛ_РЯДОК,0),0)),""))</f>
        <v/>
      </c>
      <c r="CJ28" s="47" t="str">
        <f aca="false">IF(OR(CI14="",ЕТАЛОН_ПЛ="",IFERROR(INDEX(БАЗА_RO,3,IFERROR(MATCH(ЕТАЛОН_ПЛ,ПЛ_РЯДОК,0),0)),"")="",IFERROR(INDEX(БАЗА_RO,3,IFERROR(MATCH(ЕТАЛОН_ПЛ,ПЛ_РЯДОК,0),0)),"")=0),"",CI14/IFERROR(INDEX(БАЗА_RO,3,IFERROR(MATCH(ЕТАЛОН_ПЛ,ПЛ_РЯДОК,0),0)),"")-1)</f>
        <v/>
      </c>
      <c r="CK28" s="45" t="str">
        <f aca="false">IF(OR(CK14="",ЕТАЛОН_ПЛ="",IFERROR(INDEX(БАЗА_RO,3,IFERROR(MATCH(ЕТАЛОН_ПЛ,ПЛ_РЯДОК,0),0)),"")=""),"",CK14-IFERROR(INDEX(БАЗА_RO,3,IFERROR(MATCH(ЕТАЛОН_ПЛ,ПЛ_РЯДОК,0),0)),""))</f>
        <v/>
      </c>
      <c r="CL28" s="47" t="str">
        <f aca="false">IF(OR(CK14="",ЕТАЛОН_ПЛ="",IFERROR(INDEX(БАЗА_RO,3,IFERROR(MATCH(ЕТАЛОН_ПЛ,ПЛ_РЯДОК,0),0)),"")="",IFERROR(INDEX(БАЗА_RO,3,IFERROR(MATCH(ЕТАЛОН_ПЛ,ПЛ_РЯДОК,0),0)),"")=0),"",CK14/IFERROR(INDEX(БАЗА_RO,3,IFERROR(MATCH(ЕТАЛОН_ПЛ,ПЛ_РЯДОК,0),0)),"")-1)</f>
        <v/>
      </c>
      <c r="CM28" s="45" t="str">
        <f aca="false">IF(OR(CM14="",ЕТАЛОН_ПЛ="",IFERROR(INDEX(БАЗА_RO,3,IFERROR(MATCH(ЕТАЛОН_ПЛ,ПЛ_РЯДОК,0),0)),"")=""),"",CM14-IFERROR(INDEX(БАЗА_RO,3,IFERROR(MATCH(ЕТАЛОН_ПЛ,ПЛ_РЯДОК,0),0)),""))</f>
        <v/>
      </c>
      <c r="CN28" s="47" t="str">
        <f aca="false">IF(OR(CM14="",ЕТАЛОН_ПЛ="",IFERROR(INDEX(БАЗА_RO,3,IFERROR(MATCH(ЕТАЛОН_ПЛ,ПЛ_РЯДОК,0),0)),"")="",IFERROR(INDEX(БАЗА_RO,3,IFERROR(MATCH(ЕТАЛОН_ПЛ,ПЛ_РЯДОК,0),0)),"")=0),"",CM14/IFERROR(INDEX(БАЗА_RO,3,IFERROR(MATCH(ЕТАЛОН_ПЛ,ПЛ_РЯДОК,0),0)),"")-1)</f>
        <v/>
      </c>
      <c r="CO28" s="45" t="str">
        <f aca="false">IF(OR(CO14="",ЕТАЛОН_ПЛ="",IFERROR(INDEX(БАЗА_RO,3,IFERROR(MATCH(ЕТАЛОН_ПЛ,ПЛ_РЯДОК,0),0)),"")=""),"",CO14-IFERROR(INDEX(БАЗА_RO,3,IFERROR(MATCH(ЕТАЛОН_ПЛ,ПЛ_РЯДОК,0),0)),""))</f>
        <v/>
      </c>
      <c r="CP28" s="47" t="str">
        <f aca="false">IF(OR(CO14="",ЕТАЛОН_ПЛ="",IFERROR(INDEX(БАЗА_RO,3,IFERROR(MATCH(ЕТАЛОН_ПЛ,ПЛ_РЯДОК,0),0)),"")="",IFERROR(INDEX(БАЗА_RO,3,IFERROR(MATCH(ЕТАЛОН_ПЛ,ПЛ_РЯДОК,0),0)),"")=0),"",CO14/IFERROR(INDEX(БАЗА_RO,3,IFERROR(MATCH(ЕТАЛОН_ПЛ,ПЛ_РЯДОК,0),0)),"")-1)</f>
        <v/>
      </c>
      <c r="CQ28" s="45" t="str">
        <f aca="false">IF(OR(CQ14="",ЕТАЛОН_ПЛ="",IFERROR(INDEX(БАЗА_RO,3,IFERROR(MATCH(ЕТАЛОН_ПЛ,ПЛ_РЯДОК,0),0)),"")=""),"",CQ14-IFERROR(INDEX(БАЗА_RO,3,IFERROR(MATCH(ЕТАЛОН_ПЛ,ПЛ_РЯДОК,0),0)),""))</f>
        <v/>
      </c>
      <c r="CR28" s="47" t="str">
        <f aca="false">IF(OR(CQ14="",ЕТАЛОН_ПЛ="",IFERROR(INDEX(БАЗА_RO,3,IFERROR(MATCH(ЕТАЛОН_ПЛ,ПЛ_РЯДОК,0),0)),"")="",IFERROR(INDEX(БАЗА_RO,3,IFERROR(MATCH(ЕТАЛОН_ПЛ,ПЛ_РЯДОК,0),0)),"")=0),"",CQ14/IFERROR(INDEX(БАЗА_RO,3,IFERROR(MATCH(ЕТАЛОН_ПЛ,ПЛ_РЯДОК,0),0)),"")-1)</f>
        <v/>
      </c>
      <c r="CS28" s="45" t="str">
        <f aca="false">IF(OR(CS14="",ЕТАЛОН_ПЛ="",IFERROR(INDEX(БАЗА_RO,3,IFERROR(MATCH(ЕТАЛОН_ПЛ,ПЛ_РЯДОК,0),0)),"")=""),"",CS14-IFERROR(INDEX(БАЗА_RO,3,IFERROR(MATCH(ЕТАЛОН_ПЛ,ПЛ_РЯДОК,0),0)),""))</f>
        <v/>
      </c>
      <c r="CT28" s="47" t="str">
        <f aca="false">IF(OR(CS14="",ЕТАЛОН_ПЛ="",IFERROR(INDEX(БАЗА_RO,3,IFERROR(MATCH(ЕТАЛОН_ПЛ,ПЛ_РЯДОК,0),0)),"")="",IFERROR(INDEX(БАЗА_RO,3,IFERROR(MATCH(ЕТАЛОН_ПЛ,ПЛ_РЯДОК,0),0)),"")=0),"",CS14/IFERROR(INDEX(БАЗА_RO,3,IFERROR(MATCH(ЕТАЛОН_ПЛ,ПЛ_РЯДОК,0),0)),"")-1)</f>
        <v/>
      </c>
      <c r="CU28" s="45" t="str">
        <f aca="false">IF(OR(CU14="",ЕТАЛОН_ПЛ="",IFERROR(INDEX(БАЗА_RO,3,IFERROR(MATCH(ЕТАЛОН_ПЛ,ПЛ_РЯДОК,0),0)),"")=""),"",CU14-IFERROR(INDEX(БАЗА_RO,3,IFERROR(MATCH(ЕТАЛОН_ПЛ,ПЛ_РЯДОК,0),0)),""))</f>
        <v/>
      </c>
      <c r="CV28" s="47" t="str">
        <f aca="false">IF(OR(CU14="",ЕТАЛОН_ПЛ="",IFERROR(INDEX(БАЗА_RO,3,IFERROR(MATCH(ЕТАЛОН_ПЛ,ПЛ_РЯДОК,0),0)),"")="",IFERROR(INDEX(БАЗА_RO,3,IFERROR(MATCH(ЕТАЛОН_ПЛ,ПЛ_РЯДОК,0),0)),"")=0),"",CU14/IFERROR(INDEX(БАЗА_RO,3,IFERROR(MATCH(ЕТАЛОН_ПЛ,ПЛ_РЯДОК,0),0)),"")-1)</f>
        <v/>
      </c>
      <c r="CW28" s="45" t="str">
        <f aca="false">IF(OR(CW14="",ЕТАЛОН_ПЛ="",IFERROR(INDEX(БАЗА_RO,3,IFERROR(MATCH(ЕТАЛОН_ПЛ,ПЛ_РЯДОК,0),0)),"")=""),"",CW14-IFERROR(INDEX(БАЗА_RO,3,IFERROR(MATCH(ЕТАЛОН_ПЛ,ПЛ_РЯДОК,0),0)),""))</f>
        <v/>
      </c>
      <c r="CX28" s="47" t="str">
        <f aca="false">IF(OR(CW14="",ЕТАЛОН_ПЛ="",IFERROR(INDEX(БАЗА_RO,3,IFERROR(MATCH(ЕТАЛОН_ПЛ,ПЛ_РЯДОК,0),0)),"")="",IFERROR(INDEX(БАЗА_RO,3,IFERROR(MATCH(ЕТАЛОН_ПЛ,ПЛ_РЯДОК,0),0)),"")=0),"",CW14/IFERROR(INDEX(БАЗА_RO,3,IFERROR(MATCH(ЕТАЛОН_ПЛ,ПЛ_РЯДОК,0),0)),"")-1)</f>
        <v/>
      </c>
      <c r="CY28" s="45" t="str">
        <f aca="false">IF(OR(CY14="",ЕТАЛОН_ПЛ="",IFERROR(INDEX(БАЗА_RO,3,IFERROR(MATCH(ЕТАЛОН_ПЛ,ПЛ_РЯДОК,0),0)),"")=""),"",CY14-IFERROR(INDEX(БАЗА_RO,3,IFERROR(MATCH(ЕТАЛОН_ПЛ,ПЛ_РЯДОК,0),0)),""))</f>
        <v/>
      </c>
      <c r="CZ28" s="47" t="str">
        <f aca="false">IF(OR(CY14="",ЕТАЛОН_ПЛ="",IFERROR(INDEX(БАЗА_RO,3,IFERROR(MATCH(ЕТАЛОН_ПЛ,ПЛ_РЯДОК,0),0)),"")="",IFERROR(INDEX(БАЗА_RO,3,IFERROR(MATCH(ЕТАЛОН_ПЛ,ПЛ_РЯДОК,0),0)),"")=0),"",CY14/IFERROR(INDEX(БАЗА_RO,3,IFERROR(MATCH(ЕТАЛОН_ПЛ,ПЛ_РЯДОК,0),0)),"")-1)</f>
        <v/>
      </c>
      <c r="DA28" s="45" t="str">
        <f aca="false">IF(OR(DA14="",ЕТАЛОН_ПЛ="",IFERROR(INDEX(БАЗА_RO,3,IFERROR(MATCH(ЕТАЛОН_ПЛ,ПЛ_РЯДОК,0),0)),"")=""),"",DA14-IFERROR(INDEX(БАЗА_RO,3,IFERROR(MATCH(ЕТАЛОН_ПЛ,ПЛ_РЯДОК,0),0)),""))</f>
        <v/>
      </c>
      <c r="DB28" s="47" t="str">
        <f aca="false">IF(OR(DA14="",ЕТАЛОН_ПЛ="",IFERROR(INDEX(БАЗА_RO,3,IFERROR(MATCH(ЕТАЛОН_ПЛ,ПЛ_РЯДОК,0),0)),"")="",IFERROR(INDEX(БАЗА_RO,3,IFERROR(MATCH(ЕТАЛОН_ПЛ,ПЛ_РЯДОК,0),0)),"")=0),"",DA14/IFERROR(INDEX(БАЗА_RO,3,IFERROR(MATCH(ЕТАЛОН_ПЛ,ПЛ_РЯДОК,0),0)),"")-1)</f>
        <v/>
      </c>
      <c r="DC28" s="45" t="str">
        <f aca="false">IF(OR(DC14="",ЕТАЛОН_ПЛ="",IFERROR(INDEX(БАЗА_RO,3,IFERROR(MATCH(ЕТАЛОН_ПЛ,ПЛ_РЯДОК,0),0)),"")=""),"",DC14-IFERROR(INDEX(БАЗА_RO,3,IFERROR(MATCH(ЕТАЛОН_ПЛ,ПЛ_РЯДОК,0),0)),""))</f>
        <v/>
      </c>
      <c r="DD28" s="47" t="str">
        <f aca="false">IF(OR(DC14="",ЕТАЛОН_ПЛ="",IFERROR(INDEX(БАЗА_RO,3,IFERROR(MATCH(ЕТАЛОН_ПЛ,ПЛ_РЯДОК,0),0)),"")="",IFERROR(INDEX(БАЗА_RO,3,IFERROR(MATCH(ЕТАЛОН_ПЛ,ПЛ_РЯДОК,0),0)),"")=0),"",DC14/IFERROR(INDEX(БАЗА_RO,3,IFERROR(MATCH(ЕТАЛОН_ПЛ,ПЛ_РЯДОК,0),0)),"")-1)</f>
        <v/>
      </c>
      <c r="DE28" s="45" t="str">
        <f aca="false">IF(OR(DE14="",ЕТАЛОН_ПЛ="",IFERROR(INDEX(БАЗА_RO,3,IFERROR(MATCH(ЕТАЛОН_ПЛ,ПЛ_РЯДОК,0),0)),"")=""),"",DE14-IFERROR(INDEX(БАЗА_RO,3,IFERROR(MATCH(ЕТАЛОН_ПЛ,ПЛ_РЯДОК,0),0)),""))</f>
        <v/>
      </c>
      <c r="DF28" s="47" t="str">
        <f aca="false">IF(OR(DE14="",ЕТАЛОН_ПЛ="",IFERROR(INDEX(БАЗА_RO,3,IFERROR(MATCH(ЕТАЛОН_ПЛ,ПЛ_РЯДОК,0),0)),"")="",IFERROR(INDEX(БАЗА_RO,3,IFERROR(MATCH(ЕТАЛОН_ПЛ,ПЛ_РЯДОК,0),0)),"")=0),"",DE14/IFERROR(INDEX(БАЗА_RO,3,IFERROR(MATCH(ЕТАЛОН_ПЛ,ПЛ_РЯДОК,0),0)),"")-1)</f>
        <v/>
      </c>
      <c r="DG28" s="45" t="str">
        <f aca="false">IF(OR(DG14="",ЕТАЛОН_ПЛ="",IFERROR(INDEX(БАЗА_RO,3,IFERROR(MATCH(ЕТАЛОН_ПЛ,ПЛ_РЯДОК,0),0)),"")=""),"",DG14-IFERROR(INDEX(БАЗА_RO,3,IFERROR(MATCH(ЕТАЛОН_ПЛ,ПЛ_РЯДОК,0),0)),""))</f>
        <v/>
      </c>
      <c r="DH28" s="47" t="str">
        <f aca="false">IF(OR(DG14="",ЕТАЛОН_ПЛ="",IFERROR(INDEX(БАЗА_RO,3,IFERROR(MATCH(ЕТАЛОН_ПЛ,ПЛ_РЯДОК,0),0)),"")="",IFERROR(INDEX(БАЗА_RO,3,IFERROR(MATCH(ЕТАЛОН_ПЛ,ПЛ_РЯДОК,0),0)),"")=0),"",DG14/IFERROR(INDEX(БАЗА_RO,3,IFERROR(MATCH(ЕТАЛОН_ПЛ,ПЛ_РЯДОК,0),0)),"")-1)</f>
        <v/>
      </c>
      <c r="DI28" s="45" t="str">
        <f aca="false">IF(OR(DI14="",ЕТАЛОН_ПЛ="",IFERROR(INDEX(БАЗА_RO,3,IFERROR(MATCH(ЕТАЛОН_ПЛ,ПЛ_РЯДОК,0),0)),"")=""),"",DI14-IFERROR(INDEX(БАЗА_RO,3,IFERROR(MATCH(ЕТАЛОН_ПЛ,ПЛ_РЯДОК,0),0)),""))</f>
        <v/>
      </c>
      <c r="DJ28" s="47" t="str">
        <f aca="false">IF(OR(DI14="",ЕТАЛОН_ПЛ="",IFERROR(INDEX(БАЗА_RO,3,IFERROR(MATCH(ЕТАЛОН_ПЛ,ПЛ_РЯДОК,0),0)),"")="",IFERROR(INDEX(БАЗА_RO,3,IFERROR(MATCH(ЕТАЛОН_ПЛ,ПЛ_РЯДОК,0),0)),"")=0),"",DI14/IFERROR(INDEX(БАЗА_RO,3,IFERROR(MATCH(ЕТАЛОН_ПЛ,ПЛ_РЯДОК,0),0)),"")-1)</f>
        <v/>
      </c>
      <c r="DK28" s="45" t="str">
        <f aca="false">IF(OR(DK14="",ЕТАЛОН_ПЛ="",IFERROR(INDEX(БАЗА_RO,3,IFERROR(MATCH(ЕТАЛОН_ПЛ,ПЛ_РЯДОК,0),0)),"")=""),"",DK14-IFERROR(INDEX(БАЗА_RO,3,IFERROR(MATCH(ЕТАЛОН_ПЛ,ПЛ_РЯДОК,0),0)),""))</f>
        <v/>
      </c>
      <c r="DL28" s="47" t="str">
        <f aca="false">IF(OR(DK14="",ЕТАЛОН_ПЛ="",IFERROR(INDEX(БАЗА_RO,3,IFERROR(MATCH(ЕТАЛОН_ПЛ,ПЛ_РЯДОК,0),0)),"")="",IFERROR(INDEX(БАЗА_RO,3,IFERROR(MATCH(ЕТАЛОН_ПЛ,ПЛ_РЯДОК,0),0)),"")=0),"",DK14/IFERROR(INDEX(БАЗА_RO,3,IFERROR(MATCH(ЕТАЛОН_ПЛ,ПЛ_РЯДОК,0),0)),"")-1)</f>
        <v/>
      </c>
      <c r="DM28" s="45" t="str">
        <f aca="false">IF(OR(DM14="",ЕТАЛОН_ПЛ="",IFERROR(INDEX(БАЗА_RO,3,IFERROR(MATCH(ЕТАЛОН_ПЛ,ПЛ_РЯДОК,0),0)),"")=""),"",DM14-IFERROR(INDEX(БАЗА_RO,3,IFERROR(MATCH(ЕТАЛОН_ПЛ,ПЛ_РЯДОК,0),0)),""))</f>
        <v/>
      </c>
      <c r="DN28" s="47" t="str">
        <f aca="false">IF(OR(DM14="",ЕТАЛОН_ПЛ="",IFERROR(INDEX(БАЗА_RO,3,IFERROR(MATCH(ЕТАЛОН_ПЛ,ПЛ_РЯДОК,0),0)),"")="",IFERROR(INDEX(БАЗА_RO,3,IFERROR(MATCH(ЕТАЛОН_ПЛ,ПЛ_РЯДОК,0),0)),"")=0),"",DM14/IFERROR(INDEX(БАЗА_RO,3,IFERROR(MATCH(ЕТАЛОН_ПЛ,ПЛ_РЯДОК,0),0)),"")-1)</f>
        <v/>
      </c>
      <c r="DO28" s="45" t="str">
        <f aca="false">IF(OR(DO14="",ЕТАЛОН_ПЛ="",IFERROR(INDEX(БАЗА_RO,3,IFERROR(MATCH(ЕТАЛОН_ПЛ,ПЛ_РЯДОК,0),0)),"")=""),"",DO14-IFERROR(INDEX(БАЗА_RO,3,IFERROR(MATCH(ЕТАЛОН_ПЛ,ПЛ_РЯДОК,0),0)),""))</f>
        <v/>
      </c>
      <c r="DP28" s="47" t="str">
        <f aca="false">IF(OR(DO14="",ЕТАЛОН_ПЛ="",IFERROR(INDEX(БАЗА_RO,3,IFERROR(MATCH(ЕТАЛОН_ПЛ,ПЛ_РЯДОК,0),0)),"")="",IFERROR(INDEX(БАЗА_RO,3,IFERROR(MATCH(ЕТАЛОН_ПЛ,ПЛ_РЯДОК,0),0)),"")=0),"",DO14/IFERROR(INDEX(БАЗА_RO,3,IFERROR(MATCH(ЕТАЛОН_ПЛ,ПЛ_РЯДОК,0),0)),"")-1)</f>
        <v/>
      </c>
      <c r="DQ28" s="45" t="str">
        <f aca="false">IF(OR(DQ14="",ЕТАЛОН_ПЛ="",IFERROR(INDEX(БАЗА_RO,3,IFERROR(MATCH(ЕТАЛОН_ПЛ,ПЛ_РЯДОК,0),0)),"")=""),"",DQ14-IFERROR(INDEX(БАЗА_RO,3,IFERROR(MATCH(ЕТАЛОН_ПЛ,ПЛ_РЯДОК,0),0)),""))</f>
        <v/>
      </c>
      <c r="DR28" s="47" t="str">
        <f aca="false">IF(OR(DQ14="",ЕТАЛОН_ПЛ="",IFERROR(INDEX(БАЗА_RO,3,IFERROR(MATCH(ЕТАЛОН_ПЛ,ПЛ_РЯДОК,0),0)),"")="",IFERROR(INDEX(БАЗА_RO,3,IFERROR(MATCH(ЕТАЛОН_ПЛ,ПЛ_РЯДОК,0),0)),"")=0),"",DQ14/IFERROR(INDEX(БАЗА_RO,3,IFERROR(MATCH(ЕТАЛОН_ПЛ,ПЛ_РЯДОК,0),0)),"")-1)</f>
        <v/>
      </c>
      <c r="DS28" s="45" t="str">
        <f aca="false">IF(OR(DS14="",ЕТАЛОН_ПЛ="",IFERROR(INDEX(БАЗА_RO,3,IFERROR(MATCH(ЕТАЛОН_ПЛ,ПЛ_РЯДОК,0),0)),"")=""),"",DS14-IFERROR(INDEX(БАЗА_RO,3,IFERROR(MATCH(ЕТАЛОН_ПЛ,ПЛ_РЯДОК,0),0)),""))</f>
        <v/>
      </c>
      <c r="DT28" s="47" t="str">
        <f aca="false">IF(OR(DS14="",ЕТАЛОН_ПЛ="",IFERROR(INDEX(БАЗА_RO,3,IFERROR(MATCH(ЕТАЛОН_ПЛ,ПЛ_РЯДОК,0),0)),"")="",IFERROR(INDEX(БАЗА_RO,3,IFERROR(MATCH(ЕТАЛОН_ПЛ,ПЛ_РЯДОК,0),0)),"")=0),"",DS14/IFERROR(INDEX(БАЗА_RO,3,IFERROR(MATCH(ЕТАЛОН_ПЛ,ПЛ_РЯДОК,0),0)),"")-1)</f>
        <v/>
      </c>
      <c r="DU28" s="45" t="str">
        <f aca="false">IF(OR(DU14="",ЕТАЛОН_ПЛ="",IFERROR(INDEX(БАЗА_RO,3,IFERROR(MATCH(ЕТАЛОН_ПЛ,ПЛ_РЯДОК,0),0)),"")=""),"",DU14-IFERROR(INDEX(БАЗА_RO,3,IFERROR(MATCH(ЕТАЛОН_ПЛ,ПЛ_РЯДОК,0),0)),""))</f>
        <v/>
      </c>
      <c r="DV28" s="47" t="str">
        <f aca="false">IF(OR(DU14="",ЕТАЛОН_ПЛ="",IFERROR(INDEX(БАЗА_RO,3,IFERROR(MATCH(ЕТАЛОН_ПЛ,ПЛ_РЯДОК,0),0)),"")="",IFERROR(INDEX(БАЗА_RO,3,IFERROR(MATCH(ЕТАЛОН_ПЛ,ПЛ_РЯДОК,0),0)),"")=0),"",DU14/IFERROR(INDEX(БАЗА_RO,3,IFERROR(MATCH(ЕТАЛОН_ПЛ,ПЛ_РЯДОК,0),0)),"")-1)</f>
        <v/>
      </c>
      <c r="DW28" s="45" t="str">
        <f aca="false">IF(OR(DW14="",ЕТАЛОН_ПЛ="",IFERROR(INDEX(БАЗА_RO,3,IFERROR(MATCH(ЕТАЛОН_ПЛ,ПЛ_РЯДОК,0),0)),"")=""),"",DW14-IFERROR(INDEX(БАЗА_RO,3,IFERROR(MATCH(ЕТАЛОН_ПЛ,ПЛ_РЯДОК,0),0)),""))</f>
        <v/>
      </c>
      <c r="DX28" s="47" t="str">
        <f aca="false">IF(OR(DW14="",ЕТАЛОН_ПЛ="",IFERROR(INDEX(БАЗА_RO,3,IFERROR(MATCH(ЕТАЛОН_ПЛ,ПЛ_РЯДОК,0),0)),"")="",IFERROR(INDEX(БАЗА_RO,3,IFERROR(MATCH(ЕТАЛОН_ПЛ,ПЛ_РЯДОК,0),0)),"")=0),"",DW14/IFERROR(INDEX(БАЗА_RO,3,IFERROR(MATCH(ЕТАЛОН_ПЛ,ПЛ_РЯДОК,0),0)),"")-1)</f>
        <v/>
      </c>
    </row>
    <row r="29" customFormat="false" ht="15" hidden="false" customHeight="false" outlineLevel="0" collapsed="false">
      <c r="A29" s="4"/>
      <c r="B29" s="31"/>
      <c r="C29" s="31"/>
      <c r="D29" s="41"/>
      <c r="E29" s="4"/>
      <c r="F29" s="14" t="s">
        <v>120</v>
      </c>
      <c r="H29" s="13" t="s">
        <v>99</v>
      </c>
      <c r="I29" s="45" t="n">
        <f aca="false">IF(OR(I15="",ЕТАЛОН_ПЛ="",IFERROR(INDEX(БАЗА_RO,4,IFERROR(MATCH(ЕТАЛОН_ПЛ,ПЛ_РЯДОК,0),0)),"")=""),"",I15-IFERROR(INDEX(БАЗА_RO,4,IFERROR(MATCH(ЕТАЛОН_ПЛ,ПЛ_РЯДОК,0),0)),""))</f>
        <v>15</v>
      </c>
      <c r="J29" s="47" t="n">
        <f aca="false">IF(OR(I15="",ЕТАЛОН_ПЛ="",IFERROR(INDEX(БАЗА_RO,4,IFERROR(MATCH(ЕТАЛОН_ПЛ,ПЛ_РЯДОК,0),0)),"")="",IFERROR(INDEX(БАЗА_RO,4,IFERROR(MATCH(ЕТАЛОН_ПЛ,ПЛ_РЯДОК,0),0)),"")=0),"",I15/IFERROR(INDEX(БАЗА_RO,4,IFERROR(MATCH(ЕТАЛОН_ПЛ,ПЛ_РЯДОК,0),0)),"")-1)</f>
        <v>0.00358422939068093</v>
      </c>
      <c r="K29" s="45" t="n">
        <f aca="false">IF(OR(K15="",ЕТАЛОН_ПЛ="",IFERROR(INDEX(БАЗА_RO,4,IFERROR(MATCH(ЕТАЛОН_ПЛ,ПЛ_РЯДОК,0),0)),"")=""),"",K15-IFERROR(INDEX(БАЗА_RO,4,IFERROR(MATCH(ЕТАЛОН_ПЛ,ПЛ_РЯДОК,0),0)),""))</f>
        <v>0</v>
      </c>
      <c r="L29" s="47" t="n">
        <f aca="false">IF(OR(K15="",ЕТАЛОН_ПЛ="",IFERROR(INDEX(БАЗА_RO,4,IFERROR(MATCH(ЕТАЛОН_ПЛ,ПЛ_РЯДОК,0),0)),"")="",IFERROR(INDEX(БАЗА_RO,4,IFERROR(MATCH(ЕТАЛОН_ПЛ,ПЛ_РЯДОК,0),0)),"")=0),"",K15/IFERROR(INDEX(БАЗА_RO,4,IFERROR(MATCH(ЕТАЛОН_ПЛ,ПЛ_РЯДОК,0),0)),"")-1)</f>
        <v>0</v>
      </c>
      <c r="M29" s="45" t="n">
        <f aca="false">IF(OR(M15="",ЕТАЛОН_ПЛ="",IFERROR(INDEX(БАЗА_RO,4,IFERROR(MATCH(ЕТАЛОН_ПЛ,ПЛ_РЯДОК,0),0)),"")=""),"",M15-IFERROR(INDEX(БАЗА_RO,4,IFERROR(MATCH(ЕТАЛОН_ПЛ,ПЛ_РЯДОК,0),0)),""))</f>
        <v>-1255</v>
      </c>
      <c r="N29" s="47" t="n">
        <f aca="false">IF(OR(M15="",ЕТАЛОН_ПЛ="",IFERROR(INDEX(БАЗА_RO,4,IFERROR(MATCH(ЕТАЛОН_ПЛ,ПЛ_РЯДОК,0),0)),"")="",IFERROR(INDEX(БАЗА_RO,4,IFERROR(MATCH(ЕТАЛОН_ПЛ,ПЛ_РЯДОК,0),0)),"")=0),"",M15/IFERROR(INDEX(БАЗА_RO,4,IFERROR(MATCH(ЕТАЛОН_ПЛ,ПЛ_РЯДОК,0),0)),"")-1)</f>
        <v>-0.299880525686977</v>
      </c>
      <c r="O29" s="45" t="n">
        <f aca="false">IF(OR(O15="",ЕТАЛОН_ПЛ="",IFERROR(INDEX(БАЗА_RO,4,IFERROR(MATCH(ЕТАЛОН_ПЛ,ПЛ_РЯДОК,0),0)),"")=""),"",O15-IFERROR(INDEX(БАЗА_RO,4,IFERROR(MATCH(ЕТАЛОН_ПЛ,ПЛ_РЯДОК,0),0)),""))</f>
        <v>-837</v>
      </c>
      <c r="P29" s="47" t="n">
        <f aca="false">IF(OR(O15="",ЕТАЛОН_ПЛ="",IFERROR(INDEX(БАЗА_RO,4,IFERROR(MATCH(ЕТАЛОН_ПЛ,ПЛ_РЯДОК,0),0)),"")="",IFERROR(INDEX(БАЗА_RO,4,IFERROR(MATCH(ЕТАЛОН_ПЛ,ПЛ_РЯДОК,0),0)),"")=0),"",O15/IFERROR(INDEX(БАЗА_RO,4,IFERROR(MATCH(ЕТАЛОН_ПЛ,ПЛ_РЯДОК,0),0)),"")-1)</f>
        <v>-0.2</v>
      </c>
      <c r="Q29" s="45" t="n">
        <f aca="false">IF(OR(Q15="",ЕТАЛОН_ПЛ="",IFERROR(INDEX(БАЗА_RO,4,IFERROR(MATCH(ЕТАЛОН_ПЛ,ПЛ_РЯДОК,0),0)),"")=""),"",Q15-IFERROR(INDEX(БАЗА_RO,4,IFERROR(MATCH(ЕТАЛОН_ПЛ,ПЛ_РЯДОК,0),0)),""))</f>
        <v>-785</v>
      </c>
      <c r="R29" s="47" t="n">
        <f aca="false">IF(OR(Q15="",ЕТАЛОН_ПЛ="",IFERROR(INDEX(БАЗА_RO,4,IFERROR(MATCH(ЕТАЛОН_ПЛ,ПЛ_РЯДОК,0),0)),"")="",IFERROR(INDEX(БАЗА_RO,4,IFERROR(MATCH(ЕТАЛОН_ПЛ,ПЛ_РЯДОК,0),0)),"")=0),"",Q15/IFERROR(INDEX(БАЗА_RO,4,IFERROR(MATCH(ЕТАЛОН_ПЛ,ПЛ_РЯДОК,0),0)),"")-1)</f>
        <v>-0.187574671445639</v>
      </c>
      <c r="S29" s="45" t="str">
        <f aca="false">IF(OR(S15="",ЕТАЛОН_ПЛ="",IFERROR(INDEX(БАЗА_RO,4,IFERROR(MATCH(ЕТАЛОН_ПЛ,ПЛ_РЯДОК,0),0)),"")=""),"",S15-IFERROR(INDEX(БАЗА_RO,4,IFERROR(MATCH(ЕТАЛОН_ПЛ,ПЛ_РЯДОК,0),0)),""))</f>
        <v/>
      </c>
      <c r="T29" s="47" t="str">
        <f aca="false">IF(OR(S15="",ЕТАЛОН_ПЛ="",IFERROR(INDEX(БАЗА_RO,4,IFERROR(MATCH(ЕТАЛОН_ПЛ,ПЛ_РЯДОК,0),0)),"")="",IFERROR(INDEX(БАЗА_RO,4,IFERROR(MATCH(ЕТАЛОН_ПЛ,ПЛ_РЯДОК,0),0)),"")=0),"",S15/IFERROR(INDEX(БАЗА_RO,4,IFERROR(MATCH(ЕТАЛОН_ПЛ,ПЛ_РЯДОК,0),0)),"")-1)</f>
        <v/>
      </c>
      <c r="U29" s="45" t="n">
        <f aca="false">IF(OR(U15="",ЕТАЛОН_ПЛ="",IFERROR(INDEX(БАЗА_RO,4,IFERROR(MATCH(ЕТАЛОН_ПЛ,ПЛ_РЯДОК,0),0)),"")=""),"",U15-IFERROR(INDEX(БАЗА_RO,4,IFERROR(MATCH(ЕТАЛОН_ПЛ,ПЛ_РЯДОК,0),0)),""))</f>
        <v>-785</v>
      </c>
      <c r="V29" s="47" t="n">
        <f aca="false">IF(OR(U15="",ЕТАЛОН_ПЛ="",IFERROR(INDEX(БАЗА_RO,4,IFERROR(MATCH(ЕТАЛОН_ПЛ,ПЛ_РЯДОК,0),0)),"")="",IFERROR(INDEX(БАЗА_RO,4,IFERROR(MATCH(ЕТАЛОН_ПЛ,ПЛ_РЯДОК,0),0)),"")=0),"",U15/IFERROR(INDEX(БАЗА_RO,4,IFERROR(MATCH(ЕТАЛОН_ПЛ,ПЛ_РЯДОК,0),0)),"")-1)</f>
        <v>-0.187574671445639</v>
      </c>
      <c r="W29" s="45" t="str">
        <f aca="false">IF(OR(W15="",ЕТАЛОН_ПЛ="",IFERROR(INDEX(БАЗА_RO,4,IFERROR(MATCH(ЕТАЛОН_ПЛ,ПЛ_РЯДОК,0),0)),"")=""),"",W15-IFERROR(INDEX(БАЗА_RO,4,IFERROR(MATCH(ЕТАЛОН_ПЛ,ПЛ_РЯДОК,0),0)),""))</f>
        <v/>
      </c>
      <c r="X29" s="47" t="str">
        <f aca="false">IF(OR(W15="",ЕТАЛОН_ПЛ="",IFERROR(INDEX(БАЗА_RO,4,IFERROR(MATCH(ЕТАЛОН_ПЛ,ПЛ_РЯДОК,0),0)),"")="",IFERROR(INDEX(БАЗА_RO,4,IFERROR(MATCH(ЕТАЛОН_ПЛ,ПЛ_РЯДОК,0),0)),"")=0),"",W15/IFERROR(INDEX(БАЗА_RO,4,IFERROR(MATCH(ЕТАЛОН_ПЛ,ПЛ_РЯДОК,0),0)),"")-1)</f>
        <v/>
      </c>
      <c r="Y29" s="45" t="str">
        <f aca="false">IF(OR(Y15="",ЕТАЛОН_ПЛ="",IFERROR(INDEX(БАЗА_RO,4,IFERROR(MATCH(ЕТАЛОН_ПЛ,ПЛ_РЯДОК,0),0)),"")=""),"",Y15-IFERROR(INDEX(БАЗА_RO,4,IFERROR(MATCH(ЕТАЛОН_ПЛ,ПЛ_РЯДОК,0),0)),""))</f>
        <v/>
      </c>
      <c r="Z29" s="47" t="str">
        <f aca="false">IF(OR(Y15="",ЕТАЛОН_ПЛ="",IFERROR(INDEX(БАЗА_RO,4,IFERROR(MATCH(ЕТАЛОН_ПЛ,ПЛ_РЯДОК,0),0)),"")="",IFERROR(INDEX(БАЗА_RO,4,IFERROR(MATCH(ЕТАЛОН_ПЛ,ПЛ_РЯДОК,0),0)),"")=0),"",Y15/IFERROR(INDEX(БАЗА_RO,4,IFERROR(MATCH(ЕТАЛОН_ПЛ,ПЛ_РЯДОК,0),0)),"")-1)</f>
        <v/>
      </c>
      <c r="AA29" s="45" t="str">
        <f aca="false">IF(OR(AA15="",ЕТАЛОН_ПЛ="",IFERROR(INDEX(БАЗА_RO,4,IFERROR(MATCH(ЕТАЛОН_ПЛ,ПЛ_РЯДОК,0),0)),"")=""),"",AA15-IFERROR(INDEX(БАЗА_RO,4,IFERROR(MATCH(ЕТАЛОН_ПЛ,ПЛ_РЯДОК,0),0)),""))</f>
        <v/>
      </c>
      <c r="AB29" s="47" t="str">
        <f aca="false">IF(OR(AA15="",ЕТАЛОН_ПЛ="",IFERROR(INDEX(БАЗА_RO,4,IFERROR(MATCH(ЕТАЛОН_ПЛ,ПЛ_РЯДОК,0),0)),"")="",IFERROR(INDEX(БАЗА_RO,4,IFERROR(MATCH(ЕТАЛОН_ПЛ,ПЛ_РЯДОК,0),0)),"")=0),"",AA15/IFERROR(INDEX(БАЗА_RO,4,IFERROR(MATCH(ЕТАЛОН_ПЛ,ПЛ_РЯДОК,0),0)),"")-1)</f>
        <v/>
      </c>
      <c r="AC29" s="45" t="str">
        <f aca="false">IF(OR(AC15="",ЕТАЛОН_ПЛ="",IFERROR(INDEX(БАЗА_RO,4,IFERROR(MATCH(ЕТАЛОН_ПЛ,ПЛ_РЯДОК,0),0)),"")=""),"",AC15-IFERROR(INDEX(БАЗА_RO,4,IFERROR(MATCH(ЕТАЛОН_ПЛ,ПЛ_РЯДОК,0),0)),""))</f>
        <v/>
      </c>
      <c r="AD29" s="47" t="str">
        <f aca="false">IF(OR(AC15="",ЕТАЛОН_ПЛ="",IFERROR(INDEX(БАЗА_RO,4,IFERROR(MATCH(ЕТАЛОН_ПЛ,ПЛ_РЯДОК,0),0)),"")="",IFERROR(INDEX(БАЗА_RO,4,IFERROR(MATCH(ЕТАЛОН_ПЛ,ПЛ_РЯДОК,0),0)),"")=0),"",AC15/IFERROR(INDEX(БАЗА_RO,4,IFERROR(MATCH(ЕТАЛОН_ПЛ,ПЛ_РЯДОК,0),0)),"")-1)</f>
        <v/>
      </c>
      <c r="AE29" s="45" t="str">
        <f aca="false">IF(OR(AE15="",ЕТАЛОН_ПЛ="",IFERROR(INDEX(БАЗА_RO,4,IFERROR(MATCH(ЕТАЛОН_ПЛ,ПЛ_РЯДОК,0),0)),"")=""),"",AE15-IFERROR(INDEX(БАЗА_RO,4,IFERROR(MATCH(ЕТАЛОН_ПЛ,ПЛ_РЯДОК,0),0)),""))</f>
        <v/>
      </c>
      <c r="AF29" s="47" t="str">
        <f aca="false">IF(OR(AE15="",ЕТАЛОН_ПЛ="",IFERROR(INDEX(БАЗА_RO,4,IFERROR(MATCH(ЕТАЛОН_ПЛ,ПЛ_РЯДОК,0),0)),"")="",IFERROR(INDEX(БАЗА_RO,4,IFERROR(MATCH(ЕТАЛОН_ПЛ,ПЛ_РЯДОК,0),0)),"")=0),"",AE15/IFERROR(INDEX(БАЗА_RO,4,IFERROR(MATCH(ЕТАЛОН_ПЛ,ПЛ_РЯДОК,0),0)),"")-1)</f>
        <v/>
      </c>
      <c r="AG29" s="45" t="str">
        <f aca="false">IF(OR(AG15="",ЕТАЛОН_ПЛ="",IFERROR(INDEX(БАЗА_RO,4,IFERROR(MATCH(ЕТАЛОН_ПЛ,ПЛ_РЯДОК,0),0)),"")=""),"",AG15-IFERROR(INDEX(БАЗА_RO,4,IFERROR(MATCH(ЕТАЛОН_ПЛ,ПЛ_РЯДОК,0),0)),""))</f>
        <v/>
      </c>
      <c r="AH29" s="47" t="str">
        <f aca="false">IF(OR(AG15="",ЕТАЛОН_ПЛ="",IFERROR(INDEX(БАЗА_RO,4,IFERROR(MATCH(ЕТАЛОН_ПЛ,ПЛ_РЯДОК,0),0)),"")="",IFERROR(INDEX(БАЗА_RO,4,IFERROR(MATCH(ЕТАЛОН_ПЛ,ПЛ_РЯДОК,0),0)),"")=0),"",AG15/IFERROR(INDEX(БАЗА_RO,4,IFERROR(MATCH(ЕТАЛОН_ПЛ,ПЛ_РЯДОК,0),0)),"")-1)</f>
        <v/>
      </c>
      <c r="AI29" s="45" t="str">
        <f aca="false">IF(OR(AI15="",ЕТАЛОН_ПЛ="",IFERROR(INDEX(БАЗА_RO,4,IFERROR(MATCH(ЕТАЛОН_ПЛ,ПЛ_РЯДОК,0),0)),"")=""),"",AI15-IFERROR(INDEX(БАЗА_RO,4,IFERROR(MATCH(ЕТАЛОН_ПЛ,ПЛ_РЯДОК,0),0)),""))</f>
        <v/>
      </c>
      <c r="AJ29" s="47" t="str">
        <f aca="false">IF(OR(AI15="",ЕТАЛОН_ПЛ="",IFERROR(INDEX(БАЗА_RO,4,IFERROR(MATCH(ЕТАЛОН_ПЛ,ПЛ_РЯДОК,0),0)),"")="",IFERROR(INDEX(БАЗА_RO,4,IFERROR(MATCH(ЕТАЛОН_ПЛ,ПЛ_РЯДОК,0),0)),"")=0),"",AI15/IFERROR(INDEX(БАЗА_RO,4,IFERROR(MATCH(ЕТАЛОН_ПЛ,ПЛ_РЯДОК,0),0)),"")-1)</f>
        <v/>
      </c>
      <c r="AK29" s="45" t="str">
        <f aca="false">IF(OR(AK15="",ЕТАЛОН_ПЛ="",IFERROR(INDEX(БАЗА_RO,4,IFERROR(MATCH(ЕТАЛОН_ПЛ,ПЛ_РЯДОК,0),0)),"")=""),"",AK15-IFERROR(INDEX(БАЗА_RO,4,IFERROR(MATCH(ЕТАЛОН_ПЛ,ПЛ_РЯДОК,0),0)),""))</f>
        <v/>
      </c>
      <c r="AL29" s="47" t="str">
        <f aca="false">IF(OR(AK15="",ЕТАЛОН_ПЛ="",IFERROR(INDEX(БАЗА_RO,4,IFERROR(MATCH(ЕТАЛОН_ПЛ,ПЛ_РЯДОК,0),0)),"")="",IFERROR(INDEX(БАЗА_RO,4,IFERROR(MATCH(ЕТАЛОН_ПЛ,ПЛ_РЯДОК,0),0)),"")=0),"",AK15/IFERROR(INDEX(БАЗА_RO,4,IFERROR(MATCH(ЕТАЛОН_ПЛ,ПЛ_РЯДОК,0),0)),"")-1)</f>
        <v/>
      </c>
      <c r="AM29" s="45" t="str">
        <f aca="false">IF(OR(AM15="",ЕТАЛОН_ПЛ="",IFERROR(INDEX(БАЗА_RO,4,IFERROR(MATCH(ЕТАЛОН_ПЛ,ПЛ_РЯДОК,0),0)),"")=""),"",AM15-IFERROR(INDEX(БАЗА_RO,4,IFERROR(MATCH(ЕТАЛОН_ПЛ,ПЛ_РЯДОК,0),0)),""))</f>
        <v/>
      </c>
      <c r="AN29" s="47" t="str">
        <f aca="false">IF(OR(AM15="",ЕТАЛОН_ПЛ="",IFERROR(INDEX(БАЗА_RO,4,IFERROR(MATCH(ЕТАЛОН_ПЛ,ПЛ_РЯДОК,0),0)),"")="",IFERROR(INDEX(БАЗА_RO,4,IFERROR(MATCH(ЕТАЛОН_ПЛ,ПЛ_РЯДОК,0),0)),"")=0),"",AM15/IFERROR(INDEX(БАЗА_RO,4,IFERROR(MATCH(ЕТАЛОН_ПЛ,ПЛ_РЯДОК,0),0)),"")-1)</f>
        <v/>
      </c>
      <c r="AO29" s="45" t="str">
        <f aca="false">IF(OR(AO15="",ЕТАЛОН_ПЛ="",IFERROR(INDEX(БАЗА_RO,4,IFERROR(MATCH(ЕТАЛОН_ПЛ,ПЛ_РЯДОК,0),0)),"")=""),"",AO15-IFERROR(INDEX(БАЗА_RO,4,IFERROR(MATCH(ЕТАЛОН_ПЛ,ПЛ_РЯДОК,0),0)),""))</f>
        <v/>
      </c>
      <c r="AP29" s="47" t="str">
        <f aca="false">IF(OR(AO15="",ЕТАЛОН_ПЛ="",IFERROR(INDEX(БАЗА_RO,4,IFERROR(MATCH(ЕТАЛОН_ПЛ,ПЛ_РЯДОК,0),0)),"")="",IFERROR(INDEX(БАЗА_RO,4,IFERROR(MATCH(ЕТАЛОН_ПЛ,ПЛ_РЯДОК,0),0)),"")=0),"",AO15/IFERROR(INDEX(БАЗА_RO,4,IFERROR(MATCH(ЕТАЛОН_ПЛ,ПЛ_РЯДОК,0),0)),"")-1)</f>
        <v/>
      </c>
      <c r="AQ29" s="45" t="str">
        <f aca="false">IF(OR(AQ15="",ЕТАЛОН_ПЛ="",IFERROR(INDEX(БАЗА_RO,4,IFERROR(MATCH(ЕТАЛОН_ПЛ,ПЛ_РЯДОК,0),0)),"")=""),"",AQ15-IFERROR(INDEX(БАЗА_RO,4,IFERROR(MATCH(ЕТАЛОН_ПЛ,ПЛ_РЯДОК,0),0)),""))</f>
        <v/>
      </c>
      <c r="AR29" s="47" t="str">
        <f aca="false">IF(OR(AQ15="",ЕТАЛОН_ПЛ="",IFERROR(INDEX(БАЗА_RO,4,IFERROR(MATCH(ЕТАЛОН_ПЛ,ПЛ_РЯДОК,0),0)),"")="",IFERROR(INDEX(БАЗА_RO,4,IFERROR(MATCH(ЕТАЛОН_ПЛ,ПЛ_РЯДОК,0),0)),"")=0),"",AQ15/IFERROR(INDEX(БАЗА_RO,4,IFERROR(MATCH(ЕТАЛОН_ПЛ,ПЛ_РЯДОК,0),0)),"")-1)</f>
        <v/>
      </c>
      <c r="AS29" s="45" t="str">
        <f aca="false">IF(OR(AS15="",ЕТАЛОН_ПЛ="",IFERROR(INDEX(БАЗА_RO,4,IFERROR(MATCH(ЕТАЛОН_ПЛ,ПЛ_РЯДОК,0),0)),"")=""),"",AS15-IFERROR(INDEX(БАЗА_RO,4,IFERROR(MATCH(ЕТАЛОН_ПЛ,ПЛ_РЯДОК,0),0)),""))</f>
        <v/>
      </c>
      <c r="AT29" s="47" t="str">
        <f aca="false">IF(OR(AS15="",ЕТАЛОН_ПЛ="",IFERROR(INDEX(БАЗА_RO,4,IFERROR(MATCH(ЕТАЛОН_ПЛ,ПЛ_РЯДОК,0),0)),"")="",IFERROR(INDEX(БАЗА_RO,4,IFERROR(MATCH(ЕТАЛОН_ПЛ,ПЛ_РЯДОК,0),0)),"")=0),"",AS15/IFERROR(INDEX(БАЗА_RO,4,IFERROR(MATCH(ЕТАЛОН_ПЛ,ПЛ_РЯДОК,0),0)),"")-1)</f>
        <v/>
      </c>
      <c r="AU29" s="45" t="str">
        <f aca="false">IF(OR(AU15="",ЕТАЛОН_ПЛ="",IFERROR(INDEX(БАЗА_RO,4,IFERROR(MATCH(ЕТАЛОН_ПЛ,ПЛ_РЯДОК,0),0)),"")=""),"",AU15-IFERROR(INDEX(БАЗА_RO,4,IFERROR(MATCH(ЕТАЛОН_ПЛ,ПЛ_РЯДОК,0),0)),""))</f>
        <v/>
      </c>
      <c r="AV29" s="47" t="str">
        <f aca="false">IF(OR(AU15="",ЕТАЛОН_ПЛ="",IFERROR(INDEX(БАЗА_RO,4,IFERROR(MATCH(ЕТАЛОН_ПЛ,ПЛ_РЯДОК,0),0)),"")="",IFERROR(INDEX(БАЗА_RO,4,IFERROR(MATCH(ЕТАЛОН_ПЛ,ПЛ_РЯДОК,0),0)),"")=0),"",AU15/IFERROR(INDEX(БАЗА_RO,4,IFERROR(MATCH(ЕТАЛОН_ПЛ,ПЛ_РЯДОК,0),0)),"")-1)</f>
        <v/>
      </c>
      <c r="AW29" s="45" t="str">
        <f aca="false">IF(OR(AW15="",ЕТАЛОН_ПЛ="",IFERROR(INDEX(БАЗА_RO,4,IFERROR(MATCH(ЕТАЛОН_ПЛ,ПЛ_РЯДОК,0),0)),"")=""),"",AW15-IFERROR(INDEX(БАЗА_RO,4,IFERROR(MATCH(ЕТАЛОН_ПЛ,ПЛ_РЯДОК,0),0)),""))</f>
        <v/>
      </c>
      <c r="AX29" s="47" t="str">
        <f aca="false">IF(OR(AW15="",ЕТАЛОН_ПЛ="",IFERROR(INDEX(БАЗА_RO,4,IFERROR(MATCH(ЕТАЛОН_ПЛ,ПЛ_РЯДОК,0),0)),"")="",IFERROR(INDEX(БАЗА_RO,4,IFERROR(MATCH(ЕТАЛОН_ПЛ,ПЛ_РЯДОК,0),0)),"")=0),"",AW15/IFERROR(INDEX(БАЗА_RO,4,IFERROR(MATCH(ЕТАЛОН_ПЛ,ПЛ_РЯДОК,0),0)),"")-1)</f>
        <v/>
      </c>
      <c r="AY29" s="45" t="str">
        <f aca="false">IF(OR(AY15="",ЕТАЛОН_ПЛ="",IFERROR(INDEX(БАЗА_RO,4,IFERROR(MATCH(ЕТАЛОН_ПЛ,ПЛ_РЯДОК,0),0)),"")=""),"",AY15-IFERROR(INDEX(БАЗА_RO,4,IFERROR(MATCH(ЕТАЛОН_ПЛ,ПЛ_РЯДОК,0),0)),""))</f>
        <v/>
      </c>
      <c r="AZ29" s="47" t="str">
        <f aca="false">IF(OR(AY15="",ЕТАЛОН_ПЛ="",IFERROR(INDEX(БАЗА_RO,4,IFERROR(MATCH(ЕТАЛОН_ПЛ,ПЛ_РЯДОК,0),0)),"")="",IFERROR(INDEX(БАЗА_RO,4,IFERROR(MATCH(ЕТАЛОН_ПЛ,ПЛ_РЯДОК,0),0)),"")=0),"",AY15/IFERROR(INDEX(БАЗА_RO,4,IFERROR(MATCH(ЕТАЛОН_ПЛ,ПЛ_РЯДОК,0),0)),"")-1)</f>
        <v/>
      </c>
      <c r="BA29" s="45" t="str">
        <f aca="false">IF(OR(BA15="",ЕТАЛОН_ПЛ="",IFERROR(INDEX(БАЗА_RO,4,IFERROR(MATCH(ЕТАЛОН_ПЛ,ПЛ_РЯДОК,0),0)),"")=""),"",BA15-IFERROR(INDEX(БАЗА_RO,4,IFERROR(MATCH(ЕТАЛОН_ПЛ,ПЛ_РЯДОК,0),0)),""))</f>
        <v/>
      </c>
      <c r="BB29" s="47" t="str">
        <f aca="false">IF(OR(BA15="",ЕТАЛОН_ПЛ="",IFERROR(INDEX(БАЗА_RO,4,IFERROR(MATCH(ЕТАЛОН_ПЛ,ПЛ_РЯДОК,0),0)),"")="",IFERROR(INDEX(БАЗА_RO,4,IFERROR(MATCH(ЕТАЛОН_ПЛ,ПЛ_РЯДОК,0),0)),"")=0),"",BA15/IFERROR(INDEX(БАЗА_RO,4,IFERROR(MATCH(ЕТАЛОН_ПЛ,ПЛ_РЯДОК,0),0)),"")-1)</f>
        <v/>
      </c>
      <c r="BC29" s="45" t="str">
        <f aca="false">IF(OR(BC15="",ЕТАЛОН_ПЛ="",IFERROR(INDEX(БАЗА_RO,4,IFERROR(MATCH(ЕТАЛОН_ПЛ,ПЛ_РЯДОК,0),0)),"")=""),"",BC15-IFERROR(INDEX(БАЗА_RO,4,IFERROR(MATCH(ЕТАЛОН_ПЛ,ПЛ_РЯДОК,0),0)),""))</f>
        <v/>
      </c>
      <c r="BD29" s="47" t="str">
        <f aca="false">IF(OR(BC15="",ЕТАЛОН_ПЛ="",IFERROR(INDEX(БАЗА_RO,4,IFERROR(MATCH(ЕТАЛОН_ПЛ,ПЛ_РЯДОК,0),0)),"")="",IFERROR(INDEX(БАЗА_RO,4,IFERROR(MATCH(ЕТАЛОН_ПЛ,ПЛ_РЯДОК,0),0)),"")=0),"",BC15/IFERROR(INDEX(БАЗА_RO,4,IFERROR(MATCH(ЕТАЛОН_ПЛ,ПЛ_РЯДОК,0),0)),"")-1)</f>
        <v/>
      </c>
      <c r="BE29" s="45" t="str">
        <f aca="false">IF(OR(BE15="",ЕТАЛОН_ПЛ="",IFERROR(INDEX(БАЗА_RO,4,IFERROR(MATCH(ЕТАЛОН_ПЛ,ПЛ_РЯДОК,0),0)),"")=""),"",BE15-IFERROR(INDEX(БАЗА_RO,4,IFERROR(MATCH(ЕТАЛОН_ПЛ,ПЛ_РЯДОК,0),0)),""))</f>
        <v/>
      </c>
      <c r="BF29" s="47" t="str">
        <f aca="false">IF(OR(BE15="",ЕТАЛОН_ПЛ="",IFERROR(INDEX(БАЗА_RO,4,IFERROR(MATCH(ЕТАЛОН_ПЛ,ПЛ_РЯДОК,0),0)),"")="",IFERROR(INDEX(БАЗА_RO,4,IFERROR(MATCH(ЕТАЛОН_ПЛ,ПЛ_РЯДОК,0),0)),"")=0),"",BE15/IFERROR(INDEX(БАЗА_RO,4,IFERROR(MATCH(ЕТАЛОН_ПЛ,ПЛ_РЯДОК,0),0)),"")-1)</f>
        <v/>
      </c>
      <c r="BG29" s="45" t="str">
        <f aca="false">IF(OR(BG15="",ЕТАЛОН_ПЛ="",IFERROR(INDEX(БАЗА_RO,4,IFERROR(MATCH(ЕТАЛОН_ПЛ,ПЛ_РЯДОК,0),0)),"")=""),"",BG15-IFERROR(INDEX(БАЗА_RO,4,IFERROR(MATCH(ЕТАЛОН_ПЛ,ПЛ_РЯДОК,0),0)),""))</f>
        <v/>
      </c>
      <c r="BH29" s="47" t="str">
        <f aca="false">IF(OR(BG15="",ЕТАЛОН_ПЛ="",IFERROR(INDEX(БАЗА_RO,4,IFERROR(MATCH(ЕТАЛОН_ПЛ,ПЛ_РЯДОК,0),0)),"")="",IFERROR(INDEX(БАЗА_RO,4,IFERROR(MATCH(ЕТАЛОН_ПЛ,ПЛ_РЯДОК,0),0)),"")=0),"",BG15/IFERROR(INDEX(БАЗА_RO,4,IFERROR(MATCH(ЕТАЛОН_ПЛ,ПЛ_РЯДОК,0),0)),"")-1)</f>
        <v/>
      </c>
      <c r="BI29" s="45" t="str">
        <f aca="false">IF(OR(BI15="",ЕТАЛОН_ПЛ="",IFERROR(INDEX(БАЗА_RO,4,IFERROR(MATCH(ЕТАЛОН_ПЛ,ПЛ_РЯДОК,0),0)),"")=""),"",BI15-IFERROR(INDEX(БАЗА_RO,4,IFERROR(MATCH(ЕТАЛОН_ПЛ,ПЛ_РЯДОК,0),0)),""))</f>
        <v/>
      </c>
      <c r="BJ29" s="47" t="str">
        <f aca="false">IF(OR(BI15="",ЕТАЛОН_ПЛ="",IFERROR(INDEX(БАЗА_RO,4,IFERROR(MATCH(ЕТАЛОН_ПЛ,ПЛ_РЯДОК,0),0)),"")="",IFERROR(INDEX(БАЗА_RO,4,IFERROR(MATCH(ЕТАЛОН_ПЛ,ПЛ_РЯДОК,0),0)),"")=0),"",BI15/IFERROR(INDEX(БАЗА_RO,4,IFERROR(MATCH(ЕТАЛОН_ПЛ,ПЛ_РЯДОК,0),0)),"")-1)</f>
        <v/>
      </c>
      <c r="BK29" s="45" t="str">
        <f aca="false">IF(OR(BK15="",ЕТАЛОН_ПЛ="",IFERROR(INDEX(БАЗА_RO,4,IFERROR(MATCH(ЕТАЛОН_ПЛ,ПЛ_РЯДОК,0),0)),"")=""),"",BK15-IFERROR(INDEX(БАЗА_RO,4,IFERROR(MATCH(ЕТАЛОН_ПЛ,ПЛ_РЯДОК,0),0)),""))</f>
        <v/>
      </c>
      <c r="BL29" s="47" t="str">
        <f aca="false">IF(OR(BK15="",ЕТАЛОН_ПЛ="",IFERROR(INDEX(БАЗА_RO,4,IFERROR(MATCH(ЕТАЛОН_ПЛ,ПЛ_РЯДОК,0),0)),"")="",IFERROR(INDEX(БАЗА_RO,4,IFERROR(MATCH(ЕТАЛОН_ПЛ,ПЛ_РЯДОК,0),0)),"")=0),"",BK15/IFERROR(INDEX(БАЗА_RO,4,IFERROR(MATCH(ЕТАЛОН_ПЛ,ПЛ_РЯДОК,0),0)),"")-1)</f>
        <v/>
      </c>
      <c r="BM29" s="45" t="str">
        <f aca="false">IF(OR(BM15="",ЕТАЛОН_ПЛ="",IFERROR(INDEX(БАЗА_RO,4,IFERROR(MATCH(ЕТАЛОН_ПЛ,ПЛ_РЯДОК,0),0)),"")=""),"",BM15-IFERROR(INDEX(БАЗА_RO,4,IFERROR(MATCH(ЕТАЛОН_ПЛ,ПЛ_РЯДОК,0),0)),""))</f>
        <v/>
      </c>
      <c r="BN29" s="47" t="str">
        <f aca="false">IF(OR(BM15="",ЕТАЛОН_ПЛ="",IFERROR(INDEX(БАЗА_RO,4,IFERROR(MATCH(ЕТАЛОН_ПЛ,ПЛ_РЯДОК,0),0)),"")="",IFERROR(INDEX(БАЗА_RO,4,IFERROR(MATCH(ЕТАЛОН_ПЛ,ПЛ_РЯДОК,0),0)),"")=0),"",BM15/IFERROR(INDEX(БАЗА_RO,4,IFERROR(MATCH(ЕТАЛОН_ПЛ,ПЛ_РЯДОК,0),0)),"")-1)</f>
        <v/>
      </c>
      <c r="BO29" s="45" t="str">
        <f aca="false">IF(OR(BO15="",ЕТАЛОН_ПЛ="",IFERROR(INDEX(БАЗА_RO,4,IFERROR(MATCH(ЕТАЛОН_ПЛ,ПЛ_РЯДОК,0),0)),"")=""),"",BO15-IFERROR(INDEX(БАЗА_RO,4,IFERROR(MATCH(ЕТАЛОН_ПЛ,ПЛ_РЯДОК,0),0)),""))</f>
        <v/>
      </c>
      <c r="BP29" s="47" t="str">
        <f aca="false">IF(OR(BO15="",ЕТАЛОН_ПЛ="",IFERROR(INDEX(БАЗА_RO,4,IFERROR(MATCH(ЕТАЛОН_ПЛ,ПЛ_РЯДОК,0),0)),"")="",IFERROR(INDEX(БАЗА_RO,4,IFERROR(MATCH(ЕТАЛОН_ПЛ,ПЛ_РЯДОК,0),0)),"")=0),"",BO15/IFERROR(INDEX(БАЗА_RO,4,IFERROR(MATCH(ЕТАЛОН_ПЛ,ПЛ_РЯДОК,0),0)),"")-1)</f>
        <v/>
      </c>
      <c r="BQ29" s="45" t="str">
        <f aca="false">IF(OR(BQ15="",ЕТАЛОН_ПЛ="",IFERROR(INDEX(БАЗА_RO,4,IFERROR(MATCH(ЕТАЛОН_ПЛ,ПЛ_РЯДОК,0),0)),"")=""),"",BQ15-IFERROR(INDEX(БАЗА_RO,4,IFERROR(MATCH(ЕТАЛОН_ПЛ,ПЛ_РЯДОК,0),0)),""))</f>
        <v/>
      </c>
      <c r="BR29" s="47" t="str">
        <f aca="false">IF(OR(BQ15="",ЕТАЛОН_ПЛ="",IFERROR(INDEX(БАЗА_RO,4,IFERROR(MATCH(ЕТАЛОН_ПЛ,ПЛ_РЯДОК,0),0)),"")="",IFERROR(INDEX(БАЗА_RO,4,IFERROR(MATCH(ЕТАЛОН_ПЛ,ПЛ_РЯДОК,0),0)),"")=0),"",BQ15/IFERROR(INDEX(БАЗА_RO,4,IFERROR(MATCH(ЕТАЛОН_ПЛ,ПЛ_РЯДОК,0),0)),"")-1)</f>
        <v/>
      </c>
      <c r="BS29" s="45" t="str">
        <f aca="false">IF(OR(BS15="",ЕТАЛОН_ПЛ="",IFERROR(INDEX(БАЗА_RO,4,IFERROR(MATCH(ЕТАЛОН_ПЛ,ПЛ_РЯДОК,0),0)),"")=""),"",BS15-IFERROR(INDEX(БАЗА_RO,4,IFERROR(MATCH(ЕТАЛОН_ПЛ,ПЛ_РЯДОК,0),0)),""))</f>
        <v/>
      </c>
      <c r="BT29" s="47" t="str">
        <f aca="false">IF(OR(BS15="",ЕТАЛОН_ПЛ="",IFERROR(INDEX(БАЗА_RO,4,IFERROR(MATCH(ЕТАЛОН_ПЛ,ПЛ_РЯДОК,0),0)),"")="",IFERROR(INDEX(БАЗА_RO,4,IFERROR(MATCH(ЕТАЛОН_ПЛ,ПЛ_РЯДОК,0),0)),"")=0),"",BS15/IFERROR(INDEX(БАЗА_RO,4,IFERROR(MATCH(ЕТАЛОН_ПЛ,ПЛ_РЯДОК,0),0)),"")-1)</f>
        <v/>
      </c>
      <c r="BU29" s="45" t="str">
        <f aca="false">IF(OR(BU15="",ЕТАЛОН_ПЛ="",IFERROR(INDEX(БАЗА_RO,4,IFERROR(MATCH(ЕТАЛОН_ПЛ,ПЛ_РЯДОК,0),0)),"")=""),"",BU15-IFERROR(INDEX(БАЗА_RO,4,IFERROR(MATCH(ЕТАЛОН_ПЛ,ПЛ_РЯДОК,0),0)),""))</f>
        <v/>
      </c>
      <c r="BV29" s="47" t="str">
        <f aca="false">IF(OR(BU15="",ЕТАЛОН_ПЛ="",IFERROR(INDEX(БАЗА_RO,4,IFERROR(MATCH(ЕТАЛОН_ПЛ,ПЛ_РЯДОК,0),0)),"")="",IFERROR(INDEX(БАЗА_RO,4,IFERROR(MATCH(ЕТАЛОН_ПЛ,ПЛ_РЯДОК,0),0)),"")=0),"",BU15/IFERROR(INDEX(БАЗА_RO,4,IFERROR(MATCH(ЕТАЛОН_ПЛ,ПЛ_РЯДОК,0),0)),"")-1)</f>
        <v/>
      </c>
      <c r="BW29" s="45" t="str">
        <f aca="false">IF(OR(BW15="",ЕТАЛОН_ПЛ="",IFERROR(INDEX(БАЗА_RO,4,IFERROR(MATCH(ЕТАЛОН_ПЛ,ПЛ_РЯДОК,0),0)),"")=""),"",BW15-IFERROR(INDEX(БАЗА_RO,4,IFERROR(MATCH(ЕТАЛОН_ПЛ,ПЛ_РЯДОК,0),0)),""))</f>
        <v/>
      </c>
      <c r="BX29" s="47" t="str">
        <f aca="false">IF(OR(BW15="",ЕТАЛОН_ПЛ="",IFERROR(INDEX(БАЗА_RO,4,IFERROR(MATCH(ЕТАЛОН_ПЛ,ПЛ_РЯДОК,0),0)),"")="",IFERROR(INDEX(БАЗА_RO,4,IFERROR(MATCH(ЕТАЛОН_ПЛ,ПЛ_РЯДОК,0),0)),"")=0),"",BW15/IFERROR(INDEX(БАЗА_RO,4,IFERROR(MATCH(ЕТАЛОН_ПЛ,ПЛ_РЯДОК,0),0)),"")-1)</f>
        <v/>
      </c>
      <c r="BY29" s="45" t="str">
        <f aca="false">IF(OR(BY15="",ЕТАЛОН_ПЛ="",IFERROR(INDEX(БАЗА_RO,4,IFERROR(MATCH(ЕТАЛОН_ПЛ,ПЛ_РЯДОК,0),0)),"")=""),"",BY15-IFERROR(INDEX(БАЗА_RO,4,IFERROR(MATCH(ЕТАЛОН_ПЛ,ПЛ_РЯДОК,0),0)),""))</f>
        <v/>
      </c>
      <c r="BZ29" s="47" t="str">
        <f aca="false">IF(OR(BY15="",ЕТАЛОН_ПЛ="",IFERROR(INDEX(БАЗА_RO,4,IFERROR(MATCH(ЕТАЛОН_ПЛ,ПЛ_РЯДОК,0),0)),"")="",IFERROR(INDEX(БАЗА_RO,4,IFERROR(MATCH(ЕТАЛОН_ПЛ,ПЛ_РЯДОК,0),0)),"")=0),"",BY15/IFERROR(INDEX(БАЗА_RO,4,IFERROR(MATCH(ЕТАЛОН_ПЛ,ПЛ_РЯДОК,0),0)),"")-1)</f>
        <v/>
      </c>
      <c r="CA29" s="45" t="str">
        <f aca="false">IF(OR(CA15="",ЕТАЛОН_ПЛ="",IFERROR(INDEX(БАЗА_RO,4,IFERROR(MATCH(ЕТАЛОН_ПЛ,ПЛ_РЯДОК,0),0)),"")=""),"",CA15-IFERROR(INDEX(БАЗА_RO,4,IFERROR(MATCH(ЕТАЛОН_ПЛ,ПЛ_РЯДОК,0),0)),""))</f>
        <v/>
      </c>
      <c r="CB29" s="47" t="str">
        <f aca="false">IF(OR(CA15="",ЕТАЛОН_ПЛ="",IFERROR(INDEX(БАЗА_RO,4,IFERROR(MATCH(ЕТАЛОН_ПЛ,ПЛ_РЯДОК,0),0)),"")="",IFERROR(INDEX(БАЗА_RO,4,IFERROR(MATCH(ЕТАЛОН_ПЛ,ПЛ_РЯДОК,0),0)),"")=0),"",CA15/IFERROR(INDEX(БАЗА_RO,4,IFERROR(MATCH(ЕТАЛОН_ПЛ,ПЛ_РЯДОК,0),0)),"")-1)</f>
        <v/>
      </c>
      <c r="CC29" s="45" t="str">
        <f aca="false">IF(OR(CC15="",ЕТАЛОН_ПЛ="",IFERROR(INDEX(БАЗА_RO,4,IFERROR(MATCH(ЕТАЛОН_ПЛ,ПЛ_РЯДОК,0),0)),"")=""),"",CC15-IFERROR(INDEX(БАЗА_RO,4,IFERROR(MATCH(ЕТАЛОН_ПЛ,ПЛ_РЯДОК,0),0)),""))</f>
        <v/>
      </c>
      <c r="CD29" s="47" t="str">
        <f aca="false">IF(OR(CC15="",ЕТАЛОН_ПЛ="",IFERROR(INDEX(БАЗА_RO,4,IFERROR(MATCH(ЕТАЛОН_ПЛ,ПЛ_РЯДОК,0),0)),"")="",IFERROR(INDEX(БАЗА_RO,4,IFERROR(MATCH(ЕТАЛОН_ПЛ,ПЛ_РЯДОК,0),0)),"")=0),"",CC15/IFERROR(INDEX(БАЗА_RO,4,IFERROR(MATCH(ЕТАЛОН_ПЛ,ПЛ_РЯДОК,0),0)),"")-1)</f>
        <v/>
      </c>
      <c r="CE29" s="45" t="str">
        <f aca="false">IF(OR(CE15="",ЕТАЛОН_ПЛ="",IFERROR(INDEX(БАЗА_RO,4,IFERROR(MATCH(ЕТАЛОН_ПЛ,ПЛ_РЯДОК,0),0)),"")=""),"",CE15-IFERROR(INDEX(БАЗА_RO,4,IFERROR(MATCH(ЕТАЛОН_ПЛ,ПЛ_РЯДОК,0),0)),""))</f>
        <v/>
      </c>
      <c r="CF29" s="47" t="str">
        <f aca="false">IF(OR(CE15="",ЕТАЛОН_ПЛ="",IFERROR(INDEX(БАЗА_RO,4,IFERROR(MATCH(ЕТАЛОН_ПЛ,ПЛ_РЯДОК,0),0)),"")="",IFERROR(INDEX(БАЗА_RO,4,IFERROR(MATCH(ЕТАЛОН_ПЛ,ПЛ_РЯДОК,0),0)),"")=0),"",CE15/IFERROR(INDEX(БАЗА_RO,4,IFERROR(MATCH(ЕТАЛОН_ПЛ,ПЛ_РЯДОК,0),0)),"")-1)</f>
        <v/>
      </c>
      <c r="CG29" s="45" t="str">
        <f aca="false">IF(OR(CG15="",ЕТАЛОН_ПЛ="",IFERROR(INDEX(БАЗА_RO,4,IFERROR(MATCH(ЕТАЛОН_ПЛ,ПЛ_РЯДОК,0),0)),"")=""),"",CG15-IFERROR(INDEX(БАЗА_RO,4,IFERROR(MATCH(ЕТАЛОН_ПЛ,ПЛ_РЯДОК,0),0)),""))</f>
        <v/>
      </c>
      <c r="CH29" s="47" t="str">
        <f aca="false">IF(OR(CG15="",ЕТАЛОН_ПЛ="",IFERROR(INDEX(БАЗА_RO,4,IFERROR(MATCH(ЕТАЛОН_ПЛ,ПЛ_РЯДОК,0),0)),"")="",IFERROR(INDEX(БАЗА_RO,4,IFERROR(MATCH(ЕТАЛОН_ПЛ,ПЛ_РЯДОК,0),0)),"")=0),"",CG15/IFERROR(INDEX(БАЗА_RO,4,IFERROR(MATCH(ЕТАЛОН_ПЛ,ПЛ_РЯДОК,0),0)),"")-1)</f>
        <v/>
      </c>
      <c r="CI29" s="45" t="str">
        <f aca="false">IF(OR(CI15="",ЕТАЛОН_ПЛ="",IFERROR(INDEX(БАЗА_RO,4,IFERROR(MATCH(ЕТАЛОН_ПЛ,ПЛ_РЯДОК,0),0)),"")=""),"",CI15-IFERROR(INDEX(БАЗА_RO,4,IFERROR(MATCH(ЕТАЛОН_ПЛ,ПЛ_РЯДОК,0),0)),""))</f>
        <v/>
      </c>
      <c r="CJ29" s="47" t="str">
        <f aca="false">IF(OR(CI15="",ЕТАЛОН_ПЛ="",IFERROR(INDEX(БАЗА_RO,4,IFERROR(MATCH(ЕТАЛОН_ПЛ,ПЛ_РЯДОК,0),0)),"")="",IFERROR(INDEX(БАЗА_RO,4,IFERROR(MATCH(ЕТАЛОН_ПЛ,ПЛ_РЯДОК,0),0)),"")=0),"",CI15/IFERROR(INDEX(БАЗА_RO,4,IFERROR(MATCH(ЕТАЛОН_ПЛ,ПЛ_РЯДОК,0),0)),"")-1)</f>
        <v/>
      </c>
      <c r="CK29" s="45" t="str">
        <f aca="false">IF(OR(CK15="",ЕТАЛОН_ПЛ="",IFERROR(INDEX(БАЗА_RO,4,IFERROR(MATCH(ЕТАЛОН_ПЛ,ПЛ_РЯДОК,0),0)),"")=""),"",CK15-IFERROR(INDEX(БАЗА_RO,4,IFERROR(MATCH(ЕТАЛОН_ПЛ,ПЛ_РЯДОК,0),0)),""))</f>
        <v/>
      </c>
      <c r="CL29" s="47" t="str">
        <f aca="false">IF(OR(CK15="",ЕТАЛОН_ПЛ="",IFERROR(INDEX(БАЗА_RO,4,IFERROR(MATCH(ЕТАЛОН_ПЛ,ПЛ_РЯДОК,0),0)),"")="",IFERROR(INDEX(БАЗА_RO,4,IFERROR(MATCH(ЕТАЛОН_ПЛ,ПЛ_РЯДОК,0),0)),"")=0),"",CK15/IFERROR(INDEX(БАЗА_RO,4,IFERROR(MATCH(ЕТАЛОН_ПЛ,ПЛ_РЯДОК,0),0)),"")-1)</f>
        <v/>
      </c>
      <c r="CM29" s="45" t="str">
        <f aca="false">IF(OR(CM15="",ЕТАЛОН_ПЛ="",IFERROR(INDEX(БАЗА_RO,4,IFERROR(MATCH(ЕТАЛОН_ПЛ,ПЛ_РЯДОК,0),0)),"")=""),"",CM15-IFERROR(INDEX(БАЗА_RO,4,IFERROR(MATCH(ЕТАЛОН_ПЛ,ПЛ_РЯДОК,0),0)),""))</f>
        <v/>
      </c>
      <c r="CN29" s="47" t="str">
        <f aca="false">IF(OR(CM15="",ЕТАЛОН_ПЛ="",IFERROR(INDEX(БАЗА_RO,4,IFERROR(MATCH(ЕТАЛОН_ПЛ,ПЛ_РЯДОК,0),0)),"")="",IFERROR(INDEX(БАЗА_RO,4,IFERROR(MATCH(ЕТАЛОН_ПЛ,ПЛ_РЯДОК,0),0)),"")=0),"",CM15/IFERROR(INDEX(БАЗА_RO,4,IFERROR(MATCH(ЕТАЛОН_ПЛ,ПЛ_РЯДОК,0),0)),"")-1)</f>
        <v/>
      </c>
      <c r="CO29" s="45" t="str">
        <f aca="false">IF(OR(CO15="",ЕТАЛОН_ПЛ="",IFERROR(INDEX(БАЗА_RO,4,IFERROR(MATCH(ЕТАЛОН_ПЛ,ПЛ_РЯДОК,0),0)),"")=""),"",CO15-IFERROR(INDEX(БАЗА_RO,4,IFERROR(MATCH(ЕТАЛОН_ПЛ,ПЛ_РЯДОК,0),0)),""))</f>
        <v/>
      </c>
      <c r="CP29" s="47" t="str">
        <f aca="false">IF(OR(CO15="",ЕТАЛОН_ПЛ="",IFERROR(INDEX(БАЗА_RO,4,IFERROR(MATCH(ЕТАЛОН_ПЛ,ПЛ_РЯДОК,0),0)),"")="",IFERROR(INDEX(БАЗА_RO,4,IFERROR(MATCH(ЕТАЛОН_ПЛ,ПЛ_РЯДОК,0),0)),"")=0),"",CO15/IFERROR(INDEX(БАЗА_RO,4,IFERROR(MATCH(ЕТАЛОН_ПЛ,ПЛ_РЯДОК,0),0)),"")-1)</f>
        <v/>
      </c>
      <c r="CQ29" s="45" t="str">
        <f aca="false">IF(OR(CQ15="",ЕТАЛОН_ПЛ="",IFERROR(INDEX(БАЗА_RO,4,IFERROR(MATCH(ЕТАЛОН_ПЛ,ПЛ_РЯДОК,0),0)),"")=""),"",CQ15-IFERROR(INDEX(БАЗА_RO,4,IFERROR(MATCH(ЕТАЛОН_ПЛ,ПЛ_РЯДОК,0),0)),""))</f>
        <v/>
      </c>
      <c r="CR29" s="47" t="str">
        <f aca="false">IF(OR(CQ15="",ЕТАЛОН_ПЛ="",IFERROR(INDEX(БАЗА_RO,4,IFERROR(MATCH(ЕТАЛОН_ПЛ,ПЛ_РЯДОК,0),0)),"")="",IFERROR(INDEX(БАЗА_RO,4,IFERROR(MATCH(ЕТАЛОН_ПЛ,ПЛ_РЯДОК,0),0)),"")=0),"",CQ15/IFERROR(INDEX(БАЗА_RO,4,IFERROR(MATCH(ЕТАЛОН_ПЛ,ПЛ_РЯДОК,0),0)),"")-1)</f>
        <v/>
      </c>
      <c r="CS29" s="45" t="str">
        <f aca="false">IF(OR(CS15="",ЕТАЛОН_ПЛ="",IFERROR(INDEX(БАЗА_RO,4,IFERROR(MATCH(ЕТАЛОН_ПЛ,ПЛ_РЯДОК,0),0)),"")=""),"",CS15-IFERROR(INDEX(БАЗА_RO,4,IFERROR(MATCH(ЕТАЛОН_ПЛ,ПЛ_РЯДОК,0),0)),""))</f>
        <v/>
      </c>
      <c r="CT29" s="47" t="str">
        <f aca="false">IF(OR(CS15="",ЕТАЛОН_ПЛ="",IFERROR(INDEX(БАЗА_RO,4,IFERROR(MATCH(ЕТАЛОН_ПЛ,ПЛ_РЯДОК,0),0)),"")="",IFERROR(INDEX(БАЗА_RO,4,IFERROR(MATCH(ЕТАЛОН_ПЛ,ПЛ_РЯДОК,0),0)),"")=0),"",CS15/IFERROR(INDEX(БАЗА_RO,4,IFERROR(MATCH(ЕТАЛОН_ПЛ,ПЛ_РЯДОК,0),0)),"")-1)</f>
        <v/>
      </c>
      <c r="CU29" s="45" t="str">
        <f aca="false">IF(OR(CU15="",ЕТАЛОН_ПЛ="",IFERROR(INDEX(БАЗА_RO,4,IFERROR(MATCH(ЕТАЛОН_ПЛ,ПЛ_РЯДОК,0),0)),"")=""),"",CU15-IFERROR(INDEX(БАЗА_RO,4,IFERROR(MATCH(ЕТАЛОН_ПЛ,ПЛ_РЯДОК,0),0)),""))</f>
        <v/>
      </c>
      <c r="CV29" s="47" t="str">
        <f aca="false">IF(OR(CU15="",ЕТАЛОН_ПЛ="",IFERROR(INDEX(БАЗА_RO,4,IFERROR(MATCH(ЕТАЛОН_ПЛ,ПЛ_РЯДОК,0),0)),"")="",IFERROR(INDEX(БАЗА_RO,4,IFERROR(MATCH(ЕТАЛОН_ПЛ,ПЛ_РЯДОК,0),0)),"")=0),"",CU15/IFERROR(INDEX(БАЗА_RO,4,IFERROR(MATCH(ЕТАЛОН_ПЛ,ПЛ_РЯДОК,0),0)),"")-1)</f>
        <v/>
      </c>
      <c r="CW29" s="45" t="str">
        <f aca="false">IF(OR(CW15="",ЕТАЛОН_ПЛ="",IFERROR(INDEX(БАЗА_RO,4,IFERROR(MATCH(ЕТАЛОН_ПЛ,ПЛ_РЯДОК,0),0)),"")=""),"",CW15-IFERROR(INDEX(БАЗА_RO,4,IFERROR(MATCH(ЕТАЛОН_ПЛ,ПЛ_РЯДОК,0),0)),""))</f>
        <v/>
      </c>
      <c r="CX29" s="47" t="str">
        <f aca="false">IF(OR(CW15="",ЕТАЛОН_ПЛ="",IFERROR(INDEX(БАЗА_RO,4,IFERROR(MATCH(ЕТАЛОН_ПЛ,ПЛ_РЯДОК,0),0)),"")="",IFERROR(INDEX(БАЗА_RO,4,IFERROR(MATCH(ЕТАЛОН_ПЛ,ПЛ_РЯДОК,0),0)),"")=0),"",CW15/IFERROR(INDEX(БАЗА_RO,4,IFERROR(MATCH(ЕТАЛОН_ПЛ,ПЛ_РЯДОК,0),0)),"")-1)</f>
        <v/>
      </c>
      <c r="CY29" s="45" t="str">
        <f aca="false">IF(OR(CY15="",ЕТАЛОН_ПЛ="",IFERROR(INDEX(БАЗА_RO,4,IFERROR(MATCH(ЕТАЛОН_ПЛ,ПЛ_РЯДОК,0),0)),"")=""),"",CY15-IFERROR(INDEX(БАЗА_RO,4,IFERROR(MATCH(ЕТАЛОН_ПЛ,ПЛ_РЯДОК,0),0)),""))</f>
        <v/>
      </c>
      <c r="CZ29" s="47" t="str">
        <f aca="false">IF(OR(CY15="",ЕТАЛОН_ПЛ="",IFERROR(INDEX(БАЗА_RO,4,IFERROR(MATCH(ЕТАЛОН_ПЛ,ПЛ_РЯДОК,0),0)),"")="",IFERROR(INDEX(БАЗА_RO,4,IFERROR(MATCH(ЕТАЛОН_ПЛ,ПЛ_РЯДОК,0),0)),"")=0),"",CY15/IFERROR(INDEX(БАЗА_RO,4,IFERROR(MATCH(ЕТАЛОН_ПЛ,ПЛ_РЯДОК,0),0)),"")-1)</f>
        <v/>
      </c>
      <c r="DA29" s="45" t="str">
        <f aca="false">IF(OR(DA15="",ЕТАЛОН_ПЛ="",IFERROR(INDEX(БАЗА_RO,4,IFERROR(MATCH(ЕТАЛОН_ПЛ,ПЛ_РЯДОК,0),0)),"")=""),"",DA15-IFERROR(INDEX(БАЗА_RO,4,IFERROR(MATCH(ЕТАЛОН_ПЛ,ПЛ_РЯДОК,0),0)),""))</f>
        <v/>
      </c>
      <c r="DB29" s="47" t="str">
        <f aca="false">IF(OR(DA15="",ЕТАЛОН_ПЛ="",IFERROR(INDEX(БАЗА_RO,4,IFERROR(MATCH(ЕТАЛОН_ПЛ,ПЛ_РЯДОК,0),0)),"")="",IFERROR(INDEX(БАЗА_RO,4,IFERROR(MATCH(ЕТАЛОН_ПЛ,ПЛ_РЯДОК,0),0)),"")=0),"",DA15/IFERROR(INDEX(БАЗА_RO,4,IFERROR(MATCH(ЕТАЛОН_ПЛ,ПЛ_РЯДОК,0),0)),"")-1)</f>
        <v/>
      </c>
      <c r="DC29" s="45" t="str">
        <f aca="false">IF(OR(DC15="",ЕТАЛОН_ПЛ="",IFERROR(INDEX(БАЗА_RO,4,IFERROR(MATCH(ЕТАЛОН_ПЛ,ПЛ_РЯДОК,0),0)),"")=""),"",DC15-IFERROR(INDEX(БАЗА_RO,4,IFERROR(MATCH(ЕТАЛОН_ПЛ,ПЛ_РЯДОК,0),0)),""))</f>
        <v/>
      </c>
      <c r="DD29" s="47" t="str">
        <f aca="false">IF(OR(DC15="",ЕТАЛОН_ПЛ="",IFERROR(INDEX(БАЗА_RO,4,IFERROR(MATCH(ЕТАЛОН_ПЛ,ПЛ_РЯДОК,0),0)),"")="",IFERROR(INDEX(БАЗА_RO,4,IFERROR(MATCH(ЕТАЛОН_ПЛ,ПЛ_РЯДОК,0),0)),"")=0),"",DC15/IFERROR(INDEX(БАЗА_RO,4,IFERROR(MATCH(ЕТАЛОН_ПЛ,ПЛ_РЯДОК,0),0)),"")-1)</f>
        <v/>
      </c>
      <c r="DE29" s="45" t="str">
        <f aca="false">IF(OR(DE15="",ЕТАЛОН_ПЛ="",IFERROR(INDEX(БАЗА_RO,4,IFERROR(MATCH(ЕТАЛОН_ПЛ,ПЛ_РЯДОК,0),0)),"")=""),"",DE15-IFERROR(INDEX(БАЗА_RO,4,IFERROR(MATCH(ЕТАЛОН_ПЛ,ПЛ_РЯДОК,0),0)),""))</f>
        <v/>
      </c>
      <c r="DF29" s="47" t="str">
        <f aca="false">IF(OR(DE15="",ЕТАЛОН_ПЛ="",IFERROR(INDEX(БАЗА_RO,4,IFERROR(MATCH(ЕТАЛОН_ПЛ,ПЛ_РЯДОК,0),0)),"")="",IFERROR(INDEX(БАЗА_RO,4,IFERROR(MATCH(ЕТАЛОН_ПЛ,ПЛ_РЯДОК,0),0)),"")=0),"",DE15/IFERROR(INDEX(БАЗА_RO,4,IFERROR(MATCH(ЕТАЛОН_ПЛ,ПЛ_РЯДОК,0),0)),"")-1)</f>
        <v/>
      </c>
      <c r="DG29" s="45" t="str">
        <f aca="false">IF(OR(DG15="",ЕТАЛОН_ПЛ="",IFERROR(INDEX(БАЗА_RO,4,IFERROR(MATCH(ЕТАЛОН_ПЛ,ПЛ_РЯДОК,0),0)),"")=""),"",DG15-IFERROR(INDEX(БАЗА_RO,4,IFERROR(MATCH(ЕТАЛОН_ПЛ,ПЛ_РЯДОК,0),0)),""))</f>
        <v/>
      </c>
      <c r="DH29" s="47" t="str">
        <f aca="false">IF(OR(DG15="",ЕТАЛОН_ПЛ="",IFERROR(INDEX(БАЗА_RO,4,IFERROR(MATCH(ЕТАЛОН_ПЛ,ПЛ_РЯДОК,0),0)),"")="",IFERROR(INDEX(БАЗА_RO,4,IFERROR(MATCH(ЕТАЛОН_ПЛ,ПЛ_РЯДОК,0),0)),"")=0),"",DG15/IFERROR(INDEX(БАЗА_RO,4,IFERROR(MATCH(ЕТАЛОН_ПЛ,ПЛ_РЯДОК,0),0)),"")-1)</f>
        <v/>
      </c>
      <c r="DI29" s="45" t="str">
        <f aca="false">IF(OR(DI15="",ЕТАЛОН_ПЛ="",IFERROR(INDEX(БАЗА_RO,4,IFERROR(MATCH(ЕТАЛОН_ПЛ,ПЛ_РЯДОК,0),0)),"")=""),"",DI15-IFERROR(INDEX(БАЗА_RO,4,IFERROR(MATCH(ЕТАЛОН_ПЛ,ПЛ_РЯДОК,0),0)),""))</f>
        <v/>
      </c>
      <c r="DJ29" s="47" t="str">
        <f aca="false">IF(OR(DI15="",ЕТАЛОН_ПЛ="",IFERROR(INDEX(БАЗА_RO,4,IFERROR(MATCH(ЕТАЛОН_ПЛ,ПЛ_РЯДОК,0),0)),"")="",IFERROR(INDEX(БАЗА_RO,4,IFERROR(MATCH(ЕТАЛОН_ПЛ,ПЛ_РЯДОК,0),0)),"")=0),"",DI15/IFERROR(INDEX(БАЗА_RO,4,IFERROR(MATCH(ЕТАЛОН_ПЛ,ПЛ_РЯДОК,0),0)),"")-1)</f>
        <v/>
      </c>
      <c r="DK29" s="45" t="str">
        <f aca="false">IF(OR(DK15="",ЕТАЛОН_ПЛ="",IFERROR(INDEX(БАЗА_RO,4,IFERROR(MATCH(ЕТАЛОН_ПЛ,ПЛ_РЯДОК,0),0)),"")=""),"",DK15-IFERROR(INDEX(БАЗА_RO,4,IFERROR(MATCH(ЕТАЛОН_ПЛ,ПЛ_РЯДОК,0),0)),""))</f>
        <v/>
      </c>
      <c r="DL29" s="47" t="str">
        <f aca="false">IF(OR(DK15="",ЕТАЛОН_ПЛ="",IFERROR(INDEX(БАЗА_RO,4,IFERROR(MATCH(ЕТАЛОН_ПЛ,ПЛ_РЯДОК,0),0)),"")="",IFERROR(INDEX(БАЗА_RO,4,IFERROR(MATCH(ЕТАЛОН_ПЛ,ПЛ_РЯДОК,0),0)),"")=0),"",DK15/IFERROR(INDEX(БАЗА_RO,4,IFERROR(MATCH(ЕТАЛОН_ПЛ,ПЛ_РЯДОК,0),0)),"")-1)</f>
        <v/>
      </c>
      <c r="DM29" s="45" t="str">
        <f aca="false">IF(OR(DM15="",ЕТАЛОН_ПЛ="",IFERROR(INDEX(БАЗА_RO,4,IFERROR(MATCH(ЕТАЛОН_ПЛ,ПЛ_РЯДОК,0),0)),"")=""),"",DM15-IFERROR(INDEX(БАЗА_RO,4,IFERROR(MATCH(ЕТАЛОН_ПЛ,ПЛ_РЯДОК,0),0)),""))</f>
        <v/>
      </c>
      <c r="DN29" s="47" t="str">
        <f aca="false">IF(OR(DM15="",ЕТАЛОН_ПЛ="",IFERROR(INDEX(БАЗА_RO,4,IFERROR(MATCH(ЕТАЛОН_ПЛ,ПЛ_РЯДОК,0),0)),"")="",IFERROR(INDEX(БАЗА_RO,4,IFERROR(MATCH(ЕТАЛОН_ПЛ,ПЛ_РЯДОК,0),0)),"")=0),"",DM15/IFERROR(INDEX(БАЗА_RO,4,IFERROR(MATCH(ЕТАЛОН_ПЛ,ПЛ_РЯДОК,0),0)),"")-1)</f>
        <v/>
      </c>
      <c r="DO29" s="45" t="str">
        <f aca="false">IF(OR(DO15="",ЕТАЛОН_ПЛ="",IFERROR(INDEX(БАЗА_RO,4,IFERROR(MATCH(ЕТАЛОН_ПЛ,ПЛ_РЯДОК,0),0)),"")=""),"",DO15-IFERROR(INDEX(БАЗА_RO,4,IFERROR(MATCH(ЕТАЛОН_ПЛ,ПЛ_РЯДОК,0),0)),""))</f>
        <v/>
      </c>
      <c r="DP29" s="47" t="str">
        <f aca="false">IF(OR(DO15="",ЕТАЛОН_ПЛ="",IFERROR(INDEX(БАЗА_RO,4,IFERROR(MATCH(ЕТАЛОН_ПЛ,ПЛ_РЯДОК,0),0)),"")="",IFERROR(INDEX(БАЗА_RO,4,IFERROR(MATCH(ЕТАЛОН_ПЛ,ПЛ_РЯДОК,0),0)),"")=0),"",DO15/IFERROR(INDEX(БАЗА_RO,4,IFERROR(MATCH(ЕТАЛОН_ПЛ,ПЛ_РЯДОК,0),0)),"")-1)</f>
        <v/>
      </c>
      <c r="DQ29" s="45" t="str">
        <f aca="false">IF(OR(DQ15="",ЕТАЛОН_ПЛ="",IFERROR(INDEX(БАЗА_RO,4,IFERROR(MATCH(ЕТАЛОН_ПЛ,ПЛ_РЯДОК,0),0)),"")=""),"",DQ15-IFERROR(INDEX(БАЗА_RO,4,IFERROR(MATCH(ЕТАЛОН_ПЛ,ПЛ_РЯДОК,0),0)),""))</f>
        <v/>
      </c>
      <c r="DR29" s="47" t="str">
        <f aca="false">IF(OR(DQ15="",ЕТАЛОН_ПЛ="",IFERROR(INDEX(БАЗА_RO,4,IFERROR(MATCH(ЕТАЛОН_ПЛ,ПЛ_РЯДОК,0),0)),"")="",IFERROR(INDEX(БАЗА_RO,4,IFERROR(MATCH(ЕТАЛОН_ПЛ,ПЛ_РЯДОК,0),0)),"")=0),"",DQ15/IFERROR(INDEX(БАЗА_RO,4,IFERROR(MATCH(ЕТАЛОН_ПЛ,ПЛ_РЯДОК,0),0)),"")-1)</f>
        <v/>
      </c>
      <c r="DS29" s="45" t="str">
        <f aca="false">IF(OR(DS15="",ЕТАЛОН_ПЛ="",IFERROR(INDEX(БАЗА_RO,4,IFERROR(MATCH(ЕТАЛОН_ПЛ,ПЛ_РЯДОК,0),0)),"")=""),"",DS15-IFERROR(INDEX(БАЗА_RO,4,IFERROR(MATCH(ЕТАЛОН_ПЛ,ПЛ_РЯДОК,0),0)),""))</f>
        <v/>
      </c>
      <c r="DT29" s="47" t="str">
        <f aca="false">IF(OR(DS15="",ЕТАЛОН_ПЛ="",IFERROR(INDEX(БАЗА_RO,4,IFERROR(MATCH(ЕТАЛОН_ПЛ,ПЛ_РЯДОК,0),0)),"")="",IFERROR(INDEX(БАЗА_RO,4,IFERROR(MATCH(ЕТАЛОН_ПЛ,ПЛ_РЯДОК,0),0)),"")=0),"",DS15/IFERROR(INDEX(БАЗА_RO,4,IFERROR(MATCH(ЕТАЛОН_ПЛ,ПЛ_РЯДОК,0),0)),"")-1)</f>
        <v/>
      </c>
      <c r="DU29" s="45" t="str">
        <f aca="false">IF(OR(DU15="",ЕТАЛОН_ПЛ="",IFERROR(INDEX(БАЗА_RO,4,IFERROR(MATCH(ЕТАЛОН_ПЛ,ПЛ_РЯДОК,0),0)),"")=""),"",DU15-IFERROR(INDEX(БАЗА_RO,4,IFERROR(MATCH(ЕТАЛОН_ПЛ,ПЛ_РЯДОК,0),0)),""))</f>
        <v/>
      </c>
      <c r="DV29" s="47" t="str">
        <f aca="false">IF(OR(DU15="",ЕТАЛОН_ПЛ="",IFERROR(INDEX(БАЗА_RO,4,IFERROR(MATCH(ЕТАЛОН_ПЛ,ПЛ_РЯДОК,0),0)),"")="",IFERROR(INDEX(БАЗА_RO,4,IFERROR(MATCH(ЕТАЛОН_ПЛ,ПЛ_РЯДОК,0),0)),"")=0),"",DU15/IFERROR(INDEX(БАЗА_RO,4,IFERROR(MATCH(ЕТАЛОН_ПЛ,ПЛ_РЯДОК,0),0)),"")-1)</f>
        <v/>
      </c>
      <c r="DW29" s="45" t="str">
        <f aca="false">IF(OR(DW15="",ЕТАЛОН_ПЛ="",IFERROR(INDEX(БАЗА_RO,4,IFERROR(MATCH(ЕТАЛОН_ПЛ,ПЛ_РЯДОК,0),0)),"")=""),"",DW15-IFERROR(INDEX(БАЗА_RO,4,IFERROR(MATCH(ЕТАЛОН_ПЛ,ПЛ_РЯДОК,0),0)),""))</f>
        <v/>
      </c>
      <c r="DX29" s="47" t="str">
        <f aca="false">IF(OR(DW15="",ЕТАЛОН_ПЛ="",IFERROR(INDEX(БАЗА_RO,4,IFERROR(MATCH(ЕТАЛОН_ПЛ,ПЛ_РЯДОК,0),0)),"")="",IFERROR(INDEX(БАЗА_RO,4,IFERROR(MATCH(ЕТАЛОН_ПЛ,ПЛ_РЯДОК,0),0)),"")=0),"",DW15/IFERROR(INDEX(БАЗА_RO,4,IFERROR(MATCH(ЕТАЛОН_ПЛ,ПЛ_РЯДОК,0),0)),"")-1)</f>
        <v/>
      </c>
    </row>
    <row r="30" customFormat="false" ht="15" hidden="false" customHeight="false" outlineLevel="0" collapsed="false">
      <c r="A30" s="4"/>
      <c r="B30" s="31"/>
      <c r="C30" s="31"/>
      <c r="D30" s="41"/>
      <c r="E30" s="4"/>
    </row>
    <row r="31" customFormat="false" ht="15" hidden="false" customHeight="false" outlineLevel="0" collapsed="false">
      <c r="A31" s="4"/>
      <c r="B31" s="31"/>
      <c r="C31" s="31"/>
      <c r="D31" s="41"/>
      <c r="E31" s="4"/>
      <c r="F31" s="11" t="s">
        <v>121</v>
      </c>
      <c r="H31" s="39" t="s">
        <v>122</v>
      </c>
    </row>
    <row r="32" customFormat="false" ht="28.35" hidden="false" customHeight="false" outlineLevel="0" collapsed="false">
      <c r="A32" s="4"/>
      <c r="B32" s="31"/>
      <c r="C32" s="31"/>
      <c r="D32" s="41"/>
      <c r="E32" s="4"/>
      <c r="F32" s="14" t="s">
        <v>32</v>
      </c>
      <c r="H32" s="11" t="s">
        <v>14</v>
      </c>
      <c r="I32" s="11" t="s">
        <v>39</v>
      </c>
      <c r="J32" s="11" t="s">
        <v>41</v>
      </c>
      <c r="K32" s="11" t="s">
        <v>39</v>
      </c>
      <c r="L32" s="11" t="s">
        <v>41</v>
      </c>
      <c r="M32" s="11" t="s">
        <v>39</v>
      </c>
      <c r="N32" s="11" t="s">
        <v>41</v>
      </c>
      <c r="O32" s="11" t="s">
        <v>39</v>
      </c>
      <c r="P32" s="11" t="s">
        <v>41</v>
      </c>
      <c r="Q32" s="11" t="s">
        <v>39</v>
      </c>
      <c r="R32" s="11" t="s">
        <v>41</v>
      </c>
      <c r="S32" s="11" t="s">
        <v>39</v>
      </c>
      <c r="T32" s="11" t="s">
        <v>41</v>
      </c>
      <c r="U32" s="11" t="s">
        <v>39</v>
      </c>
      <c r="V32" s="11" t="s">
        <v>41</v>
      </c>
      <c r="W32" s="11" t="s">
        <v>39</v>
      </c>
      <c r="X32" s="11" t="s">
        <v>41</v>
      </c>
      <c r="Y32" s="11" t="s">
        <v>39</v>
      </c>
      <c r="Z32" s="11" t="s">
        <v>41</v>
      </c>
      <c r="AA32" s="11" t="s">
        <v>39</v>
      </c>
      <c r="AB32" s="11" t="s">
        <v>41</v>
      </c>
      <c r="AC32" s="11" t="s">
        <v>39</v>
      </c>
      <c r="AD32" s="11" t="s">
        <v>41</v>
      </c>
      <c r="AE32" s="11" t="s">
        <v>39</v>
      </c>
      <c r="AF32" s="11" t="s">
        <v>41</v>
      </c>
      <c r="AG32" s="11" t="s">
        <v>39</v>
      </c>
      <c r="AH32" s="11" t="s">
        <v>41</v>
      </c>
      <c r="AI32" s="11" t="s">
        <v>39</v>
      </c>
      <c r="AJ32" s="11" t="s">
        <v>41</v>
      </c>
      <c r="AK32" s="11" t="s">
        <v>39</v>
      </c>
      <c r="AL32" s="11" t="s">
        <v>41</v>
      </c>
      <c r="AM32" s="11" t="s">
        <v>39</v>
      </c>
      <c r="AN32" s="11" t="s">
        <v>41</v>
      </c>
      <c r="AO32" s="11" t="s">
        <v>39</v>
      </c>
      <c r="AP32" s="11" t="s">
        <v>41</v>
      </c>
      <c r="AQ32" s="11" t="s">
        <v>39</v>
      </c>
      <c r="AR32" s="11" t="s">
        <v>41</v>
      </c>
      <c r="AS32" s="11" t="s">
        <v>39</v>
      </c>
      <c r="AT32" s="11" t="s">
        <v>41</v>
      </c>
      <c r="AU32" s="11" t="s">
        <v>39</v>
      </c>
      <c r="AV32" s="11" t="s">
        <v>41</v>
      </c>
      <c r="AW32" s="11" t="s">
        <v>39</v>
      </c>
      <c r="AX32" s="11" t="s">
        <v>41</v>
      </c>
      <c r="AY32" s="11" t="s">
        <v>39</v>
      </c>
      <c r="AZ32" s="11" t="s">
        <v>41</v>
      </c>
      <c r="BA32" s="11" t="s">
        <v>39</v>
      </c>
      <c r="BB32" s="11" t="s">
        <v>41</v>
      </c>
      <c r="BC32" s="11" t="s">
        <v>39</v>
      </c>
      <c r="BD32" s="11" t="s">
        <v>41</v>
      </c>
      <c r="BE32" s="11" t="s">
        <v>39</v>
      </c>
      <c r="BF32" s="11" t="s">
        <v>41</v>
      </c>
      <c r="BG32" s="11" t="s">
        <v>39</v>
      </c>
      <c r="BH32" s="11" t="s">
        <v>41</v>
      </c>
      <c r="BI32" s="11" t="s">
        <v>39</v>
      </c>
      <c r="BJ32" s="11" t="s">
        <v>41</v>
      </c>
      <c r="BK32" s="11" t="s">
        <v>39</v>
      </c>
      <c r="BL32" s="11" t="s">
        <v>41</v>
      </c>
      <c r="BM32" s="11" t="s">
        <v>39</v>
      </c>
      <c r="BN32" s="11" t="s">
        <v>41</v>
      </c>
      <c r="BO32" s="11" t="s">
        <v>39</v>
      </c>
      <c r="BP32" s="11" t="s">
        <v>41</v>
      </c>
      <c r="BQ32" s="11" t="s">
        <v>39</v>
      </c>
      <c r="BR32" s="11" t="s">
        <v>41</v>
      </c>
      <c r="BS32" s="11" t="s">
        <v>39</v>
      </c>
      <c r="BT32" s="11" t="s">
        <v>41</v>
      </c>
      <c r="BU32" s="11" t="s">
        <v>39</v>
      </c>
      <c r="BV32" s="11" t="s">
        <v>41</v>
      </c>
      <c r="BW32" s="11" t="s">
        <v>39</v>
      </c>
      <c r="BX32" s="11" t="s">
        <v>41</v>
      </c>
      <c r="BY32" s="11" t="s">
        <v>39</v>
      </c>
      <c r="BZ32" s="11" t="s">
        <v>41</v>
      </c>
      <c r="CA32" s="11" t="s">
        <v>39</v>
      </c>
      <c r="CB32" s="11" t="s">
        <v>41</v>
      </c>
      <c r="CC32" s="11" t="s">
        <v>39</v>
      </c>
      <c r="CD32" s="11" t="s">
        <v>41</v>
      </c>
      <c r="CE32" s="11" t="s">
        <v>39</v>
      </c>
      <c r="CF32" s="11" t="s">
        <v>41</v>
      </c>
      <c r="CG32" s="11" t="s">
        <v>39</v>
      </c>
      <c r="CH32" s="11" t="s">
        <v>41</v>
      </c>
      <c r="CI32" s="11" t="s">
        <v>39</v>
      </c>
      <c r="CJ32" s="11" t="s">
        <v>41</v>
      </c>
      <c r="CK32" s="11" t="s">
        <v>39</v>
      </c>
      <c r="CL32" s="11" t="s">
        <v>41</v>
      </c>
      <c r="CM32" s="11" t="s">
        <v>39</v>
      </c>
      <c r="CN32" s="11" t="s">
        <v>41</v>
      </c>
      <c r="CO32" s="11" t="s">
        <v>39</v>
      </c>
      <c r="CP32" s="11" t="s">
        <v>41</v>
      </c>
      <c r="CQ32" s="11" t="s">
        <v>39</v>
      </c>
      <c r="CR32" s="11" t="s">
        <v>41</v>
      </c>
      <c r="CS32" s="11" t="s">
        <v>39</v>
      </c>
      <c r="CT32" s="11" t="s">
        <v>41</v>
      </c>
      <c r="CU32" s="11" t="s">
        <v>39</v>
      </c>
      <c r="CV32" s="11" t="s">
        <v>41</v>
      </c>
      <c r="CW32" s="11" t="s">
        <v>39</v>
      </c>
      <c r="CX32" s="11" t="s">
        <v>41</v>
      </c>
      <c r="CY32" s="11" t="s">
        <v>39</v>
      </c>
      <c r="CZ32" s="11" t="s">
        <v>41</v>
      </c>
      <c r="DA32" s="11" t="s">
        <v>39</v>
      </c>
      <c r="DB32" s="11" t="s">
        <v>41</v>
      </c>
      <c r="DC32" s="11" t="s">
        <v>39</v>
      </c>
      <c r="DD32" s="11" t="s">
        <v>41</v>
      </c>
      <c r="DE32" s="11" t="s">
        <v>39</v>
      </c>
      <c r="DF32" s="11" t="s">
        <v>41</v>
      </c>
      <c r="DG32" s="11" t="s">
        <v>39</v>
      </c>
      <c r="DH32" s="11" t="s">
        <v>41</v>
      </c>
      <c r="DI32" s="11" t="s">
        <v>39</v>
      </c>
      <c r="DJ32" s="11" t="s">
        <v>41</v>
      </c>
      <c r="DK32" s="11" t="s">
        <v>39</v>
      </c>
      <c r="DL32" s="11" t="s">
        <v>41</v>
      </c>
      <c r="DM32" s="11" t="s">
        <v>39</v>
      </c>
      <c r="DN32" s="11" t="s">
        <v>41</v>
      </c>
      <c r="DO32" s="11" t="s">
        <v>39</v>
      </c>
      <c r="DP32" s="11" t="s">
        <v>41</v>
      </c>
      <c r="DQ32" s="11" t="s">
        <v>39</v>
      </c>
      <c r="DR32" s="11" t="s">
        <v>41</v>
      </c>
      <c r="DS32" s="11" t="s">
        <v>39</v>
      </c>
      <c r="DT32" s="11" t="s">
        <v>41</v>
      </c>
      <c r="DU32" s="11" t="s">
        <v>39</v>
      </c>
      <c r="DV32" s="11" t="s">
        <v>41</v>
      </c>
      <c r="DW32" s="11" t="s">
        <v>39</v>
      </c>
      <c r="DX32" s="11" t="s">
        <v>41</v>
      </c>
    </row>
    <row r="33" customFormat="false" ht="15" hidden="false" customHeight="false" outlineLevel="0" collapsed="false">
      <c r="A33" s="4"/>
      <c r="B33" s="31"/>
      <c r="C33" s="31"/>
      <c r="D33" s="41"/>
      <c r="E33" s="4"/>
      <c r="F33" s="14" t="s">
        <v>123</v>
      </c>
      <c r="H33" s="14" t="s">
        <v>90</v>
      </c>
      <c r="I33" s="49" t="n">
        <v>1</v>
      </c>
      <c r="J33" s="49" t="n">
        <v>1.139</v>
      </c>
      <c r="K33" s="49" t="n">
        <v>1</v>
      </c>
      <c r="L33" s="49" t="n">
        <v>1.1</v>
      </c>
      <c r="M33" s="49" t="n">
        <v>1</v>
      </c>
      <c r="N33" s="49" t="n">
        <v>1.1</v>
      </c>
      <c r="O33" s="49" t="n">
        <v>1</v>
      </c>
      <c r="P33" s="49" t="n">
        <v>1.1</v>
      </c>
      <c r="Q33" s="49" t="n">
        <v>1</v>
      </c>
      <c r="R33" s="49" t="n">
        <v>1.1</v>
      </c>
      <c r="S33" s="49"/>
      <c r="T33" s="49"/>
      <c r="U33" s="49" t="n">
        <v>1</v>
      </c>
      <c r="V33" s="49" t="n">
        <v>1.1</v>
      </c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</row>
    <row r="34" customFormat="false" ht="15" hidden="false" customHeight="false" outlineLevel="0" collapsed="false">
      <c r="A34" s="4"/>
      <c r="B34" s="31"/>
      <c r="C34" s="31"/>
      <c r="D34" s="41"/>
      <c r="E34" s="4"/>
      <c r="H34" s="14" t="s">
        <v>124</v>
      </c>
      <c r="I34" s="49" t="n">
        <v>1.23</v>
      </c>
      <c r="J34" s="49" t="n">
        <v>1.1029</v>
      </c>
      <c r="K34" s="49" t="n">
        <v>1.05</v>
      </c>
      <c r="L34" s="49" t="n">
        <v>1.09</v>
      </c>
      <c r="M34" s="49" t="n">
        <v>1.05</v>
      </c>
      <c r="N34" s="49" t="n">
        <v>1.09</v>
      </c>
      <c r="O34" s="49" t="n">
        <v>1.05</v>
      </c>
      <c r="P34" s="49" t="n">
        <v>1.09</v>
      </c>
      <c r="Q34" s="49" t="n">
        <v>1.08</v>
      </c>
      <c r="R34" s="49" t="n">
        <v>1.09</v>
      </c>
      <c r="S34" s="49"/>
      <c r="T34" s="49"/>
      <c r="U34" s="49" t="n">
        <v>1.08</v>
      </c>
      <c r="V34" s="49" t="n">
        <v>1.09</v>
      </c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</row>
    <row r="35" customFormat="false" ht="15" hidden="false" customHeight="false" outlineLevel="0" collapsed="false">
      <c r="A35" s="4"/>
      <c r="B35" s="31"/>
      <c r="C35" s="31"/>
      <c r="D35" s="41"/>
      <c r="E35" s="4"/>
      <c r="F35" s="11" t="s">
        <v>125</v>
      </c>
      <c r="H35" s="14" t="s">
        <v>94</v>
      </c>
      <c r="I35" s="49" t="n">
        <v>1</v>
      </c>
      <c r="J35" s="49" t="n">
        <v>1.0986</v>
      </c>
      <c r="K35" s="49" t="n">
        <v>1</v>
      </c>
      <c r="L35" s="49" t="n">
        <v>1.1</v>
      </c>
      <c r="M35" s="49" t="n">
        <v>1</v>
      </c>
      <c r="N35" s="49" t="n">
        <v>1.1</v>
      </c>
      <c r="O35" s="49" t="n">
        <v>1</v>
      </c>
      <c r="P35" s="49" t="n">
        <v>1.1</v>
      </c>
      <c r="Q35" s="49" t="n">
        <v>1</v>
      </c>
      <c r="R35" s="49" t="n">
        <v>1.09</v>
      </c>
      <c r="S35" s="49"/>
      <c r="T35" s="49"/>
      <c r="U35" s="49" t="n">
        <v>1</v>
      </c>
      <c r="V35" s="49" t="n">
        <v>1.09</v>
      </c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</row>
    <row r="36" customFormat="false" ht="15" hidden="false" customHeight="false" outlineLevel="0" collapsed="false">
      <c r="A36" s="4"/>
      <c r="B36" s="31"/>
      <c r="C36" s="31"/>
      <c r="D36" s="41"/>
      <c r="E36" s="4"/>
      <c r="F36" s="14" t="s">
        <v>75</v>
      </c>
      <c r="H36" s="14" t="s">
        <v>29</v>
      </c>
      <c r="I36" s="49" t="n">
        <v>1</v>
      </c>
      <c r="J36" s="49" t="n">
        <v>1.0986</v>
      </c>
      <c r="K36" s="49" t="n">
        <v>1.05</v>
      </c>
      <c r="L36" s="49" t="n">
        <v>1.08</v>
      </c>
      <c r="M36" s="49" t="n">
        <v>1.05</v>
      </c>
      <c r="N36" s="49" t="n">
        <v>1.08</v>
      </c>
      <c r="O36" s="49" t="n">
        <v>1.05</v>
      </c>
      <c r="P36" s="49" t="n">
        <v>1.08</v>
      </c>
      <c r="Q36" s="49" t="n">
        <v>1.06</v>
      </c>
      <c r="R36" s="49" t="n">
        <v>1.08</v>
      </c>
      <c r="S36" s="49"/>
      <c r="T36" s="49"/>
      <c r="U36" s="49" t="n">
        <v>1.06</v>
      </c>
      <c r="V36" s="49" t="n">
        <v>1.08</v>
      </c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</row>
    <row r="37" customFormat="false" ht="15" hidden="false" customHeight="false" outlineLevel="0" collapsed="false">
      <c r="A37" s="4"/>
      <c r="B37" s="31"/>
      <c r="C37" s="31"/>
      <c r="D37" s="41"/>
      <c r="E37" s="4"/>
      <c r="F37" s="14" t="s">
        <v>70</v>
      </c>
      <c r="H37" s="14" t="s">
        <v>126</v>
      </c>
      <c r="I37" s="49" t="n">
        <v>1.4</v>
      </c>
      <c r="J37" s="49" t="n">
        <v>1.0707</v>
      </c>
      <c r="K37" s="49" t="n">
        <v>1.1</v>
      </c>
      <c r="L37" s="49" t="n">
        <v>1.07</v>
      </c>
      <c r="M37" s="49" t="n">
        <v>1.1</v>
      </c>
      <c r="N37" s="49" t="n">
        <v>1.07</v>
      </c>
      <c r="O37" s="49" t="n">
        <v>1.1</v>
      </c>
      <c r="P37" s="49" t="n">
        <v>1.07</v>
      </c>
      <c r="Q37" s="49" t="n">
        <v>1.1</v>
      </c>
      <c r="R37" s="49" t="n">
        <v>1.07</v>
      </c>
      <c r="S37" s="49"/>
      <c r="T37" s="49"/>
      <c r="U37" s="49" t="n">
        <v>1.1</v>
      </c>
      <c r="V37" s="49" t="n">
        <v>1.07</v>
      </c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</row>
    <row r="38" customFormat="false" ht="15" hidden="false" customHeight="false" outlineLevel="0" collapsed="false">
      <c r="A38" s="4"/>
      <c r="B38" s="31"/>
      <c r="C38" s="31"/>
      <c r="D38" s="41"/>
      <c r="E38" s="4"/>
      <c r="F38" s="14" t="s">
        <v>127</v>
      </c>
      <c r="H38" s="14" t="s">
        <v>128</v>
      </c>
      <c r="I38" s="49" t="n">
        <v>1.64</v>
      </c>
      <c r="J38" s="49" t="n">
        <v>1.0614</v>
      </c>
      <c r="K38" s="49" t="n">
        <v>1.15</v>
      </c>
      <c r="L38" s="49" t="n">
        <v>1.06</v>
      </c>
      <c r="M38" s="49" t="n">
        <v>1.15</v>
      </c>
      <c r="N38" s="49" t="n">
        <v>1.06</v>
      </c>
      <c r="O38" s="49" t="n">
        <v>1.15</v>
      </c>
      <c r="P38" s="49" t="n">
        <v>1.06</v>
      </c>
      <c r="Q38" s="49" t="n">
        <v>1.15</v>
      </c>
      <c r="R38" s="49" t="n">
        <v>1.06</v>
      </c>
      <c r="S38" s="49"/>
      <c r="T38" s="49"/>
      <c r="U38" s="49" t="n">
        <v>1.15</v>
      </c>
      <c r="V38" s="49" t="n">
        <v>1.06</v>
      </c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</row>
    <row r="39" customFormat="false" ht="15" hidden="false" customHeight="false" outlineLevel="0" collapsed="false">
      <c r="A39" s="4"/>
      <c r="B39" s="31"/>
      <c r="C39" s="31"/>
      <c r="D39" s="41"/>
      <c r="E39" s="4"/>
      <c r="H39" s="14" t="s">
        <v>129</v>
      </c>
      <c r="I39" s="49" t="n">
        <v>1.9</v>
      </c>
      <c r="J39" s="49" t="n">
        <v>1.0365</v>
      </c>
      <c r="K39" s="49" t="n">
        <v>1.5</v>
      </c>
      <c r="L39" s="49" t="n">
        <v>1.04</v>
      </c>
      <c r="M39" s="49" t="n">
        <v>1.5</v>
      </c>
      <c r="N39" s="49" t="n">
        <v>1.04</v>
      </c>
      <c r="O39" s="49" t="n">
        <v>1.5</v>
      </c>
      <c r="P39" s="49" t="n">
        <v>1.04</v>
      </c>
      <c r="Q39" s="49" t="n">
        <v>1.5</v>
      </c>
      <c r="R39" s="49" t="n">
        <v>1.04</v>
      </c>
      <c r="S39" s="49"/>
      <c r="T39" s="49"/>
      <c r="U39" s="49" t="n">
        <v>1.5</v>
      </c>
      <c r="V39" s="49" t="n">
        <v>1.04</v>
      </c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</row>
    <row r="40" customFormat="false" ht="15" hidden="false" customHeight="false" outlineLevel="0" collapsed="false">
      <c r="A40" s="4"/>
      <c r="B40" s="31"/>
      <c r="C40" s="31"/>
      <c r="D40" s="41"/>
      <c r="E40" s="4"/>
      <c r="H40" s="14" t="s">
        <v>96</v>
      </c>
      <c r="I40" s="49" t="n">
        <v>1</v>
      </c>
      <c r="J40" s="49" t="n">
        <v>1.1034</v>
      </c>
      <c r="K40" s="49" t="n">
        <v>1</v>
      </c>
      <c r="L40" s="49" t="n">
        <v>1.1</v>
      </c>
      <c r="M40" s="49" t="n">
        <v>1</v>
      </c>
      <c r="N40" s="49" t="n">
        <v>1.1</v>
      </c>
      <c r="O40" s="49" t="n">
        <v>1</v>
      </c>
      <c r="P40" s="49" t="n">
        <v>1.1</v>
      </c>
      <c r="Q40" s="49" t="n">
        <v>1</v>
      </c>
      <c r="R40" s="49" t="n">
        <v>1.1</v>
      </c>
      <c r="S40" s="49"/>
      <c r="T40" s="49"/>
      <c r="U40" s="49" t="n">
        <v>1</v>
      </c>
      <c r="V40" s="49" t="n">
        <v>1.1</v>
      </c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</row>
    <row r="41" customFormat="false" ht="15" hidden="false" customHeight="false" outlineLevel="0" collapsed="false">
      <c r="A41" s="4"/>
      <c r="B41" s="31"/>
      <c r="C41" s="31"/>
      <c r="D41" s="41"/>
      <c r="E41" s="4"/>
      <c r="H41" s="14" t="s">
        <v>130</v>
      </c>
      <c r="I41" s="49" t="n">
        <v>1.137</v>
      </c>
      <c r="J41" s="49" t="n">
        <v>1.0909</v>
      </c>
      <c r="K41" s="49" t="n">
        <v>1.15</v>
      </c>
      <c r="L41" s="49" t="n">
        <v>1.1</v>
      </c>
      <c r="M41" s="49" t="n">
        <v>1.15</v>
      </c>
      <c r="N41" s="49" t="n">
        <v>1.1</v>
      </c>
      <c r="O41" s="49" t="n">
        <v>1.15</v>
      </c>
      <c r="P41" s="49" t="n">
        <v>1.1</v>
      </c>
      <c r="Q41" s="49" t="n">
        <v>1.17</v>
      </c>
      <c r="R41" s="49" t="n">
        <v>1.1</v>
      </c>
      <c r="S41" s="49"/>
      <c r="T41" s="49"/>
      <c r="U41" s="49" t="n">
        <v>1.17</v>
      </c>
      <c r="V41" s="49" t="n">
        <v>1.1</v>
      </c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</row>
    <row r="42" customFormat="false" ht="15" hidden="false" customHeight="false" outlineLevel="0" collapsed="false">
      <c r="A42" s="4"/>
      <c r="B42" s="31"/>
      <c r="C42" s="31"/>
      <c r="D42" s="41"/>
      <c r="E42" s="4"/>
      <c r="H42" s="14" t="s">
        <v>131</v>
      </c>
      <c r="I42" s="49" t="n">
        <v>1.44</v>
      </c>
      <c r="J42" s="49" t="n">
        <v>1.0714</v>
      </c>
      <c r="K42" s="49" t="n">
        <v>1.35</v>
      </c>
      <c r="L42" s="49" t="n">
        <v>1.07</v>
      </c>
      <c r="M42" s="49" t="n">
        <v>1.35</v>
      </c>
      <c r="N42" s="49" t="n">
        <v>1.07</v>
      </c>
      <c r="O42" s="49" t="n">
        <v>1.35</v>
      </c>
      <c r="P42" s="49" t="n">
        <v>1.07</v>
      </c>
      <c r="Q42" s="49" t="n">
        <v>1.4</v>
      </c>
      <c r="R42" s="49" t="n">
        <v>1.07</v>
      </c>
      <c r="S42" s="49"/>
      <c r="T42" s="49"/>
      <c r="U42" s="49" t="n">
        <v>1.4</v>
      </c>
      <c r="V42" s="49" t="n">
        <v>1.07</v>
      </c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</row>
    <row r="43" customFormat="false" ht="15" hidden="false" customHeight="false" outlineLevel="0" collapsed="false">
      <c r="A43" s="4"/>
      <c r="B43" s="31"/>
      <c r="C43" s="31"/>
      <c r="D43" s="41"/>
      <c r="E43" s="4"/>
      <c r="H43" s="14" t="s">
        <v>132</v>
      </c>
      <c r="I43" s="49" t="n">
        <v>1.58</v>
      </c>
      <c r="J43" s="49" t="n">
        <v>1.0652</v>
      </c>
      <c r="K43" s="49" t="n">
        <v>1.6</v>
      </c>
      <c r="L43" s="49" t="n">
        <v>1.0652</v>
      </c>
      <c r="M43" s="49" t="n">
        <v>1.6</v>
      </c>
      <c r="N43" s="49" t="n">
        <v>1.0652</v>
      </c>
      <c r="O43" s="49" t="n">
        <v>1.6</v>
      </c>
      <c r="P43" s="49" t="n">
        <v>1.0652</v>
      </c>
      <c r="Q43" s="49" t="n">
        <v>1.6</v>
      </c>
      <c r="R43" s="49" t="n">
        <v>1.0652</v>
      </c>
      <c r="S43" s="49"/>
      <c r="T43" s="49"/>
      <c r="U43" s="49" t="n">
        <v>1.6</v>
      </c>
      <c r="V43" s="49" t="n">
        <v>1.0652</v>
      </c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</row>
    <row r="44" customFormat="false" ht="15" hidden="false" customHeight="false" outlineLevel="0" collapsed="false">
      <c r="A44" s="4"/>
      <c r="B44" s="31"/>
      <c r="C44" s="31"/>
      <c r="D44" s="41"/>
      <c r="E44" s="4"/>
      <c r="H44" s="14" t="s">
        <v>133</v>
      </c>
      <c r="I44" s="49" t="n">
        <v>1.89</v>
      </c>
      <c r="J44" s="49" t="n">
        <v>1.0727</v>
      </c>
      <c r="K44" s="49" t="n">
        <v>1.9</v>
      </c>
      <c r="L44" s="49" t="n">
        <v>1.07</v>
      </c>
      <c r="M44" s="49" t="n">
        <v>1.9</v>
      </c>
      <c r="N44" s="49" t="n">
        <v>1.07</v>
      </c>
      <c r="O44" s="49" t="n">
        <v>1.9</v>
      </c>
      <c r="P44" s="49" t="n">
        <v>1.07</v>
      </c>
      <c r="Q44" s="49" t="n">
        <v>1.9</v>
      </c>
      <c r="R44" s="49" t="n">
        <v>1.07</v>
      </c>
      <c r="S44" s="49"/>
      <c r="T44" s="49"/>
      <c r="U44" s="49" t="n">
        <v>1.9</v>
      </c>
      <c r="V44" s="49" t="n">
        <v>1.07</v>
      </c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</row>
    <row r="45" customFormat="false" ht="15" hidden="false" customHeight="false" outlineLevel="0" collapsed="false">
      <c r="A45" s="4"/>
      <c r="B45" s="31"/>
      <c r="C45" s="31"/>
      <c r="D45" s="41"/>
      <c r="E45" s="4"/>
      <c r="H45" s="14" t="s">
        <v>99</v>
      </c>
      <c r="I45" s="49" t="n">
        <v>1</v>
      </c>
      <c r="J45" s="49" t="n">
        <v>1.0714</v>
      </c>
      <c r="K45" s="49" t="n">
        <v>1</v>
      </c>
      <c r="L45" s="49" t="n">
        <v>1.07</v>
      </c>
      <c r="M45" s="49" t="n">
        <v>1</v>
      </c>
      <c r="N45" s="49" t="n">
        <v>1.07</v>
      </c>
      <c r="O45" s="49" t="n">
        <v>1</v>
      </c>
      <c r="P45" s="49" t="n">
        <v>1.07</v>
      </c>
      <c r="Q45" s="49" t="n">
        <v>1</v>
      </c>
      <c r="R45" s="49" t="n">
        <v>1.07</v>
      </c>
      <c r="S45" s="49"/>
      <c r="T45" s="49"/>
      <c r="U45" s="49" t="n">
        <v>1</v>
      </c>
      <c r="V45" s="49" t="n">
        <v>1.07</v>
      </c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</row>
    <row r="46" customFormat="false" ht="15" hidden="false" customHeight="false" outlineLevel="0" collapsed="false">
      <c r="A46" s="4"/>
      <c r="B46" s="31"/>
      <c r="C46" s="31"/>
      <c r="D46" s="41"/>
      <c r="E46" s="4"/>
      <c r="H46" s="14" t="s">
        <v>134</v>
      </c>
      <c r="I46" s="49" t="n">
        <v>1.09</v>
      </c>
      <c r="J46" s="49" t="n">
        <v>1.0652</v>
      </c>
      <c r="K46" s="49" t="n">
        <v>1.09</v>
      </c>
      <c r="L46" s="49" t="n">
        <v>1.0652</v>
      </c>
      <c r="M46" s="49" t="n">
        <v>1.09</v>
      </c>
      <c r="N46" s="49" t="n">
        <v>1.0652</v>
      </c>
      <c r="O46" s="49" t="n">
        <v>1.09</v>
      </c>
      <c r="P46" s="49" t="n">
        <v>1.0652</v>
      </c>
      <c r="Q46" s="49" t="n">
        <v>1.1</v>
      </c>
      <c r="R46" s="49" t="n">
        <v>1.0652</v>
      </c>
      <c r="S46" s="49"/>
      <c r="T46" s="49"/>
      <c r="U46" s="49" t="n">
        <v>1.1</v>
      </c>
      <c r="V46" s="49" t="n">
        <v>1.0652</v>
      </c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</row>
    <row r="47" customFormat="false" ht="15" hidden="false" customHeight="false" outlineLevel="0" collapsed="false">
      <c r="A47" s="4"/>
      <c r="B47" s="31"/>
      <c r="C47" s="31"/>
      <c r="D47" s="41"/>
      <c r="E47" s="4"/>
      <c r="H47" s="14" t="s">
        <v>135</v>
      </c>
      <c r="I47" s="49" t="n">
        <v>1.09</v>
      </c>
      <c r="J47" s="49" t="n">
        <v>1.0652</v>
      </c>
      <c r="K47" s="49" t="n">
        <v>1.09</v>
      </c>
      <c r="L47" s="49" t="n">
        <v>1.0652</v>
      </c>
      <c r="M47" s="49" t="n">
        <v>1.09</v>
      </c>
      <c r="N47" s="49" t="n">
        <v>1.0652</v>
      </c>
      <c r="O47" s="49" t="n">
        <v>1.09</v>
      </c>
      <c r="P47" s="49" t="n">
        <v>1.0652</v>
      </c>
      <c r="Q47" s="49" t="n">
        <v>1.1</v>
      </c>
      <c r="R47" s="49" t="n">
        <v>1.0652</v>
      </c>
      <c r="S47" s="49"/>
      <c r="T47" s="49"/>
      <c r="U47" s="49" t="n">
        <v>1.1</v>
      </c>
      <c r="V47" s="49" t="n">
        <v>1.0652</v>
      </c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</row>
    <row r="48" customFormat="false" ht="15" hidden="false" customHeight="false" outlineLevel="0" collapsed="false">
      <c r="A48" s="4"/>
      <c r="B48" s="31"/>
      <c r="C48" s="31"/>
      <c r="D48" s="41"/>
      <c r="E48" s="4"/>
      <c r="H48" s="14" t="s">
        <v>136</v>
      </c>
      <c r="I48" s="49" t="n">
        <v>1.09</v>
      </c>
      <c r="J48" s="49" t="n">
        <v>1.0652</v>
      </c>
      <c r="K48" s="49" t="n">
        <v>1.09</v>
      </c>
      <c r="L48" s="49" t="n">
        <v>1.0652</v>
      </c>
      <c r="M48" s="49" t="n">
        <v>1.09</v>
      </c>
      <c r="N48" s="49" t="n">
        <v>1.0652</v>
      </c>
      <c r="O48" s="49" t="n">
        <v>1.09</v>
      </c>
      <c r="P48" s="49" t="n">
        <v>1.0652</v>
      </c>
      <c r="Q48" s="49" t="n">
        <v>1.1</v>
      </c>
      <c r="R48" s="49" t="n">
        <v>1.0652</v>
      </c>
      <c r="S48" s="49"/>
      <c r="T48" s="49"/>
      <c r="U48" s="49" t="n">
        <v>1.1</v>
      </c>
      <c r="V48" s="49" t="n">
        <v>1.0652</v>
      </c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</row>
    <row r="49" customFormat="false" ht="15" hidden="false" customHeight="false" outlineLevel="0" collapsed="false">
      <c r="A49" s="4"/>
      <c r="B49" s="31"/>
      <c r="C49" s="31"/>
      <c r="D49" s="41"/>
      <c r="E49" s="4"/>
      <c r="H49" s="14" t="s">
        <v>137</v>
      </c>
      <c r="I49" s="49" t="n">
        <v>1.09</v>
      </c>
      <c r="J49" s="49" t="n">
        <v>1.0652</v>
      </c>
      <c r="K49" s="49" t="n">
        <v>1.09</v>
      </c>
      <c r="L49" s="49" t="n">
        <v>1.0652</v>
      </c>
      <c r="M49" s="49" t="n">
        <v>1.09</v>
      </c>
      <c r="N49" s="49" t="n">
        <v>1.0652</v>
      </c>
      <c r="O49" s="49" t="n">
        <v>1.09</v>
      </c>
      <c r="P49" s="49" t="n">
        <v>1.0652</v>
      </c>
      <c r="Q49" s="49" t="n">
        <v>1.1</v>
      </c>
      <c r="R49" s="49" t="n">
        <v>1.0652</v>
      </c>
      <c r="S49" s="49"/>
      <c r="T49" s="49"/>
      <c r="U49" s="49" t="n">
        <v>1.1</v>
      </c>
      <c r="V49" s="49" t="n">
        <v>1.0652</v>
      </c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</row>
    <row r="50" customFormat="false" ht="15" hidden="false" customHeight="false" outlineLevel="0" collapsed="false">
      <c r="A50" s="4"/>
      <c r="B50" s="31"/>
      <c r="C50" s="31"/>
      <c r="D50" s="41"/>
      <c r="E50" s="4"/>
      <c r="H50" s="14" t="s">
        <v>138</v>
      </c>
      <c r="I50" s="49" t="n">
        <v>1.57</v>
      </c>
      <c r="J50" s="49" t="n">
        <v>1.0606</v>
      </c>
      <c r="K50" s="49" t="n">
        <v>1.57</v>
      </c>
      <c r="L50" s="49" t="n">
        <v>1.06</v>
      </c>
      <c r="M50" s="49" t="n">
        <v>1.57</v>
      </c>
      <c r="N50" s="49" t="n">
        <v>1.06</v>
      </c>
      <c r="O50" s="49" t="n">
        <v>1.57</v>
      </c>
      <c r="P50" s="49" t="n">
        <v>1.06</v>
      </c>
      <c r="Q50" s="49" t="n">
        <v>1.57</v>
      </c>
      <c r="R50" s="49" t="n">
        <v>1.06</v>
      </c>
      <c r="S50" s="49"/>
      <c r="T50" s="49"/>
      <c r="U50" s="49" t="n">
        <v>1.57</v>
      </c>
      <c r="V50" s="49" t="n">
        <v>1.06</v>
      </c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</row>
    <row r="51" customFormat="false" ht="15" hidden="false" customHeight="false" outlineLevel="0" collapsed="false">
      <c r="A51" s="4"/>
      <c r="B51" s="31"/>
      <c r="C51" s="31"/>
      <c r="D51" s="41"/>
      <c r="E51" s="4"/>
    </row>
    <row r="52" customFormat="false" ht="15" hidden="false" customHeight="false" outlineLevel="0" collapsed="false">
      <c r="A52" s="4"/>
      <c r="B52" s="31"/>
      <c r="C52" s="31"/>
      <c r="D52" s="41"/>
      <c r="E52" s="4"/>
      <c r="H52" s="39" t="s">
        <v>139</v>
      </c>
    </row>
    <row r="53" customFormat="false" ht="15" hidden="false" customHeight="false" outlineLevel="0" collapsed="false">
      <c r="A53" s="4"/>
      <c r="B53" s="31"/>
      <c r="C53" s="31"/>
      <c r="D53" s="41"/>
      <c r="E53" s="4"/>
      <c r="H53" s="11" t="s">
        <v>140</v>
      </c>
      <c r="I53" s="11" t="s">
        <v>141</v>
      </c>
      <c r="J53" s="11" t="s">
        <v>142</v>
      </c>
      <c r="K53" s="11" t="s">
        <v>141</v>
      </c>
      <c r="L53" s="11" t="s">
        <v>142</v>
      </c>
      <c r="M53" s="11" t="s">
        <v>141</v>
      </c>
      <c r="N53" s="11" t="s">
        <v>142</v>
      </c>
      <c r="O53" s="11" t="s">
        <v>141</v>
      </c>
      <c r="P53" s="11" t="s">
        <v>142</v>
      </c>
      <c r="Q53" s="11" t="s">
        <v>141</v>
      </c>
      <c r="R53" s="11" t="s">
        <v>142</v>
      </c>
      <c r="S53" s="11" t="s">
        <v>141</v>
      </c>
      <c r="T53" s="11" t="s">
        <v>142</v>
      </c>
      <c r="U53" s="11" t="s">
        <v>141</v>
      </c>
      <c r="V53" s="11" t="s">
        <v>142</v>
      </c>
      <c r="W53" s="11" t="s">
        <v>141</v>
      </c>
      <c r="X53" s="11" t="s">
        <v>142</v>
      </c>
      <c r="Y53" s="11" t="s">
        <v>141</v>
      </c>
      <c r="Z53" s="11" t="s">
        <v>142</v>
      </c>
      <c r="AA53" s="11" t="s">
        <v>141</v>
      </c>
      <c r="AB53" s="11" t="s">
        <v>142</v>
      </c>
      <c r="AC53" s="11" t="s">
        <v>141</v>
      </c>
      <c r="AD53" s="11" t="s">
        <v>142</v>
      </c>
      <c r="AE53" s="11" t="s">
        <v>141</v>
      </c>
      <c r="AF53" s="11" t="s">
        <v>142</v>
      </c>
      <c r="AG53" s="11" t="s">
        <v>141</v>
      </c>
      <c r="AH53" s="11" t="s">
        <v>142</v>
      </c>
      <c r="AI53" s="11" t="s">
        <v>141</v>
      </c>
      <c r="AJ53" s="11" t="s">
        <v>142</v>
      </c>
      <c r="AK53" s="11" t="s">
        <v>141</v>
      </c>
      <c r="AL53" s="11" t="s">
        <v>142</v>
      </c>
      <c r="AM53" s="11" t="s">
        <v>141</v>
      </c>
      <c r="AN53" s="11" t="s">
        <v>142</v>
      </c>
      <c r="AO53" s="11" t="s">
        <v>141</v>
      </c>
      <c r="AP53" s="11" t="s">
        <v>142</v>
      </c>
      <c r="AQ53" s="11" t="s">
        <v>141</v>
      </c>
      <c r="AR53" s="11" t="s">
        <v>142</v>
      </c>
      <c r="AS53" s="11" t="s">
        <v>141</v>
      </c>
      <c r="AT53" s="11" t="s">
        <v>142</v>
      </c>
      <c r="AU53" s="11" t="s">
        <v>141</v>
      </c>
      <c r="AV53" s="11" t="s">
        <v>142</v>
      </c>
      <c r="AW53" s="11" t="s">
        <v>141</v>
      </c>
      <c r="AX53" s="11" t="s">
        <v>142</v>
      </c>
      <c r="AY53" s="11" t="s">
        <v>141</v>
      </c>
      <c r="AZ53" s="11" t="s">
        <v>142</v>
      </c>
      <c r="BA53" s="11" t="s">
        <v>141</v>
      </c>
      <c r="BB53" s="11" t="s">
        <v>142</v>
      </c>
      <c r="BC53" s="11" t="s">
        <v>141</v>
      </c>
      <c r="BD53" s="11" t="s">
        <v>142</v>
      </c>
      <c r="BE53" s="11" t="s">
        <v>141</v>
      </c>
      <c r="BF53" s="11" t="s">
        <v>142</v>
      </c>
      <c r="BG53" s="11" t="s">
        <v>141</v>
      </c>
      <c r="BH53" s="11" t="s">
        <v>142</v>
      </c>
      <c r="BI53" s="11" t="s">
        <v>141</v>
      </c>
      <c r="BJ53" s="11" t="s">
        <v>142</v>
      </c>
      <c r="BK53" s="11" t="s">
        <v>141</v>
      </c>
      <c r="BL53" s="11" t="s">
        <v>142</v>
      </c>
      <c r="BM53" s="11" t="s">
        <v>141</v>
      </c>
      <c r="BN53" s="11" t="s">
        <v>142</v>
      </c>
      <c r="BO53" s="11" t="s">
        <v>141</v>
      </c>
      <c r="BP53" s="11" t="s">
        <v>142</v>
      </c>
      <c r="BQ53" s="11" t="s">
        <v>141</v>
      </c>
      <c r="BR53" s="11" t="s">
        <v>142</v>
      </c>
      <c r="BS53" s="11" t="s">
        <v>141</v>
      </c>
      <c r="BT53" s="11" t="s">
        <v>142</v>
      </c>
      <c r="BU53" s="11" t="s">
        <v>141</v>
      </c>
      <c r="BV53" s="11" t="s">
        <v>142</v>
      </c>
      <c r="BW53" s="11" t="s">
        <v>141</v>
      </c>
      <c r="BX53" s="11" t="s">
        <v>142</v>
      </c>
      <c r="BY53" s="11" t="s">
        <v>141</v>
      </c>
      <c r="BZ53" s="11" t="s">
        <v>142</v>
      </c>
      <c r="CA53" s="11" t="s">
        <v>141</v>
      </c>
      <c r="CB53" s="11" t="s">
        <v>142</v>
      </c>
      <c r="CC53" s="11" t="s">
        <v>141</v>
      </c>
      <c r="CD53" s="11" t="s">
        <v>142</v>
      </c>
      <c r="CE53" s="11" t="s">
        <v>141</v>
      </c>
      <c r="CF53" s="11" t="s">
        <v>142</v>
      </c>
      <c r="CG53" s="11" t="s">
        <v>141</v>
      </c>
      <c r="CH53" s="11" t="s">
        <v>142</v>
      </c>
      <c r="CI53" s="11" t="s">
        <v>141</v>
      </c>
      <c r="CJ53" s="11" t="s">
        <v>142</v>
      </c>
      <c r="CK53" s="11" t="s">
        <v>141</v>
      </c>
      <c r="CL53" s="11" t="s">
        <v>142</v>
      </c>
      <c r="CM53" s="11" t="s">
        <v>141</v>
      </c>
      <c r="CN53" s="11" t="s">
        <v>142</v>
      </c>
      <c r="CO53" s="11" t="s">
        <v>141</v>
      </c>
      <c r="CP53" s="11" t="s">
        <v>142</v>
      </c>
      <c r="CQ53" s="11" t="s">
        <v>141</v>
      </c>
      <c r="CR53" s="11" t="s">
        <v>142</v>
      </c>
      <c r="CS53" s="11" t="s">
        <v>141</v>
      </c>
      <c r="CT53" s="11" t="s">
        <v>142</v>
      </c>
      <c r="CU53" s="11" t="s">
        <v>141</v>
      </c>
      <c r="CV53" s="11" t="s">
        <v>142</v>
      </c>
      <c r="CW53" s="11" t="s">
        <v>141</v>
      </c>
      <c r="CX53" s="11" t="s">
        <v>142</v>
      </c>
      <c r="CY53" s="11" t="s">
        <v>141</v>
      </c>
      <c r="CZ53" s="11" t="s">
        <v>142</v>
      </c>
      <c r="DA53" s="11" t="s">
        <v>141</v>
      </c>
      <c r="DB53" s="11" t="s">
        <v>142</v>
      </c>
      <c r="DC53" s="11" t="s">
        <v>141</v>
      </c>
      <c r="DD53" s="11" t="s">
        <v>142</v>
      </c>
      <c r="DE53" s="11" t="s">
        <v>141</v>
      </c>
      <c r="DF53" s="11" t="s">
        <v>142</v>
      </c>
      <c r="DG53" s="11" t="s">
        <v>141</v>
      </c>
      <c r="DH53" s="11" t="s">
        <v>142</v>
      </c>
      <c r="DI53" s="11" t="s">
        <v>141</v>
      </c>
      <c r="DJ53" s="11" t="s">
        <v>142</v>
      </c>
      <c r="DK53" s="11" t="s">
        <v>141</v>
      </c>
      <c r="DL53" s="11" t="s">
        <v>142</v>
      </c>
      <c r="DM53" s="11" t="s">
        <v>141</v>
      </c>
      <c r="DN53" s="11" t="s">
        <v>142</v>
      </c>
      <c r="DO53" s="11" t="s">
        <v>141</v>
      </c>
      <c r="DP53" s="11" t="s">
        <v>142</v>
      </c>
      <c r="DQ53" s="11" t="s">
        <v>141</v>
      </c>
      <c r="DR53" s="11" t="s">
        <v>142</v>
      </c>
      <c r="DS53" s="11" t="s">
        <v>141</v>
      </c>
      <c r="DT53" s="11" t="s">
        <v>142</v>
      </c>
      <c r="DU53" s="11" t="s">
        <v>141</v>
      </c>
      <c r="DV53" s="11" t="s">
        <v>142</v>
      </c>
      <c r="DW53" s="11" t="s">
        <v>141</v>
      </c>
      <c r="DX53" s="11" t="s">
        <v>142</v>
      </c>
    </row>
    <row r="54" customFormat="false" ht="15" hidden="false" customHeight="false" outlineLevel="0" collapsed="false">
      <c r="A54" s="4"/>
      <c r="B54" s="31"/>
      <c r="C54" s="31"/>
      <c r="D54" s="41"/>
      <c r="E54" s="4"/>
      <c r="H54" s="13" t="s">
        <v>143</v>
      </c>
      <c r="I54" s="42" t="n">
        <v>600</v>
      </c>
      <c r="J54" s="42"/>
      <c r="K54" s="42" t="n">
        <v>600</v>
      </c>
      <c r="L54" s="42" t="n">
        <v>350</v>
      </c>
      <c r="M54" s="42" t="n">
        <v>600</v>
      </c>
      <c r="N54" s="42" t="n">
        <v>350</v>
      </c>
      <c r="O54" s="42" t="n">
        <v>600</v>
      </c>
      <c r="P54" s="42" t="n">
        <v>350</v>
      </c>
      <c r="Q54" s="42" t="n">
        <v>600</v>
      </c>
      <c r="R54" s="42" t="n">
        <v>350</v>
      </c>
      <c r="S54" s="42" t="n">
        <v>600</v>
      </c>
      <c r="T54" s="42" t="n">
        <v>350</v>
      </c>
      <c r="U54" s="42" t="n">
        <v>600</v>
      </c>
      <c r="V54" s="42" t="n">
        <v>350</v>
      </c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</row>
    <row r="55" customFormat="false" ht="15" hidden="false" customHeight="false" outlineLevel="0" collapsed="false">
      <c r="A55" s="4"/>
      <c r="B55" s="31"/>
      <c r="C55" s="31"/>
      <c r="D55" s="41"/>
      <c r="E55" s="4"/>
      <c r="H55" s="13" t="s">
        <v>144</v>
      </c>
      <c r="I55" s="42" t="n">
        <v>600</v>
      </c>
      <c r="J55" s="42"/>
      <c r="K55" s="42" t="n">
        <v>600</v>
      </c>
      <c r="L55" s="42" t="n">
        <v>350</v>
      </c>
      <c r="M55" s="42" t="n">
        <v>600</v>
      </c>
      <c r="N55" s="42" t="n">
        <v>350</v>
      </c>
      <c r="O55" s="42" t="n">
        <v>600</v>
      </c>
      <c r="P55" s="42" t="n">
        <v>350</v>
      </c>
      <c r="Q55" s="42" t="n">
        <v>600</v>
      </c>
      <c r="R55" s="42" t="n">
        <v>350</v>
      </c>
      <c r="S55" s="42" t="n">
        <v>600</v>
      </c>
      <c r="T55" s="42" t="n">
        <v>350</v>
      </c>
      <c r="U55" s="42" t="n">
        <v>600</v>
      </c>
      <c r="V55" s="42" t="n">
        <v>350</v>
      </c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</row>
    <row r="56" customFormat="false" ht="15" hidden="false" customHeight="false" outlineLevel="0" collapsed="false">
      <c r="A56" s="4"/>
      <c r="B56" s="31"/>
      <c r="C56" s="31"/>
      <c r="D56" s="41"/>
      <c r="E56" s="4"/>
      <c r="H56" s="13" t="s">
        <v>145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</row>
    <row r="57" customFormat="false" ht="15" hidden="false" customHeight="false" outlineLevel="0" collapsed="false">
      <c r="A57" s="4"/>
      <c r="B57" s="31"/>
      <c r="C57" s="31"/>
      <c r="D57" s="41"/>
      <c r="E57" s="4"/>
      <c r="H57" s="13" t="s">
        <v>146</v>
      </c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</row>
    <row r="58" customFormat="false" ht="15" hidden="false" customHeight="false" outlineLevel="0" collapsed="false">
      <c r="A58" s="4"/>
      <c r="B58" s="31"/>
      <c r="C58" s="31"/>
      <c r="D58" s="41"/>
      <c r="E58" s="4"/>
    </row>
    <row r="59" customFormat="false" ht="15" hidden="false" customHeight="false" outlineLevel="0" collapsed="false">
      <c r="A59" s="4"/>
      <c r="B59" s="31"/>
      <c r="C59" s="31"/>
      <c r="D59" s="41"/>
      <c r="E59" s="4"/>
      <c r="H59" s="39" t="s">
        <v>147</v>
      </c>
    </row>
    <row r="60" customFormat="false" ht="15" hidden="false" customHeight="false" outlineLevel="0" collapsed="false">
      <c r="A60" s="4"/>
      <c r="B60" s="31"/>
      <c r="C60" s="31"/>
      <c r="D60" s="41"/>
      <c r="E60" s="4"/>
      <c r="H60" s="11" t="s">
        <v>148</v>
      </c>
      <c r="I60" s="11" t="s">
        <v>149</v>
      </c>
      <c r="J60" s="11" t="s">
        <v>150</v>
      </c>
      <c r="K60" s="11" t="s">
        <v>149</v>
      </c>
      <c r="L60" s="11" t="s">
        <v>150</v>
      </c>
      <c r="M60" s="11" t="s">
        <v>149</v>
      </c>
      <c r="N60" s="11" t="s">
        <v>150</v>
      </c>
      <c r="O60" s="11" t="s">
        <v>149</v>
      </c>
      <c r="P60" s="11" t="s">
        <v>150</v>
      </c>
      <c r="Q60" s="11" t="s">
        <v>149</v>
      </c>
      <c r="R60" s="11" t="s">
        <v>150</v>
      </c>
      <c r="S60" s="11" t="s">
        <v>149</v>
      </c>
      <c r="T60" s="11" t="s">
        <v>150</v>
      </c>
      <c r="U60" s="11" t="s">
        <v>149</v>
      </c>
      <c r="V60" s="11" t="s">
        <v>150</v>
      </c>
      <c r="W60" s="11" t="s">
        <v>149</v>
      </c>
      <c r="X60" s="11" t="s">
        <v>150</v>
      </c>
      <c r="Y60" s="11" t="s">
        <v>149</v>
      </c>
      <c r="Z60" s="11" t="s">
        <v>150</v>
      </c>
      <c r="AA60" s="11" t="s">
        <v>149</v>
      </c>
      <c r="AB60" s="11" t="s">
        <v>150</v>
      </c>
      <c r="AC60" s="11" t="s">
        <v>149</v>
      </c>
      <c r="AD60" s="11" t="s">
        <v>150</v>
      </c>
      <c r="AE60" s="11" t="s">
        <v>149</v>
      </c>
      <c r="AF60" s="11" t="s">
        <v>150</v>
      </c>
      <c r="AG60" s="11" t="s">
        <v>149</v>
      </c>
      <c r="AH60" s="11" t="s">
        <v>150</v>
      </c>
      <c r="AI60" s="11" t="s">
        <v>149</v>
      </c>
      <c r="AJ60" s="11" t="s">
        <v>150</v>
      </c>
      <c r="AK60" s="11" t="s">
        <v>149</v>
      </c>
      <c r="AL60" s="11" t="s">
        <v>150</v>
      </c>
      <c r="AM60" s="11" t="s">
        <v>149</v>
      </c>
      <c r="AN60" s="11" t="s">
        <v>150</v>
      </c>
      <c r="AO60" s="11" t="s">
        <v>149</v>
      </c>
      <c r="AP60" s="11" t="s">
        <v>150</v>
      </c>
      <c r="AQ60" s="11" t="s">
        <v>149</v>
      </c>
      <c r="AR60" s="11" t="s">
        <v>150</v>
      </c>
      <c r="AS60" s="11" t="s">
        <v>149</v>
      </c>
      <c r="AT60" s="11" t="s">
        <v>150</v>
      </c>
      <c r="AU60" s="11" t="s">
        <v>149</v>
      </c>
      <c r="AV60" s="11" t="s">
        <v>150</v>
      </c>
      <c r="AW60" s="11" t="s">
        <v>149</v>
      </c>
      <c r="AX60" s="11" t="s">
        <v>150</v>
      </c>
      <c r="AY60" s="11" t="s">
        <v>149</v>
      </c>
      <c r="AZ60" s="11" t="s">
        <v>150</v>
      </c>
      <c r="BA60" s="11" t="s">
        <v>149</v>
      </c>
      <c r="BB60" s="11" t="s">
        <v>150</v>
      </c>
      <c r="BC60" s="11" t="s">
        <v>149</v>
      </c>
      <c r="BD60" s="11" t="s">
        <v>150</v>
      </c>
      <c r="BE60" s="11" t="s">
        <v>149</v>
      </c>
      <c r="BF60" s="11" t="s">
        <v>150</v>
      </c>
      <c r="BG60" s="11" t="s">
        <v>149</v>
      </c>
      <c r="BH60" s="11" t="s">
        <v>150</v>
      </c>
      <c r="BI60" s="11" t="s">
        <v>149</v>
      </c>
      <c r="BJ60" s="11" t="s">
        <v>150</v>
      </c>
      <c r="BK60" s="11" t="s">
        <v>149</v>
      </c>
      <c r="BL60" s="11" t="s">
        <v>150</v>
      </c>
      <c r="BM60" s="11" t="s">
        <v>149</v>
      </c>
      <c r="BN60" s="11" t="s">
        <v>150</v>
      </c>
      <c r="BO60" s="11" t="s">
        <v>149</v>
      </c>
      <c r="BP60" s="11" t="s">
        <v>150</v>
      </c>
      <c r="BQ60" s="11" t="s">
        <v>149</v>
      </c>
      <c r="BR60" s="11" t="s">
        <v>150</v>
      </c>
      <c r="BS60" s="11" t="s">
        <v>149</v>
      </c>
      <c r="BT60" s="11" t="s">
        <v>150</v>
      </c>
      <c r="BU60" s="11" t="s">
        <v>149</v>
      </c>
      <c r="BV60" s="11" t="s">
        <v>150</v>
      </c>
      <c r="BW60" s="11" t="s">
        <v>149</v>
      </c>
      <c r="BX60" s="11" t="s">
        <v>150</v>
      </c>
      <c r="BY60" s="11" t="s">
        <v>149</v>
      </c>
      <c r="BZ60" s="11" t="s">
        <v>150</v>
      </c>
      <c r="CA60" s="11" t="s">
        <v>149</v>
      </c>
      <c r="CB60" s="11" t="s">
        <v>150</v>
      </c>
      <c r="CC60" s="11" t="s">
        <v>149</v>
      </c>
      <c r="CD60" s="11" t="s">
        <v>150</v>
      </c>
      <c r="CE60" s="11" t="s">
        <v>149</v>
      </c>
      <c r="CF60" s="11" t="s">
        <v>150</v>
      </c>
      <c r="CG60" s="11" t="s">
        <v>149</v>
      </c>
      <c r="CH60" s="11" t="s">
        <v>150</v>
      </c>
      <c r="CI60" s="11" t="s">
        <v>149</v>
      </c>
      <c r="CJ60" s="11" t="s">
        <v>150</v>
      </c>
      <c r="CK60" s="11" t="s">
        <v>149</v>
      </c>
      <c r="CL60" s="11" t="s">
        <v>150</v>
      </c>
      <c r="CM60" s="11" t="s">
        <v>149</v>
      </c>
      <c r="CN60" s="11" t="s">
        <v>150</v>
      </c>
      <c r="CO60" s="11" t="s">
        <v>149</v>
      </c>
      <c r="CP60" s="11" t="s">
        <v>150</v>
      </c>
      <c r="CQ60" s="11" t="s">
        <v>149</v>
      </c>
      <c r="CR60" s="11" t="s">
        <v>150</v>
      </c>
      <c r="CS60" s="11" t="s">
        <v>149</v>
      </c>
      <c r="CT60" s="11" t="s">
        <v>150</v>
      </c>
      <c r="CU60" s="11" t="s">
        <v>149</v>
      </c>
      <c r="CV60" s="11" t="s">
        <v>150</v>
      </c>
      <c r="CW60" s="11" t="s">
        <v>149</v>
      </c>
      <c r="CX60" s="11" t="s">
        <v>150</v>
      </c>
      <c r="CY60" s="11" t="s">
        <v>149</v>
      </c>
      <c r="CZ60" s="11" t="s">
        <v>150</v>
      </c>
      <c r="DA60" s="11" t="s">
        <v>149</v>
      </c>
      <c r="DB60" s="11" t="s">
        <v>150</v>
      </c>
      <c r="DC60" s="11" t="s">
        <v>149</v>
      </c>
      <c r="DD60" s="11" t="s">
        <v>150</v>
      </c>
      <c r="DE60" s="11" t="s">
        <v>149</v>
      </c>
      <c r="DF60" s="11" t="s">
        <v>150</v>
      </c>
      <c r="DG60" s="11" t="s">
        <v>149</v>
      </c>
      <c r="DH60" s="11" t="s">
        <v>150</v>
      </c>
      <c r="DI60" s="11" t="s">
        <v>149</v>
      </c>
      <c r="DJ60" s="11" t="s">
        <v>150</v>
      </c>
      <c r="DK60" s="11" t="s">
        <v>149</v>
      </c>
      <c r="DL60" s="11" t="s">
        <v>150</v>
      </c>
      <c r="DM60" s="11" t="s">
        <v>149</v>
      </c>
      <c r="DN60" s="11" t="s">
        <v>150</v>
      </c>
      <c r="DO60" s="11" t="s">
        <v>149</v>
      </c>
      <c r="DP60" s="11" t="s">
        <v>150</v>
      </c>
      <c r="DQ60" s="11" t="s">
        <v>149</v>
      </c>
      <c r="DR60" s="11" t="s">
        <v>150</v>
      </c>
      <c r="DS60" s="11" t="s">
        <v>149</v>
      </c>
      <c r="DT60" s="11" t="s">
        <v>150</v>
      </c>
      <c r="DU60" s="11" t="s">
        <v>149</v>
      </c>
      <c r="DV60" s="11" t="s">
        <v>150</v>
      </c>
      <c r="DW60" s="11" t="s">
        <v>149</v>
      </c>
      <c r="DX60" s="11" t="s">
        <v>150</v>
      </c>
    </row>
    <row r="61" customFormat="false" ht="15" hidden="false" customHeight="false" outlineLevel="0" collapsed="false">
      <c r="A61" s="4"/>
      <c r="B61" s="31"/>
      <c r="C61" s="31"/>
      <c r="D61" s="41"/>
      <c r="E61" s="4"/>
      <c r="H61" s="13" t="s">
        <v>151</v>
      </c>
      <c r="I61" s="42" t="n">
        <v>400</v>
      </c>
      <c r="J61" s="50"/>
      <c r="K61" s="42" t="n">
        <v>400</v>
      </c>
      <c r="L61" s="50"/>
      <c r="M61" s="42" t="n">
        <v>400</v>
      </c>
      <c r="N61" s="50"/>
      <c r="O61" s="42" t="n">
        <v>400</v>
      </c>
      <c r="P61" s="50"/>
      <c r="Q61" s="42" t="n">
        <v>400</v>
      </c>
      <c r="R61" s="50"/>
      <c r="S61" s="42" t="n">
        <v>400</v>
      </c>
      <c r="T61" s="50"/>
      <c r="U61" s="42" t="n">
        <v>400</v>
      </c>
      <c r="V61" s="50"/>
      <c r="W61" s="42"/>
      <c r="X61" s="50"/>
      <c r="Y61" s="42"/>
      <c r="Z61" s="50"/>
      <c r="AA61" s="42"/>
      <c r="AB61" s="50"/>
      <c r="AC61" s="42"/>
      <c r="AD61" s="50"/>
      <c r="AE61" s="42"/>
      <c r="AF61" s="50"/>
      <c r="AG61" s="42"/>
      <c r="AH61" s="50"/>
      <c r="AI61" s="42"/>
      <c r="AJ61" s="50"/>
      <c r="AK61" s="42"/>
      <c r="AL61" s="50"/>
      <c r="AM61" s="42"/>
      <c r="AN61" s="50"/>
      <c r="AO61" s="42"/>
      <c r="AP61" s="50"/>
      <c r="AQ61" s="42"/>
      <c r="AR61" s="50"/>
      <c r="AS61" s="42"/>
      <c r="AT61" s="50"/>
      <c r="AU61" s="42"/>
      <c r="AV61" s="50"/>
      <c r="AW61" s="42"/>
      <c r="AX61" s="50"/>
      <c r="AY61" s="42"/>
      <c r="AZ61" s="50"/>
      <c r="BA61" s="42"/>
      <c r="BB61" s="50"/>
      <c r="BC61" s="42"/>
      <c r="BD61" s="50"/>
      <c r="BE61" s="42"/>
      <c r="BF61" s="50"/>
      <c r="BG61" s="42"/>
      <c r="BH61" s="50"/>
      <c r="BI61" s="42"/>
      <c r="BJ61" s="50"/>
      <c r="BK61" s="42"/>
      <c r="BL61" s="50"/>
      <c r="BM61" s="42"/>
      <c r="BN61" s="50"/>
      <c r="BO61" s="42"/>
      <c r="BP61" s="50"/>
      <c r="BQ61" s="42"/>
      <c r="BR61" s="50"/>
      <c r="BS61" s="42"/>
      <c r="BT61" s="50"/>
      <c r="BU61" s="42"/>
      <c r="BV61" s="50"/>
      <c r="BW61" s="42"/>
      <c r="BX61" s="50"/>
      <c r="BY61" s="42"/>
      <c r="BZ61" s="50"/>
      <c r="CA61" s="42"/>
      <c r="CB61" s="50"/>
      <c r="CC61" s="42"/>
      <c r="CD61" s="50"/>
      <c r="CE61" s="42"/>
      <c r="CF61" s="50"/>
      <c r="CG61" s="42"/>
      <c r="CH61" s="50"/>
      <c r="CI61" s="42"/>
      <c r="CJ61" s="50"/>
      <c r="CK61" s="42"/>
      <c r="CL61" s="50"/>
      <c r="CM61" s="42"/>
      <c r="CN61" s="50"/>
      <c r="CO61" s="42"/>
      <c r="CP61" s="50"/>
      <c r="CQ61" s="42"/>
      <c r="CR61" s="50"/>
      <c r="CS61" s="42"/>
      <c r="CT61" s="50"/>
      <c r="CU61" s="42"/>
      <c r="CV61" s="50"/>
      <c r="CW61" s="42"/>
      <c r="CX61" s="50"/>
      <c r="CY61" s="42"/>
      <c r="CZ61" s="50"/>
      <c r="DA61" s="42"/>
      <c r="DB61" s="50"/>
      <c r="DC61" s="42"/>
      <c r="DD61" s="50"/>
      <c r="DE61" s="42"/>
      <c r="DF61" s="50"/>
      <c r="DG61" s="42"/>
      <c r="DH61" s="50"/>
      <c r="DI61" s="42"/>
      <c r="DJ61" s="50"/>
      <c r="DK61" s="42"/>
      <c r="DL61" s="50"/>
      <c r="DM61" s="42"/>
      <c r="DN61" s="50"/>
      <c r="DO61" s="42"/>
      <c r="DP61" s="50"/>
      <c r="DQ61" s="42"/>
      <c r="DR61" s="50"/>
      <c r="DS61" s="42"/>
      <c r="DT61" s="50"/>
      <c r="DU61" s="42"/>
      <c r="DV61" s="50"/>
      <c r="DW61" s="42"/>
      <c r="DX61" s="50"/>
    </row>
    <row r="62" customFormat="false" ht="15" hidden="false" customHeight="false" outlineLevel="0" collapsed="false">
      <c r="A62" s="4"/>
      <c r="B62" s="31"/>
      <c r="C62" s="31"/>
      <c r="D62" s="41"/>
      <c r="E62" s="4"/>
      <c r="H62" s="13" t="s">
        <v>152</v>
      </c>
      <c r="I62" s="42" t="n">
        <v>800</v>
      </c>
      <c r="J62" s="50"/>
      <c r="K62" s="42" t="n">
        <v>800</v>
      </c>
      <c r="L62" s="50"/>
      <c r="M62" s="42" t="n">
        <v>800</v>
      </c>
      <c r="N62" s="50"/>
      <c r="O62" s="42" t="n">
        <v>800</v>
      </c>
      <c r="P62" s="50"/>
      <c r="Q62" s="42" t="n">
        <v>800</v>
      </c>
      <c r="R62" s="50"/>
      <c r="S62" s="42" t="n">
        <v>800</v>
      </c>
      <c r="T62" s="50"/>
      <c r="U62" s="42" t="n">
        <v>800</v>
      </c>
      <c r="V62" s="50"/>
      <c r="W62" s="42"/>
      <c r="X62" s="50"/>
      <c r="Y62" s="42"/>
      <c r="Z62" s="50"/>
      <c r="AA62" s="42"/>
      <c r="AB62" s="50"/>
      <c r="AC62" s="42"/>
      <c r="AD62" s="50"/>
      <c r="AE62" s="42"/>
      <c r="AF62" s="50"/>
      <c r="AG62" s="42"/>
      <c r="AH62" s="50"/>
      <c r="AI62" s="42"/>
      <c r="AJ62" s="50"/>
      <c r="AK62" s="42"/>
      <c r="AL62" s="50"/>
      <c r="AM62" s="42"/>
      <c r="AN62" s="50"/>
      <c r="AO62" s="42"/>
      <c r="AP62" s="50"/>
      <c r="AQ62" s="42"/>
      <c r="AR62" s="50"/>
      <c r="AS62" s="42"/>
      <c r="AT62" s="50"/>
      <c r="AU62" s="42"/>
      <c r="AV62" s="50"/>
      <c r="AW62" s="42"/>
      <c r="AX62" s="50"/>
      <c r="AY62" s="42"/>
      <c r="AZ62" s="50"/>
      <c r="BA62" s="42"/>
      <c r="BB62" s="50"/>
      <c r="BC62" s="42"/>
      <c r="BD62" s="50"/>
      <c r="BE62" s="42"/>
      <c r="BF62" s="50"/>
      <c r="BG62" s="42"/>
      <c r="BH62" s="50"/>
      <c r="BI62" s="42"/>
      <c r="BJ62" s="50"/>
      <c r="BK62" s="42"/>
      <c r="BL62" s="50"/>
      <c r="BM62" s="42"/>
      <c r="BN62" s="50"/>
      <c r="BO62" s="42"/>
      <c r="BP62" s="50"/>
      <c r="BQ62" s="42"/>
      <c r="BR62" s="50"/>
      <c r="BS62" s="42"/>
      <c r="BT62" s="50"/>
      <c r="BU62" s="42"/>
      <c r="BV62" s="50"/>
      <c r="BW62" s="42"/>
      <c r="BX62" s="50"/>
      <c r="BY62" s="42"/>
      <c r="BZ62" s="50"/>
      <c r="CA62" s="42"/>
      <c r="CB62" s="50"/>
      <c r="CC62" s="42"/>
      <c r="CD62" s="50"/>
      <c r="CE62" s="42"/>
      <c r="CF62" s="50"/>
      <c r="CG62" s="42"/>
      <c r="CH62" s="50"/>
      <c r="CI62" s="42"/>
      <c r="CJ62" s="50"/>
      <c r="CK62" s="42"/>
      <c r="CL62" s="50"/>
      <c r="CM62" s="42"/>
      <c r="CN62" s="50"/>
      <c r="CO62" s="42"/>
      <c r="CP62" s="50"/>
      <c r="CQ62" s="42"/>
      <c r="CR62" s="50"/>
      <c r="CS62" s="42"/>
      <c r="CT62" s="50"/>
      <c r="CU62" s="42"/>
      <c r="CV62" s="50"/>
      <c r="CW62" s="42"/>
      <c r="CX62" s="50"/>
      <c r="CY62" s="42"/>
      <c r="CZ62" s="50"/>
      <c r="DA62" s="42"/>
      <c r="DB62" s="50"/>
      <c r="DC62" s="42"/>
      <c r="DD62" s="50"/>
      <c r="DE62" s="42"/>
      <c r="DF62" s="50"/>
      <c r="DG62" s="42"/>
      <c r="DH62" s="50"/>
      <c r="DI62" s="42"/>
      <c r="DJ62" s="50"/>
      <c r="DK62" s="42"/>
      <c r="DL62" s="50"/>
      <c r="DM62" s="42"/>
      <c r="DN62" s="50"/>
      <c r="DO62" s="42"/>
      <c r="DP62" s="50"/>
      <c r="DQ62" s="42"/>
      <c r="DR62" s="50"/>
      <c r="DS62" s="42"/>
      <c r="DT62" s="50"/>
      <c r="DU62" s="42"/>
      <c r="DV62" s="50"/>
      <c r="DW62" s="42"/>
      <c r="DX62" s="50"/>
    </row>
    <row r="63" customFormat="false" ht="15" hidden="false" customHeight="false" outlineLevel="0" collapsed="false">
      <c r="A63" s="4"/>
      <c r="B63" s="31"/>
      <c r="C63" s="31"/>
      <c r="D63" s="41"/>
      <c r="E63" s="4"/>
    </row>
    <row r="64" customFormat="false" ht="15" hidden="false" customHeight="false" outlineLevel="0" collapsed="false">
      <c r="A64" s="4"/>
      <c r="B64" s="31"/>
      <c r="C64" s="31"/>
      <c r="D64" s="41"/>
      <c r="E64" s="4"/>
      <c r="H64" s="39" t="s">
        <v>153</v>
      </c>
    </row>
    <row r="65" customFormat="false" ht="15" hidden="false" customHeight="false" outlineLevel="0" collapsed="false">
      <c r="A65" s="4"/>
      <c r="B65" s="31"/>
      <c r="C65" s="31"/>
      <c r="D65" s="41"/>
      <c r="E65" s="4"/>
      <c r="H65" s="11" t="s">
        <v>154</v>
      </c>
      <c r="I65" s="11" t="s">
        <v>155</v>
      </c>
      <c r="J65" s="11" t="s">
        <v>150</v>
      </c>
      <c r="K65" s="11" t="s">
        <v>155</v>
      </c>
      <c r="L65" s="11" t="s">
        <v>150</v>
      </c>
      <c r="M65" s="11" t="s">
        <v>155</v>
      </c>
      <c r="N65" s="11" t="s">
        <v>150</v>
      </c>
      <c r="O65" s="11" t="s">
        <v>155</v>
      </c>
      <c r="P65" s="11" t="s">
        <v>150</v>
      </c>
      <c r="Q65" s="11" t="s">
        <v>155</v>
      </c>
      <c r="R65" s="11" t="s">
        <v>150</v>
      </c>
      <c r="S65" s="11" t="s">
        <v>155</v>
      </c>
      <c r="T65" s="11" t="s">
        <v>150</v>
      </c>
      <c r="U65" s="11" t="s">
        <v>155</v>
      </c>
      <c r="V65" s="11" t="s">
        <v>150</v>
      </c>
      <c r="W65" s="11" t="s">
        <v>155</v>
      </c>
      <c r="X65" s="11" t="s">
        <v>150</v>
      </c>
      <c r="Y65" s="11" t="s">
        <v>155</v>
      </c>
      <c r="Z65" s="11" t="s">
        <v>150</v>
      </c>
      <c r="AA65" s="11" t="s">
        <v>155</v>
      </c>
      <c r="AB65" s="11" t="s">
        <v>150</v>
      </c>
      <c r="AC65" s="11" t="s">
        <v>155</v>
      </c>
      <c r="AD65" s="11" t="s">
        <v>150</v>
      </c>
      <c r="AE65" s="11" t="s">
        <v>155</v>
      </c>
      <c r="AF65" s="11" t="s">
        <v>150</v>
      </c>
      <c r="AG65" s="11" t="s">
        <v>155</v>
      </c>
      <c r="AH65" s="11" t="s">
        <v>150</v>
      </c>
      <c r="AI65" s="11" t="s">
        <v>155</v>
      </c>
      <c r="AJ65" s="11" t="s">
        <v>150</v>
      </c>
      <c r="AK65" s="11" t="s">
        <v>155</v>
      </c>
      <c r="AL65" s="11" t="s">
        <v>150</v>
      </c>
      <c r="AM65" s="11" t="s">
        <v>155</v>
      </c>
      <c r="AN65" s="11" t="s">
        <v>150</v>
      </c>
      <c r="AO65" s="11" t="s">
        <v>155</v>
      </c>
      <c r="AP65" s="11" t="s">
        <v>150</v>
      </c>
      <c r="AQ65" s="11" t="s">
        <v>155</v>
      </c>
      <c r="AR65" s="11" t="s">
        <v>150</v>
      </c>
      <c r="AS65" s="11" t="s">
        <v>155</v>
      </c>
      <c r="AT65" s="11" t="s">
        <v>150</v>
      </c>
      <c r="AU65" s="11" t="s">
        <v>155</v>
      </c>
      <c r="AV65" s="11" t="s">
        <v>150</v>
      </c>
      <c r="AW65" s="11" t="s">
        <v>155</v>
      </c>
      <c r="AX65" s="11" t="s">
        <v>150</v>
      </c>
      <c r="AY65" s="11" t="s">
        <v>155</v>
      </c>
      <c r="AZ65" s="11" t="s">
        <v>150</v>
      </c>
      <c r="BA65" s="11" t="s">
        <v>155</v>
      </c>
      <c r="BB65" s="11" t="s">
        <v>150</v>
      </c>
      <c r="BC65" s="11" t="s">
        <v>155</v>
      </c>
      <c r="BD65" s="11" t="s">
        <v>150</v>
      </c>
      <c r="BE65" s="11" t="s">
        <v>155</v>
      </c>
      <c r="BF65" s="11" t="s">
        <v>150</v>
      </c>
      <c r="BG65" s="11" t="s">
        <v>155</v>
      </c>
      <c r="BH65" s="11" t="s">
        <v>150</v>
      </c>
      <c r="BI65" s="11" t="s">
        <v>155</v>
      </c>
      <c r="BJ65" s="11" t="s">
        <v>150</v>
      </c>
      <c r="BK65" s="11" t="s">
        <v>155</v>
      </c>
      <c r="BL65" s="11" t="s">
        <v>150</v>
      </c>
      <c r="BM65" s="11" t="s">
        <v>155</v>
      </c>
      <c r="BN65" s="11" t="s">
        <v>150</v>
      </c>
      <c r="BO65" s="11" t="s">
        <v>155</v>
      </c>
      <c r="BP65" s="11" t="s">
        <v>150</v>
      </c>
      <c r="BQ65" s="11" t="s">
        <v>155</v>
      </c>
      <c r="BR65" s="11" t="s">
        <v>150</v>
      </c>
      <c r="BS65" s="11" t="s">
        <v>155</v>
      </c>
      <c r="BT65" s="11" t="s">
        <v>150</v>
      </c>
      <c r="BU65" s="11" t="s">
        <v>155</v>
      </c>
      <c r="BV65" s="11" t="s">
        <v>150</v>
      </c>
      <c r="BW65" s="11" t="s">
        <v>155</v>
      </c>
      <c r="BX65" s="11" t="s">
        <v>150</v>
      </c>
      <c r="BY65" s="11" t="s">
        <v>155</v>
      </c>
      <c r="BZ65" s="11" t="s">
        <v>150</v>
      </c>
      <c r="CA65" s="11" t="s">
        <v>155</v>
      </c>
      <c r="CB65" s="11" t="s">
        <v>150</v>
      </c>
      <c r="CC65" s="11" t="s">
        <v>155</v>
      </c>
      <c r="CD65" s="11" t="s">
        <v>150</v>
      </c>
      <c r="CE65" s="11" t="s">
        <v>155</v>
      </c>
      <c r="CF65" s="11" t="s">
        <v>150</v>
      </c>
      <c r="CG65" s="11" t="s">
        <v>155</v>
      </c>
      <c r="CH65" s="11" t="s">
        <v>150</v>
      </c>
      <c r="CI65" s="11" t="s">
        <v>155</v>
      </c>
      <c r="CJ65" s="11" t="s">
        <v>150</v>
      </c>
      <c r="CK65" s="11" t="s">
        <v>155</v>
      </c>
      <c r="CL65" s="11" t="s">
        <v>150</v>
      </c>
      <c r="CM65" s="11" t="s">
        <v>155</v>
      </c>
      <c r="CN65" s="11" t="s">
        <v>150</v>
      </c>
      <c r="CO65" s="11" t="s">
        <v>155</v>
      </c>
      <c r="CP65" s="11" t="s">
        <v>150</v>
      </c>
      <c r="CQ65" s="11" t="s">
        <v>155</v>
      </c>
      <c r="CR65" s="11" t="s">
        <v>150</v>
      </c>
      <c r="CS65" s="11" t="s">
        <v>155</v>
      </c>
      <c r="CT65" s="11" t="s">
        <v>150</v>
      </c>
      <c r="CU65" s="11" t="s">
        <v>155</v>
      </c>
      <c r="CV65" s="11" t="s">
        <v>150</v>
      </c>
      <c r="CW65" s="11" t="s">
        <v>155</v>
      </c>
      <c r="CX65" s="11" t="s">
        <v>150</v>
      </c>
      <c r="CY65" s="11" t="s">
        <v>155</v>
      </c>
      <c r="CZ65" s="11" t="s">
        <v>150</v>
      </c>
      <c r="DA65" s="11" t="s">
        <v>155</v>
      </c>
      <c r="DB65" s="11" t="s">
        <v>150</v>
      </c>
      <c r="DC65" s="11" t="s">
        <v>155</v>
      </c>
      <c r="DD65" s="11" t="s">
        <v>150</v>
      </c>
      <c r="DE65" s="11" t="s">
        <v>155</v>
      </c>
      <c r="DF65" s="11" t="s">
        <v>150</v>
      </c>
      <c r="DG65" s="11" t="s">
        <v>155</v>
      </c>
      <c r="DH65" s="11" t="s">
        <v>150</v>
      </c>
      <c r="DI65" s="11" t="s">
        <v>155</v>
      </c>
      <c r="DJ65" s="11" t="s">
        <v>150</v>
      </c>
      <c r="DK65" s="11" t="s">
        <v>155</v>
      </c>
      <c r="DL65" s="11" t="s">
        <v>150</v>
      </c>
      <c r="DM65" s="11" t="s">
        <v>155</v>
      </c>
      <c r="DN65" s="11" t="s">
        <v>150</v>
      </c>
      <c r="DO65" s="11" t="s">
        <v>155</v>
      </c>
      <c r="DP65" s="11" t="s">
        <v>150</v>
      </c>
      <c r="DQ65" s="11" t="s">
        <v>155</v>
      </c>
      <c r="DR65" s="11" t="s">
        <v>150</v>
      </c>
      <c r="DS65" s="11" t="s">
        <v>155</v>
      </c>
      <c r="DT65" s="11" t="s">
        <v>150</v>
      </c>
      <c r="DU65" s="11" t="s">
        <v>155</v>
      </c>
      <c r="DV65" s="11" t="s">
        <v>150</v>
      </c>
      <c r="DW65" s="11" t="s">
        <v>155</v>
      </c>
      <c r="DX65" s="11" t="s">
        <v>150</v>
      </c>
    </row>
    <row r="66" customFormat="false" ht="15" hidden="false" customHeight="false" outlineLevel="0" collapsed="false">
      <c r="H66" s="14" t="s">
        <v>156</v>
      </c>
      <c r="I66" s="51" t="n">
        <v>0</v>
      </c>
      <c r="J66" s="50"/>
      <c r="K66" s="51" t="n">
        <v>0</v>
      </c>
      <c r="L66" s="50"/>
      <c r="M66" s="51" t="n">
        <v>0</v>
      </c>
      <c r="N66" s="50"/>
      <c r="O66" s="51" t="n">
        <v>0</v>
      </c>
      <c r="P66" s="50"/>
      <c r="Q66" s="51" t="n">
        <v>0</v>
      </c>
      <c r="R66" s="50"/>
      <c r="S66" s="51" t="n">
        <v>0</v>
      </c>
      <c r="T66" s="50"/>
      <c r="U66" s="51" t="n">
        <v>0</v>
      </c>
      <c r="V66" s="50"/>
      <c r="W66" s="51" t="n">
        <v>0</v>
      </c>
      <c r="X66" s="50"/>
      <c r="Y66" s="51" t="n">
        <v>0</v>
      </c>
      <c r="Z66" s="50"/>
      <c r="AA66" s="51" t="n">
        <v>0</v>
      </c>
      <c r="AB66" s="50"/>
      <c r="AC66" s="51" t="n">
        <v>0</v>
      </c>
      <c r="AD66" s="50"/>
      <c r="AE66" s="51" t="n">
        <v>0</v>
      </c>
      <c r="AF66" s="50"/>
      <c r="AG66" s="51" t="n">
        <v>0</v>
      </c>
      <c r="AH66" s="50"/>
      <c r="AI66" s="51" t="n">
        <v>0</v>
      </c>
      <c r="AJ66" s="50"/>
      <c r="AK66" s="51"/>
      <c r="AL66" s="50"/>
      <c r="AM66" s="51"/>
      <c r="AN66" s="50"/>
      <c r="AO66" s="51"/>
      <c r="AP66" s="50"/>
      <c r="AQ66" s="51"/>
      <c r="AR66" s="50"/>
      <c r="AS66" s="51"/>
      <c r="AT66" s="50"/>
      <c r="AU66" s="51"/>
      <c r="AV66" s="50"/>
      <c r="AW66" s="51"/>
      <c r="AX66" s="50"/>
      <c r="AY66" s="51"/>
      <c r="AZ66" s="50"/>
      <c r="BA66" s="51"/>
      <c r="BB66" s="50"/>
      <c r="BC66" s="51"/>
      <c r="BD66" s="50"/>
      <c r="BE66" s="51"/>
      <c r="BF66" s="50"/>
      <c r="BG66" s="51"/>
      <c r="BH66" s="50"/>
      <c r="BI66" s="51"/>
      <c r="BJ66" s="50"/>
      <c r="BK66" s="51"/>
      <c r="BL66" s="50"/>
      <c r="BM66" s="51"/>
      <c r="BN66" s="50"/>
      <c r="BO66" s="51"/>
      <c r="BP66" s="50"/>
      <c r="BQ66" s="51"/>
      <c r="BR66" s="50"/>
      <c r="BS66" s="51"/>
      <c r="BT66" s="50"/>
      <c r="BU66" s="51"/>
      <c r="BV66" s="50"/>
      <c r="BW66" s="51"/>
      <c r="BX66" s="50"/>
      <c r="BY66" s="51"/>
      <c r="BZ66" s="50"/>
      <c r="CA66" s="51"/>
      <c r="CB66" s="50"/>
      <c r="CC66" s="51"/>
      <c r="CD66" s="50"/>
      <c r="CE66" s="51"/>
      <c r="CF66" s="50"/>
      <c r="CG66" s="51"/>
      <c r="CH66" s="50"/>
      <c r="CI66" s="51"/>
      <c r="CJ66" s="50"/>
      <c r="CK66" s="51"/>
      <c r="CL66" s="50"/>
      <c r="CM66" s="51"/>
      <c r="CN66" s="50"/>
      <c r="CO66" s="51"/>
      <c r="CP66" s="50"/>
      <c r="CQ66" s="51"/>
      <c r="CR66" s="50"/>
      <c r="CS66" s="51"/>
      <c r="CT66" s="50"/>
      <c r="CU66" s="51"/>
      <c r="CV66" s="50"/>
      <c r="CW66" s="51"/>
      <c r="CX66" s="50"/>
      <c r="CY66" s="51"/>
      <c r="CZ66" s="50"/>
      <c r="DA66" s="51"/>
      <c r="DB66" s="50"/>
      <c r="DC66" s="51"/>
      <c r="DD66" s="50"/>
      <c r="DE66" s="51"/>
      <c r="DF66" s="50"/>
      <c r="DG66" s="51"/>
      <c r="DH66" s="50"/>
      <c r="DI66" s="51"/>
      <c r="DJ66" s="50"/>
      <c r="DK66" s="51"/>
      <c r="DL66" s="50"/>
      <c r="DM66" s="51"/>
      <c r="DN66" s="50"/>
      <c r="DO66" s="51"/>
      <c r="DP66" s="50"/>
      <c r="DQ66" s="51"/>
      <c r="DR66" s="50"/>
      <c r="DS66" s="51"/>
      <c r="DT66" s="50"/>
      <c r="DU66" s="51"/>
      <c r="DV66" s="50"/>
      <c r="DW66" s="51"/>
      <c r="DX66" s="50"/>
    </row>
    <row r="67" customFormat="false" ht="15" hidden="false" customHeight="false" outlineLevel="0" collapsed="false">
      <c r="H67" s="14" t="s">
        <v>157</v>
      </c>
      <c r="I67" s="51" t="n">
        <v>0</v>
      </c>
      <c r="J67" s="50"/>
      <c r="K67" s="51" t="n">
        <v>0</v>
      </c>
      <c r="L67" s="50"/>
      <c r="M67" s="51" t="n">
        <v>0</v>
      </c>
      <c r="N67" s="50"/>
      <c r="O67" s="51" t="n">
        <v>0</v>
      </c>
      <c r="P67" s="50"/>
      <c r="Q67" s="51" t="n">
        <v>0</v>
      </c>
      <c r="R67" s="50"/>
      <c r="S67" s="51" t="n">
        <v>0</v>
      </c>
      <c r="T67" s="50"/>
      <c r="U67" s="51" t="n">
        <v>0</v>
      </c>
      <c r="V67" s="50"/>
      <c r="W67" s="51" t="n">
        <v>0</v>
      </c>
      <c r="X67" s="50"/>
      <c r="Y67" s="51" t="n">
        <v>0</v>
      </c>
      <c r="Z67" s="50"/>
      <c r="AA67" s="51" t="n">
        <v>0</v>
      </c>
      <c r="AB67" s="50"/>
      <c r="AC67" s="51" t="n">
        <v>0</v>
      </c>
      <c r="AD67" s="50"/>
      <c r="AE67" s="51" t="n">
        <v>0</v>
      </c>
      <c r="AF67" s="50"/>
      <c r="AG67" s="51" t="n">
        <v>0</v>
      </c>
      <c r="AH67" s="50"/>
      <c r="AI67" s="51" t="n">
        <v>0</v>
      </c>
      <c r="AJ67" s="50"/>
      <c r="AK67" s="51"/>
      <c r="AL67" s="50"/>
      <c r="AM67" s="51"/>
      <c r="AN67" s="50"/>
      <c r="AO67" s="51"/>
      <c r="AP67" s="50"/>
      <c r="AQ67" s="51"/>
      <c r="AR67" s="50"/>
      <c r="AS67" s="51"/>
      <c r="AT67" s="50"/>
      <c r="AU67" s="51"/>
      <c r="AV67" s="50"/>
      <c r="AW67" s="51"/>
      <c r="AX67" s="50"/>
      <c r="AY67" s="51"/>
      <c r="AZ67" s="50"/>
      <c r="BA67" s="51"/>
      <c r="BB67" s="50"/>
      <c r="BC67" s="51"/>
      <c r="BD67" s="50"/>
      <c r="BE67" s="51"/>
      <c r="BF67" s="50"/>
      <c r="BG67" s="51"/>
      <c r="BH67" s="50"/>
      <c r="BI67" s="51"/>
      <c r="BJ67" s="50"/>
      <c r="BK67" s="51"/>
      <c r="BL67" s="50"/>
      <c r="BM67" s="51"/>
      <c r="BN67" s="50"/>
      <c r="BO67" s="51"/>
      <c r="BP67" s="50"/>
      <c r="BQ67" s="51"/>
      <c r="BR67" s="50"/>
      <c r="BS67" s="51"/>
      <c r="BT67" s="50"/>
      <c r="BU67" s="51"/>
      <c r="BV67" s="50"/>
      <c r="BW67" s="51"/>
      <c r="BX67" s="50"/>
      <c r="BY67" s="51"/>
      <c r="BZ67" s="50"/>
      <c r="CA67" s="51"/>
      <c r="CB67" s="50"/>
      <c r="CC67" s="51"/>
      <c r="CD67" s="50"/>
      <c r="CE67" s="51"/>
      <c r="CF67" s="50"/>
      <c r="CG67" s="51"/>
      <c r="CH67" s="50"/>
      <c r="CI67" s="51"/>
      <c r="CJ67" s="50"/>
      <c r="CK67" s="51"/>
      <c r="CL67" s="50"/>
      <c r="CM67" s="51"/>
      <c r="CN67" s="50"/>
      <c r="CO67" s="51"/>
      <c r="CP67" s="50"/>
      <c r="CQ67" s="51"/>
      <c r="CR67" s="50"/>
      <c r="CS67" s="51"/>
      <c r="CT67" s="50"/>
      <c r="CU67" s="51"/>
      <c r="CV67" s="50"/>
      <c r="CW67" s="51"/>
      <c r="CX67" s="50"/>
      <c r="CY67" s="51"/>
      <c r="CZ67" s="50"/>
      <c r="DA67" s="51"/>
      <c r="DB67" s="50"/>
      <c r="DC67" s="51"/>
      <c r="DD67" s="50"/>
      <c r="DE67" s="51"/>
      <c r="DF67" s="50"/>
      <c r="DG67" s="51"/>
      <c r="DH67" s="50"/>
      <c r="DI67" s="51"/>
      <c r="DJ67" s="50"/>
      <c r="DK67" s="51"/>
      <c r="DL67" s="50"/>
      <c r="DM67" s="51"/>
      <c r="DN67" s="50"/>
      <c r="DO67" s="51"/>
      <c r="DP67" s="50"/>
      <c r="DQ67" s="51"/>
      <c r="DR67" s="50"/>
      <c r="DS67" s="51"/>
      <c r="DT67" s="50"/>
      <c r="DU67" s="51"/>
      <c r="DV67" s="50"/>
      <c r="DW67" s="51"/>
      <c r="DX67" s="50"/>
    </row>
    <row r="68" customFormat="false" ht="15" hidden="false" customHeight="false" outlineLevel="0" collapsed="false">
      <c r="H68" s="14" t="s">
        <v>158</v>
      </c>
      <c r="I68" s="51" t="n">
        <v>0</v>
      </c>
      <c r="J68" s="50"/>
      <c r="K68" s="51" t="n">
        <v>0</v>
      </c>
      <c r="L68" s="50"/>
      <c r="M68" s="51" t="n">
        <v>0</v>
      </c>
      <c r="N68" s="50"/>
      <c r="O68" s="51" t="n">
        <v>0</v>
      </c>
      <c r="P68" s="50"/>
      <c r="Q68" s="51" t="n">
        <v>0</v>
      </c>
      <c r="R68" s="50"/>
      <c r="S68" s="51" t="n">
        <v>0</v>
      </c>
      <c r="T68" s="50"/>
      <c r="U68" s="51" t="n">
        <v>0</v>
      </c>
      <c r="V68" s="50"/>
      <c r="W68" s="51" t="n">
        <v>0</v>
      </c>
      <c r="X68" s="50"/>
      <c r="Y68" s="51" t="n">
        <v>0</v>
      </c>
      <c r="Z68" s="50"/>
      <c r="AA68" s="51" t="n">
        <v>0</v>
      </c>
      <c r="AB68" s="50"/>
      <c r="AC68" s="51" t="n">
        <v>0</v>
      </c>
      <c r="AD68" s="50"/>
      <c r="AE68" s="51" t="n">
        <v>0</v>
      </c>
      <c r="AF68" s="50"/>
      <c r="AG68" s="51" t="n">
        <v>0</v>
      </c>
      <c r="AH68" s="50"/>
      <c r="AI68" s="51" t="n">
        <v>0</v>
      </c>
      <c r="AJ68" s="50"/>
      <c r="AK68" s="51"/>
      <c r="AL68" s="50"/>
      <c r="AM68" s="51"/>
      <c r="AN68" s="50"/>
      <c r="AO68" s="51"/>
      <c r="AP68" s="50"/>
      <c r="AQ68" s="51"/>
      <c r="AR68" s="50"/>
      <c r="AS68" s="51"/>
      <c r="AT68" s="50"/>
      <c r="AU68" s="51"/>
      <c r="AV68" s="50"/>
      <c r="AW68" s="51"/>
      <c r="AX68" s="50"/>
      <c r="AY68" s="51"/>
      <c r="AZ68" s="50"/>
      <c r="BA68" s="51"/>
      <c r="BB68" s="50"/>
      <c r="BC68" s="51"/>
      <c r="BD68" s="50"/>
      <c r="BE68" s="51"/>
      <c r="BF68" s="50"/>
      <c r="BG68" s="51"/>
      <c r="BH68" s="50"/>
      <c r="BI68" s="51"/>
      <c r="BJ68" s="50"/>
      <c r="BK68" s="51"/>
      <c r="BL68" s="50"/>
      <c r="BM68" s="51"/>
      <c r="BN68" s="50"/>
      <c r="BO68" s="51"/>
      <c r="BP68" s="50"/>
      <c r="BQ68" s="51"/>
      <c r="BR68" s="50"/>
      <c r="BS68" s="51"/>
      <c r="BT68" s="50"/>
      <c r="BU68" s="51"/>
      <c r="BV68" s="50"/>
      <c r="BW68" s="51"/>
      <c r="BX68" s="50"/>
      <c r="BY68" s="51"/>
      <c r="BZ68" s="50"/>
      <c r="CA68" s="51"/>
      <c r="CB68" s="50"/>
      <c r="CC68" s="51"/>
      <c r="CD68" s="50"/>
      <c r="CE68" s="51"/>
      <c r="CF68" s="50"/>
      <c r="CG68" s="51"/>
      <c r="CH68" s="50"/>
      <c r="CI68" s="51"/>
      <c r="CJ68" s="50"/>
      <c r="CK68" s="51"/>
      <c r="CL68" s="50"/>
      <c r="CM68" s="51"/>
      <c r="CN68" s="50"/>
      <c r="CO68" s="51"/>
      <c r="CP68" s="50"/>
      <c r="CQ68" s="51"/>
      <c r="CR68" s="50"/>
      <c r="CS68" s="51"/>
      <c r="CT68" s="50"/>
      <c r="CU68" s="51"/>
      <c r="CV68" s="50"/>
      <c r="CW68" s="51"/>
      <c r="CX68" s="50"/>
      <c r="CY68" s="51"/>
      <c r="CZ68" s="50"/>
      <c r="DA68" s="51"/>
      <c r="DB68" s="50"/>
      <c r="DC68" s="51"/>
      <c r="DD68" s="50"/>
      <c r="DE68" s="51"/>
      <c r="DF68" s="50"/>
      <c r="DG68" s="51"/>
      <c r="DH68" s="50"/>
      <c r="DI68" s="51"/>
      <c r="DJ68" s="50"/>
      <c r="DK68" s="51"/>
      <c r="DL68" s="50"/>
      <c r="DM68" s="51"/>
      <c r="DN68" s="50"/>
      <c r="DO68" s="51"/>
      <c r="DP68" s="50"/>
      <c r="DQ68" s="51"/>
      <c r="DR68" s="50"/>
      <c r="DS68" s="51"/>
      <c r="DT68" s="50"/>
      <c r="DU68" s="51"/>
      <c r="DV68" s="50"/>
      <c r="DW68" s="51"/>
      <c r="DX68" s="50"/>
    </row>
    <row r="70" customFormat="false" ht="43.5" hidden="false" customHeight="true" outlineLevel="0" collapsed="false">
      <c r="H70" s="52" t="s">
        <v>159</v>
      </c>
      <c r="I70" s="52"/>
      <c r="J70" s="52"/>
      <c r="K70" s="52"/>
      <c r="L70" s="52"/>
      <c r="M70" s="52"/>
      <c r="N70" s="52"/>
    </row>
  </sheetData>
  <sheetProtection sheet="true"/>
  <mergeCells count="243">
    <mergeCell ref="A1:G1"/>
    <mergeCell ref="A2:G2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H70:N70"/>
  </mergeCells>
  <dataValidations count="7">
    <dataValidation allowBlank="true" errorStyle="stop" operator="between" showDropDown="false" showErrorMessage="false" showInputMessage="false" sqref="D6:D65" type="list">
      <formula1>СПИСОК_СТАТУСІВ</formula1>
      <formula2>0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6:C65" type="date">
      <formula1>DATE(2020,1,1)</formula1>
      <formula2>DATE(2040,12,31)</formula2>
    </dataValidation>
    <dataValidation allowBlank="true" errorStyle="stop" operator="between" showDropDown="false" showErrorMessage="false" showInputMessage="false" sqref="G10" type="list">
      <formula1>ПРАЙС_ЛИСТИ</formula1>
      <formula2>0</formula2>
    </dataValidation>
    <dataValidation allowBlank="false" error="Крок округлення має бути не менший за 0,01 грн." errorStyle="stop" errorTitle="Крок округлення" operator="greaterThanOrEqual" showDropDown="false" showErrorMessage="true" showInputMessage="false" sqref="G7" type="decimal">
      <formula1>0.01</formula1>
      <formula2>0</formula2>
    </dataValidation>
    <dataValidation allowBlank="false" error="Введіть число від 1 (понеділок) до 7 (неділя)." errorStyle="stop" errorTitle="День тижня" operator="between" showDropDown="false" showErrorMessage="true" showInputMessage="false" sqref="G11" type="whole">
      <formula1>1</formula1>
      <formula2>7</formula2>
    </dataValidation>
    <dataValidation allowBlank="true" error="Допустимі значення: 0 або 1." errorStyle="stop" errorTitle="Перемикач знижки" operator="between" showDropDown="false" showErrorMessage="true" showInputMessage="false" sqref="I66:DX68" type="list">
      <formula1>"0,1"</formula1>
      <formula2>0</formula2>
    </dataValidation>
    <dataValidation allowBlank="true" error="Ціни та множники не можуть бути відʼємними." errorStyle="stop" errorTitle="Некоректне значення" operator="greaterThanOrEqual" showDropDown="false" showErrorMessage="true" showInputMessage="false" sqref="I12:DX15 I33:DX50 I54:DX57 I61:DX6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1" min="11" style="0" width="46"/>
    <col collapsed="false" customWidth="true" hidden="false" outlineLevel="0" max="12" min="12" style="0" width="15"/>
    <col collapsed="false" customWidth="true" hidden="false" outlineLevel="0" max="13" min="13" style="0" width="3"/>
    <col collapsed="false" customWidth="true" hidden="true" outlineLevel="0" max="42" min="14" style="0" width="13"/>
  </cols>
  <sheetData>
    <row r="1" customFormat="false" ht="27.7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N1" s="2" t="s">
        <v>0</v>
      </c>
      <c r="P1" s="53" t="s">
        <v>161</v>
      </c>
      <c r="AD1" s="53" t="s">
        <v>162</v>
      </c>
    </row>
    <row r="2" customFormat="false" ht="15" hidden="false" customHeight="false" outlineLevel="0" collapsed="false">
      <c r="P2" s="6" t="n">
        <f aca="false">IFERROR(MATCH($B$3,ПЛ_РЯДОК,0),0)</f>
        <v>5</v>
      </c>
      <c r="AD2" s="6" t="n">
        <f aca="false">IFERROR(MATCH($F$3,ПЛ_РЯДОК,0),0)</f>
        <v>9</v>
      </c>
    </row>
    <row r="3" customFormat="false" ht="15" hidden="false" customHeight="false" outlineLevel="0" collapsed="false">
      <c r="A3" s="3" t="s">
        <v>163</v>
      </c>
      <c r="B3" s="4" t="s">
        <v>2</v>
      </c>
      <c r="C3" s="3" t="s">
        <v>164</v>
      </c>
      <c r="D3" s="4" t="s">
        <v>5</v>
      </c>
      <c r="E3" s="3" t="s">
        <v>165</v>
      </c>
      <c r="F3" s="4" t="s">
        <v>80</v>
      </c>
      <c r="G3" s="3" t="s">
        <v>166</v>
      </c>
      <c r="H3" s="4" t="s">
        <v>5</v>
      </c>
      <c r="K3" s="23" t="s">
        <v>167</v>
      </c>
      <c r="L3" s="23"/>
      <c r="M3" s="23"/>
      <c r="N3" s="6" t="n">
        <f aca="false">IFERROR(MATCH(Прайс!$B$3,ПЛ_РЯДОК,0),0)</f>
        <v>5</v>
      </c>
      <c r="O3" s="7" t="s">
        <v>168</v>
      </c>
      <c r="P3" s="6" t="n">
        <f aca="false">IF($B$4="BBSPA",ЗНИЖКА_BBSPA,IFERROR(SUMIFS(ТАРИФИ_ЗНИЖКИ,ТАРИФИ_НАЗВИ,$D$3),0))</f>
        <v>0</v>
      </c>
      <c r="AD3" s="6" t="n">
        <f aca="false">IF($B$4="BBSPA",ЗНИЖКА_BBSPA,IFERROR(SUMIFS(ТАРИФИ_ЗНИЖКИ,ТАРИФИ_НАЗВИ,$H$3),0))</f>
        <v>0</v>
      </c>
    </row>
    <row r="4" customFormat="false" ht="15" hidden="false" customHeight="false" outlineLevel="0" collapsed="false">
      <c r="A4" s="3" t="s">
        <v>7</v>
      </c>
      <c r="B4" s="4" t="s">
        <v>38</v>
      </c>
      <c r="C4" s="3" t="s">
        <v>34</v>
      </c>
      <c r="D4" s="28" t="n">
        <v>2</v>
      </c>
      <c r="E4" s="3" t="s">
        <v>36</v>
      </c>
      <c r="F4" s="28" t="n">
        <v>0</v>
      </c>
      <c r="K4" s="54" t="s">
        <v>169</v>
      </c>
      <c r="L4" s="27" t="n">
        <f aca="false">4-COUNT(INDEX(БАЗА_RO,1,$N$3),INDEX(БАЗА_RO,2,$N$3),INDEX(БАЗА_RO,3,$N$3),INDEX(БАЗА_RO,4,$N$3))</f>
        <v>0</v>
      </c>
      <c r="P4" s="9" t="n">
        <f aca="false">IF(P$2=0,0,IFERROR(INDEX(ПЕРЕМИКАЧІ,IF($B$4="BBSPA",2,1),P$2),0))</f>
        <v>0</v>
      </c>
      <c r="AD4" s="9" t="n">
        <f aca="false">IF(AD$2=0,0,IFERROR(INDEX(ПЕРЕМИКАЧІ,IF($B$4="BBSPA",2,1),AD$2),0))</f>
        <v>0</v>
      </c>
    </row>
    <row r="5" customFormat="false" ht="33.75" hidden="false" customHeight="true" outlineLevel="0" collapsed="false">
      <c r="A5" s="8" t="s">
        <v>170</v>
      </c>
      <c r="B5" s="8"/>
      <c r="C5" s="8"/>
      <c r="D5" s="8"/>
      <c r="E5" s="8"/>
      <c r="F5" s="8"/>
      <c r="G5" s="8"/>
      <c r="H5" s="8"/>
      <c r="I5" s="8"/>
      <c r="K5" s="54" t="s">
        <v>171</v>
      </c>
      <c r="L5" s="27" t="n">
        <f aca="false">36-COUNT(INDEX(МНОЖНИКИ,0,$N$3))-COUNT(INDEX(МНОЖНИКИ,0,$N$3+1))</f>
        <v>0</v>
      </c>
      <c r="N5" s="6" t="n">
        <f aca="false">IF(OR($B$4="BB",$B$4="BBSPA",$B$4="ROSPABB"),1,0)</f>
        <v>0</v>
      </c>
      <c r="O5" s="7" t="s">
        <v>17</v>
      </c>
      <c r="P5" s="9" t="n">
        <f aca="false">IF(P$2=0,0,IFERROR(INDEX(ПЕРЕМИКАЧІ,3,P$2),0))</f>
        <v>0</v>
      </c>
      <c r="AD5" s="9" t="n">
        <f aca="false">IF(AD$2=0,0,IFERROR(INDEX(ПЕРЕМИКАЧІ,3,AD$2),0))</f>
        <v>0</v>
      </c>
    </row>
    <row r="6" customFormat="false" ht="33.75" hidden="false" customHeight="true" outlineLevel="0" collapsed="false">
      <c r="A6" s="11" t="s">
        <v>14</v>
      </c>
      <c r="B6" s="11" t="s">
        <v>172</v>
      </c>
      <c r="C6" s="11" t="s">
        <v>173</v>
      </c>
      <c r="D6" s="11" t="s">
        <v>174</v>
      </c>
      <c r="E6" s="11" t="s">
        <v>175</v>
      </c>
      <c r="F6" s="11" t="s">
        <v>176</v>
      </c>
      <c r="G6" s="11" t="s">
        <v>177</v>
      </c>
      <c r="H6" s="11" t="s">
        <v>178</v>
      </c>
      <c r="I6" s="11" t="s">
        <v>179</v>
      </c>
      <c r="K6" s="54" t="s">
        <v>180</v>
      </c>
      <c r="L6" s="27" t="n">
        <f aca="false">4-COUNT(INDEX(ПАКЕТИ_ЦІНИ,1,$N$3),INDEX(ПАКЕТИ_ЦІНИ,1,$N$3+1),INDEX(ПАКЕТИ_ЦІНИ,2,$N$3),INDEX(ПАКЕТИ_ЦІНИ,2,$N$3+1))</f>
        <v>0</v>
      </c>
      <c r="N6" s="6" t="str">
        <f aca="false">IF($N$5=0,"",IF($B$4="ROSPABB","BB",$B$4))</f>
        <v/>
      </c>
      <c r="O6" s="7" t="s">
        <v>19</v>
      </c>
    </row>
    <row r="7" customFormat="false" ht="15" hidden="false" customHeight="false" outlineLevel="0" collapsed="false">
      <c r="A7" s="13" t="str">
        <f aca="false">IF('Довідник категорій'!A5="","",'Довідник категорій'!A5)</f>
        <v>Міні-котедж</v>
      </c>
      <c r="B7" s="33" t="n">
        <f aca="false">IF(OR(AA7=0,($D$4+$F$4)=0,($D$4+$F$4)&gt;S7,($D$4+$F$4)&lt;U7),"",ROUND(((P7*Q7+MAX(0,($D$4+$F$4)-T7)*КРОК_ГОСТЯ)*(1-P$3)+($D$4*V7+$F$4*W7)*(1-P$3*P$4)+Z7*(1-P$3*P$5))/ОКРУГЛЕННЯ,0)*ОКРУГЛЕННЯ)</f>
        <v>4998</v>
      </c>
      <c r="C7" s="33" t="n">
        <f aca="false">IF(OR(AB7=0,($D$4+$F$4)=0,($D$4+$F$4)&gt;S7,($D$4+$F$4)&lt;U7),"",ROUND(((P7*Q7*R7+MAX(0,($D$4+$F$4)-T7)*КРОК_ГОСТЯ)*(1-P$3)+($D$4*X7+$F$4*Y7)*(1-P$3*P$4)+Z7*(1-P$3*P$5))/ОКРУГЛЕННЯ,0)*ОКРУГЛЕННЯ)</f>
        <v>5498</v>
      </c>
      <c r="D7" s="33" t="n">
        <f aca="false">IF(OR(AO7=0,($D$4+$F$4)=0,($D$4+$F$4)&gt;AG7,($D$4+$F$4)&lt;AI7),"",ROUND(((AD7*AE7+MAX(0,($D$4+$F$4)-AH7)*КРОК_ГОСТЯ)*(1-AD$3)+($D$4*AJ7+$F$4*AK7)*(1-AD$3*AD$4)+AN7*(1-AD$3*AD$5))/ОКРУГЛЕННЯ,0)*ОКРУГЛЕННЯ)</f>
        <v>5400</v>
      </c>
      <c r="E7" s="33" t="n">
        <f aca="false">IF(OR(AP7=0,($D$4+$F$4)=0,($D$4+$F$4)&gt;AG7,($D$4+$F$4)&lt;AI7),"",ROUND(((AD7*AE7*AF7+MAX(0,($D$4+$F$4)-AH7)*КРОК_ГОСТЯ)*(1-AD$3)+($D$4*AL7+$F$4*AM7)*(1-AD$3*AD$4)+AN7*(1-AD$3*AD$5))/ОКРУГЛЕННЯ,0)*ОКРУГЛЕННЯ)</f>
        <v>5940</v>
      </c>
      <c r="F7" s="33" t="n">
        <f aca="false">IF(OR(B7="",D7=""),"",D7-B7)</f>
        <v>402</v>
      </c>
      <c r="G7" s="33" t="n">
        <f aca="false">IF(OR(C7="",E7=""),"",E7-C7)</f>
        <v>442</v>
      </c>
      <c r="H7" s="55" t="n">
        <f aca="false">IF(OR(B7="",D7="",B7=0),"",D7/B7-1)</f>
        <v>0.0804321728691477</v>
      </c>
      <c r="I7" s="55" t="n">
        <f aca="false">IF(OR(C7="",E7="",C7=0),"",E7/C7-1)</f>
        <v>0.0803928701345944</v>
      </c>
      <c r="K7" s="54" t="s">
        <v>181</v>
      </c>
      <c r="L7" s="27" t="n">
        <f aca="false">2-COUNT(INDEX(SPA_ЦІНИ,1,$N$3),INDEX(SPA_ЦІНИ,2,$N$3))</f>
        <v>0</v>
      </c>
      <c r="N7" s="6" t="n">
        <f aca="false">IF(OR($B$4="ROSPA",$B$4="ROSPABB"),1,0)</f>
        <v>0</v>
      </c>
      <c r="O7" s="7" t="s">
        <v>18</v>
      </c>
      <c r="P7" s="17" t="n">
        <f aca="false">IF(OR(P$2=0,$A7=""),0,IFERROR(INDEX(БАЗА_RO,MATCH(INDEX(ДОВ_ОПОРА,MATCH($A7,КАТЕГОРІЇ,0)),БАЗА_КАТ,0),P$2),0))</f>
        <v>4998</v>
      </c>
      <c r="Q7" s="18" t="n">
        <f aca="false">IF(OR(P$2=0,$A7=""),0,IFERROR(INDEX(МНОЖНИКИ,MATCH($A7,МНОЖ_КАТ,0),P$2),0))</f>
        <v>1</v>
      </c>
      <c r="R7" s="18" t="n">
        <f aca="false">IF(OR(P$2=0,$A7=""),0,IFERROR(INDEX(МНОЖНИКИ,MATCH($A7,МНОЖ_КАТ,0),P$2+1),0))</f>
        <v>1.1</v>
      </c>
      <c r="S7" s="9" t="n">
        <f aca="false">IF($A7="",0,IFERROR(INDEX(ДОВ_МАКС,MATCH($A7,КАТЕГОРІЇ,0)),0))</f>
        <v>3</v>
      </c>
      <c r="T7" s="9" t="n">
        <f aca="false">IF($A7="",0,IFERROR(INDEX(ДОВ_ВКЛ,MATCH($A7,КАТЕГОРІЇ,0)),0))</f>
        <v>2</v>
      </c>
      <c r="U7" s="9" t="n">
        <f aca="false">IF($A7="",0,IFERROR(INDEX(ДОВ_МІН,MATCH($A7,КАТЕГОРІЇ,0)),0))</f>
        <v>1</v>
      </c>
      <c r="V7" s="6" t="n">
        <f aca="false">IF(OR(P$2=0,$N$5=0),0,IFERROR(INDEX(ПАКЕТИ_ЦІНИ,MATCH($N$6&amp;"|Будні",ПАКЕТИ_КЛЮЧ,0),P$2+0),0))</f>
        <v>0</v>
      </c>
      <c r="W7" s="6" t="n">
        <f aca="false">IF(OR(P$2=0,$N$5=0),0,IFERROR(INDEX(ПАКЕТИ_ЦІНИ,MATCH($N$6&amp;"|Будні",ПАКЕТИ_КЛЮЧ,0),P$2+1),0))</f>
        <v>0</v>
      </c>
      <c r="X7" s="6" t="n">
        <f aca="false">IF(OR(P$2=0,$N$5=0),0,IFERROR(INDEX(ПАКЕТИ_ЦІНИ,MATCH($N$6&amp;"|Вихідні",ПАКЕТИ_КЛЮЧ,0),P$2+0),0))</f>
        <v>0</v>
      </c>
      <c r="Y7" s="6" t="n">
        <f aca="false">IF(OR(P$2=0,$N$5=0),0,IFERROR(INDEX(ПАКЕТИ_ЦІНИ,MATCH($N$6&amp;"|Вихідні",ПАКЕТИ_КЛЮЧ,0),P$2+1),0))</f>
        <v>0</v>
      </c>
      <c r="Z7" s="6" t="n">
        <f aca="false">IF(OR(P$2=0,$N$7=0,$A7=""),0,IFERROR(INDEX(SPA_ЦІНИ,MATCH(INDEX(ДОВ_SPA,MATCH($A7,КАТЕГОРІЇ,0)),SPA_РОЛЬ,0),P$2),0))</f>
        <v>0</v>
      </c>
      <c r="AA7" s="6" t="n">
        <f aca="false">IF(OR($A7="",P7=0,Q7=0,AND($N$5=1,$D$4&gt;0,V7=0),AND($N$5=1,$F$4&gt;0,W7=0),AND($N$7=1,Z7=0)),0,1)</f>
        <v>1</v>
      </c>
      <c r="AB7" s="6" t="n">
        <f aca="false">IF(OR(AA7=0,R7=0,AND($N$5=1,$D$4&gt;0,X7=0),AND($N$5=1,$F$4&gt;0,Y7=0)),0,1)</f>
        <v>1</v>
      </c>
      <c r="AD7" s="17" t="n">
        <f aca="false">IF(OR(AD$2=0,$A7=""),0,IFERROR(INDEX(БАЗА_RO,MATCH(INDEX(ДОВ_ОПОРА,MATCH($A7,КАТЕГОРІЇ,0)),БАЗА_КАТ,0),AD$2),0))</f>
        <v>5400</v>
      </c>
      <c r="AE7" s="18" t="n">
        <f aca="false">IF(OR(AD$2=0,$A7=""),0,IFERROR(INDEX(МНОЖНИКИ,MATCH($A7,МНОЖ_КАТ,0),AD$2),0))</f>
        <v>1</v>
      </c>
      <c r="AF7" s="18" t="n">
        <f aca="false">IF(OR(AD$2=0,$A7=""),0,IFERROR(INDEX(МНОЖНИКИ,MATCH($A7,МНОЖ_КАТ,0),AD$2+1),0))</f>
        <v>1.1</v>
      </c>
      <c r="AG7" s="9" t="n">
        <f aca="false">IF($A7="",0,IFERROR(INDEX(ДОВ_МАКС,MATCH($A7,КАТЕГОРІЇ,0)),0))</f>
        <v>3</v>
      </c>
      <c r="AH7" s="9" t="n">
        <f aca="false">IF($A7="",0,IFERROR(INDEX(ДОВ_ВКЛ,MATCH($A7,КАТЕГОРІЇ,0)),0))</f>
        <v>2</v>
      </c>
      <c r="AI7" s="9" t="n">
        <f aca="false">IF($A7="",0,IFERROR(INDEX(ДОВ_МІН,MATCH($A7,КАТЕГОРІЇ,0)),0))</f>
        <v>1</v>
      </c>
      <c r="AJ7" s="6" t="n">
        <f aca="false">IF(OR(AD$2=0,$N$5=0),0,IFERROR(INDEX(ПАКЕТИ_ЦІНИ,MATCH($N$6&amp;"|Будні",ПАКЕТИ_КЛЮЧ,0),AD$2+0),0))</f>
        <v>0</v>
      </c>
      <c r="AK7" s="6" t="n">
        <f aca="false">IF(OR(AD$2=0,$N$5=0),0,IFERROR(INDEX(ПАКЕТИ_ЦІНИ,MATCH($N$6&amp;"|Будні",ПАКЕТИ_КЛЮЧ,0),AD$2+1),0))</f>
        <v>0</v>
      </c>
      <c r="AL7" s="6" t="n">
        <f aca="false">IF(OR(AD$2=0,$N$5=0),0,IFERROR(INDEX(ПАКЕТИ_ЦІНИ,MATCH($N$6&amp;"|Вихідні",ПАКЕТИ_КЛЮЧ,0),AD$2+0),0))</f>
        <v>0</v>
      </c>
      <c r="AM7" s="6" t="n">
        <f aca="false">IF(OR(AD$2=0,$N$5=0),0,IFERROR(INDEX(ПАКЕТИ_ЦІНИ,MATCH($N$6&amp;"|Вихідні",ПАКЕТИ_КЛЮЧ,0),AD$2+1),0))</f>
        <v>0</v>
      </c>
      <c r="AN7" s="6" t="n">
        <f aca="false">IF(OR(AD$2=0,$N$7=0,$A7=""),0,IFERROR(INDEX(SPA_ЦІНИ,MATCH(INDEX(ДОВ_SPA,MATCH($A7,КАТЕГОРІЇ,0)),SPA_РОЛЬ,0),AD$2),0))</f>
        <v>0</v>
      </c>
      <c r="AO7" s="6" t="n">
        <f aca="false">IF(OR($A7="",AD7=0,AE7=0,AND($N$5=1,$D$4&gt;0,AJ7=0),AND($N$5=1,$F$4&gt;0,AK7=0),AND($N$7=1,AN7=0)),0,1)</f>
        <v>1</v>
      </c>
      <c r="AP7" s="6" t="n">
        <f aca="false">IF(OR(AO7=0,AF7=0,AND($N$5=1,$D$4&gt;0,AL7=0),AND($N$5=1,$F$4&gt;0,AM7=0)),0,1)</f>
        <v>1</v>
      </c>
    </row>
    <row r="8" customFormat="false" ht="15" hidden="false" customHeight="false" outlineLevel="0" collapsed="false">
      <c r="A8" s="19" t="str">
        <f aca="false">IF('Довідник категорій'!A6="","",'Довідник категорій'!A6)</f>
        <v>Міні-котедж East Hill</v>
      </c>
      <c r="B8" s="45" t="n">
        <f aca="false">IF(OR(AA8=0,($D$4+$F$4)=0,($D$4+$F$4)&gt;S8,($D$4+$F$4)&lt;U8),"",ROUND(((P8*Q8+MAX(0,($D$4+$F$4)-T8)*КРОК_ГОСТЯ)*(1-P$3)+($D$4*V8+$F$4*W8)*(1-P$3*P$4)+Z8*(1-P$3*P$5))/ОКРУГЛЕННЯ,0)*ОКРУГЛЕННЯ)</f>
        <v>5248</v>
      </c>
      <c r="C8" s="45" t="n">
        <f aca="false">IF(OR(AB8=0,($D$4+$F$4)=0,($D$4+$F$4)&gt;S8,($D$4+$F$4)&lt;U8),"",ROUND(((P8*Q8*R8+MAX(0,($D$4+$F$4)-T8)*КРОК_ГОСТЯ)*(1-P$3)+($D$4*X8+$F$4*Y8)*(1-P$3*P$4)+Z8*(1-P$3*P$5))/ОКРУГЛЕННЯ,0)*ОКРУГЛЕННЯ)</f>
        <v>5720</v>
      </c>
      <c r="D8" s="45" t="n">
        <f aca="false">IF(OR(AO8=0,($D$4+$F$4)=0,($D$4+$F$4)&gt;AG8,($D$4+$F$4)&lt;AI8),"",ROUND(((AD8*AE8+MAX(0,($D$4+$F$4)-AH8)*КРОК_ГОСТЯ)*(1-AD$3)+($D$4*AJ8+$F$4*AK8)*(1-AD$3*AD$4)+AN8*(1-AD$3*AD$5))/ОКРУГЛЕННЯ,0)*ОКРУГЛЕННЯ)</f>
        <v>5832</v>
      </c>
      <c r="E8" s="45" t="n">
        <f aca="false">IF(OR(AP8=0,($D$4+$F$4)=0,($D$4+$F$4)&gt;AG8,($D$4+$F$4)&lt;AI8),"",ROUND(((AD8*AE8*AF8+MAX(0,($D$4+$F$4)-AH8)*КРОК_ГОСТЯ)*(1-AD$3)+($D$4*AL8+$F$4*AM8)*(1-AD$3*AD$4)+AN8*(1-AD$3*AD$5))/ОКРУГЛЕННЯ,0)*ОКРУГЛЕННЯ)</f>
        <v>6357</v>
      </c>
      <c r="F8" s="45" t="n">
        <f aca="false">IF(OR(B8="",D8=""),"",D8-B8)</f>
        <v>584</v>
      </c>
      <c r="G8" s="45" t="n">
        <f aca="false">IF(OR(C8="",E8=""),"",E8-C8)</f>
        <v>637</v>
      </c>
      <c r="H8" s="47" t="n">
        <f aca="false">IF(OR(B8="",D8="",B8=0),"",D8/B8-1)</f>
        <v>0.111280487804878</v>
      </c>
      <c r="I8" s="47" t="n">
        <f aca="false">IF(OR(C8="",E8="",C8=0),"",E8/C8-1)</f>
        <v>0.111363636363636</v>
      </c>
      <c r="K8" s="54" t="s">
        <v>182</v>
      </c>
      <c r="L8" s="27" t="n">
        <f aca="false">SUMPRODUCT((ПРАЙС_ЛИСТИ&lt;&gt;"")*(COUNTIF(ПРАЙС_ЛИСТИ,ПРАЙС_ЛИСТИ&amp;"")&gt;1))</f>
        <v>0</v>
      </c>
      <c r="P8" s="17" t="n">
        <f aca="false">IF(OR(P$2=0,$A8=""),0,IFERROR(INDEX(БАЗА_RO,MATCH(INDEX(ДОВ_ОПОРА,MATCH($A8,КАТЕГОРІЇ,0)),БАЗА_КАТ,0),P$2),0))</f>
        <v>4998</v>
      </c>
      <c r="Q8" s="18" t="n">
        <f aca="false">IF(OR(P$2=0,$A8=""),0,IFERROR(INDEX(МНОЖНИКИ,MATCH($A8,МНОЖ_КАТ,0),P$2),0))</f>
        <v>1.05</v>
      </c>
      <c r="R8" s="18" t="n">
        <f aca="false">IF(OR(P$2=0,$A8=""),0,IFERROR(INDEX(МНОЖНИКИ,MATCH($A8,МНОЖ_КАТ,0),P$2+1),0))</f>
        <v>1.09</v>
      </c>
      <c r="S8" s="9" t="n">
        <f aca="false">IF($A8="",0,IFERROR(INDEX(ДОВ_МАКС,MATCH($A8,КАТЕГОРІЇ,0)),0))</f>
        <v>3</v>
      </c>
      <c r="T8" s="9" t="n">
        <f aca="false">IF($A8="",0,IFERROR(INDEX(ДОВ_ВКЛ,MATCH($A8,КАТЕГОРІЇ,0)),0))</f>
        <v>2</v>
      </c>
      <c r="U8" s="9" t="n">
        <f aca="false">IF($A8="",0,IFERROR(INDEX(ДОВ_МІН,MATCH($A8,КАТЕГОРІЇ,0)),0))</f>
        <v>1</v>
      </c>
      <c r="V8" s="6" t="n">
        <f aca="false">IF(OR(P$2=0,$N$5=0),0,IFERROR(INDEX(ПАКЕТИ_ЦІНИ,MATCH($N$6&amp;"|Будні",ПАКЕТИ_КЛЮЧ,0),P$2+0),0))</f>
        <v>0</v>
      </c>
      <c r="W8" s="6" t="n">
        <f aca="false">IF(OR(P$2=0,$N$5=0),0,IFERROR(INDEX(ПАКЕТИ_ЦІНИ,MATCH($N$6&amp;"|Будні",ПАКЕТИ_КЛЮЧ,0),P$2+1),0))</f>
        <v>0</v>
      </c>
      <c r="X8" s="6" t="n">
        <f aca="false">IF(OR(P$2=0,$N$5=0),0,IFERROR(INDEX(ПАКЕТИ_ЦІНИ,MATCH($N$6&amp;"|Вихідні",ПАКЕТИ_КЛЮЧ,0),P$2+0),0))</f>
        <v>0</v>
      </c>
      <c r="Y8" s="6" t="n">
        <f aca="false">IF(OR(P$2=0,$N$5=0),0,IFERROR(INDEX(ПАКЕТИ_ЦІНИ,MATCH($N$6&amp;"|Вихідні",ПАКЕТИ_КЛЮЧ,0),P$2+1),0))</f>
        <v>0</v>
      </c>
      <c r="Z8" s="6" t="n">
        <f aca="false">IF(OR(P$2=0,$N$7=0,$A8=""),0,IFERROR(INDEX(SPA_ЦІНИ,MATCH(INDEX(ДОВ_SPA,MATCH($A8,КАТЕГОРІЇ,0)),SPA_РОЛЬ,0),P$2),0))</f>
        <v>0</v>
      </c>
      <c r="AA8" s="6" t="n">
        <f aca="false">IF(OR($A8="",P8=0,Q8=0,AND($N$5=1,$D$4&gt;0,V8=0),AND($N$5=1,$F$4&gt;0,W8=0),AND($N$7=1,Z8=0)),0,1)</f>
        <v>1</v>
      </c>
      <c r="AB8" s="6" t="n">
        <f aca="false">IF(OR(AA8=0,R8=0,AND($N$5=1,$D$4&gt;0,X8=0),AND($N$5=1,$F$4&gt;0,Y8=0)),0,1)</f>
        <v>1</v>
      </c>
      <c r="AD8" s="17" t="n">
        <f aca="false">IF(OR(AD$2=0,$A8=""),0,IFERROR(INDEX(БАЗА_RO,MATCH(INDEX(ДОВ_ОПОРА,MATCH($A8,КАТЕГОРІЇ,0)),БАЗА_КАТ,0),AD$2),0))</f>
        <v>5400</v>
      </c>
      <c r="AE8" s="18" t="n">
        <f aca="false">IF(OR(AD$2=0,$A8=""),0,IFERROR(INDEX(МНОЖНИКИ,MATCH($A8,МНОЖ_КАТ,0),AD$2),0))</f>
        <v>1.08</v>
      </c>
      <c r="AF8" s="18" t="n">
        <f aca="false">IF(OR(AD$2=0,$A8=""),0,IFERROR(INDEX(МНОЖНИКИ,MATCH($A8,МНОЖ_КАТ,0),AD$2+1),0))</f>
        <v>1.09</v>
      </c>
      <c r="AG8" s="9" t="n">
        <f aca="false">IF($A8="",0,IFERROR(INDEX(ДОВ_МАКС,MATCH($A8,КАТЕГОРІЇ,0)),0))</f>
        <v>3</v>
      </c>
      <c r="AH8" s="9" t="n">
        <f aca="false">IF($A8="",0,IFERROR(INDEX(ДОВ_ВКЛ,MATCH($A8,КАТЕГОРІЇ,0)),0))</f>
        <v>2</v>
      </c>
      <c r="AI8" s="9" t="n">
        <f aca="false">IF($A8="",0,IFERROR(INDEX(ДОВ_МІН,MATCH($A8,КАТЕГОРІЇ,0)),0))</f>
        <v>1</v>
      </c>
      <c r="AJ8" s="6" t="n">
        <f aca="false">IF(OR(AD$2=0,$N$5=0),0,IFERROR(INDEX(ПАКЕТИ_ЦІНИ,MATCH($N$6&amp;"|Будні",ПАКЕТИ_КЛЮЧ,0),AD$2+0),0))</f>
        <v>0</v>
      </c>
      <c r="AK8" s="6" t="n">
        <f aca="false">IF(OR(AD$2=0,$N$5=0),0,IFERROR(INDEX(ПАКЕТИ_ЦІНИ,MATCH($N$6&amp;"|Будні",ПАКЕТИ_КЛЮЧ,0),AD$2+1),0))</f>
        <v>0</v>
      </c>
      <c r="AL8" s="6" t="n">
        <f aca="false">IF(OR(AD$2=0,$N$5=0),0,IFERROR(INDEX(ПАКЕТИ_ЦІНИ,MATCH($N$6&amp;"|Вихідні",ПАКЕТИ_КЛЮЧ,0),AD$2+0),0))</f>
        <v>0</v>
      </c>
      <c r="AM8" s="6" t="n">
        <f aca="false">IF(OR(AD$2=0,$N$5=0),0,IFERROR(INDEX(ПАКЕТИ_ЦІНИ,MATCH($N$6&amp;"|Вихідні",ПАКЕТИ_КЛЮЧ,0),AD$2+1),0))</f>
        <v>0</v>
      </c>
      <c r="AN8" s="6" t="n">
        <f aca="false">IF(OR(AD$2=0,$N$7=0,$A8=""),0,IFERROR(INDEX(SPA_ЦІНИ,MATCH(INDEX(ДОВ_SPA,MATCH($A8,КАТЕГОРІЇ,0)),SPA_РОЛЬ,0),AD$2),0))</f>
        <v>0</v>
      </c>
      <c r="AO8" s="6" t="n">
        <f aca="false">IF(OR($A8="",AD8=0,AE8=0,AND($N$5=1,$D$4&gt;0,AJ8=0),AND($N$5=1,$F$4&gt;0,AK8=0),AND($N$7=1,AN8=0)),0,1)</f>
        <v>1</v>
      </c>
      <c r="AP8" s="6" t="n">
        <f aca="false">IF(OR(AO8=0,AF8=0,AND($N$5=1,$D$4&gt;0,AL8=0),AND($N$5=1,$F$4&gt;0,AM8=0)),0,1)</f>
        <v>1</v>
      </c>
    </row>
    <row r="9" customFormat="false" ht="15" hidden="false" customHeight="false" outlineLevel="0" collapsed="false">
      <c r="A9" s="13" t="str">
        <f aca="false">IF('Довідник категорій'!A7="","",'Довідник категорій'!A7)</f>
        <v>Котедж комфорт класу</v>
      </c>
      <c r="B9" s="33" t="n">
        <f aca="false">IF(OR(AA9=0,($D$4+$F$4)=0,($D$4+$F$4)&gt;S9,($D$4+$F$4)&lt;U9),"",ROUND(((P9*Q9+MAX(0,($D$4+$F$4)-T9)*КРОК_ГОСТЯ)*(1-P$3)+($D$4*V9+$F$4*W9)*(1-P$3*P$4)+Z9*(1-P$3*P$5))/ОКРУГЛЕННЯ,0)*ОКРУГЛЕННЯ)</f>
        <v>6580</v>
      </c>
      <c r="C9" s="33" t="n">
        <f aca="false">IF(OR(AB9=0,($D$4+$F$4)=0,($D$4+$F$4)&gt;S9,($D$4+$F$4)&lt;U9),"",ROUND(((P9*Q9*R9+MAX(0,($D$4+$F$4)-T9)*КРОК_ГОСТЯ)*(1-P$3)+($D$4*X9+$F$4*Y9)*(1-P$3*P$4)+Z9*(1-P$3*P$5))/ОКРУГЛЕННЯ,0)*ОКРУГЛЕННЯ)</f>
        <v>7238</v>
      </c>
      <c r="D9" s="33" t="n">
        <f aca="false">IF(OR(AO9=0,($D$4+$F$4)=0,($D$4+$F$4)&gt;AG9,($D$4+$F$4)&lt;AI9),"",ROUND(((AD9*AE9+MAX(0,($D$4+$F$4)-AH9)*КРОК_ГОСТЯ)*(1-AD$3)+($D$4*AJ9+$F$4*AK9)*(1-AD$3*AD$4)+AN9*(1-AD$3*AD$5))/ОКРУГЛЕННЯ,0)*ОКРУГЛЕННЯ)</f>
        <v>7100</v>
      </c>
      <c r="E9" s="33" t="n">
        <f aca="false">IF(OR(AP9=0,($D$4+$F$4)=0,($D$4+$F$4)&gt;AG9,($D$4+$F$4)&lt;AI9),"",ROUND(((AD9*AE9*AF9+MAX(0,($D$4+$F$4)-AH9)*КРОК_ГОСТЯ)*(1-AD$3)+($D$4*AL9+$F$4*AM9)*(1-AD$3*AD$4)+AN9*(1-AD$3*AD$5))/ОКРУГЛЕННЯ,0)*ОКРУГЛЕННЯ)</f>
        <v>7739</v>
      </c>
      <c r="F9" s="33" t="n">
        <f aca="false">IF(OR(B9="",D9=""),"",D9-B9)</f>
        <v>520</v>
      </c>
      <c r="G9" s="33" t="n">
        <f aca="false">IF(OR(C9="",E9=""),"",E9-C9)</f>
        <v>501</v>
      </c>
      <c r="H9" s="55" t="n">
        <f aca="false">IF(OR(B9="",D9="",B9=0),"",D9/B9-1)</f>
        <v>0.0790273556231003</v>
      </c>
      <c r="I9" s="55" t="n">
        <f aca="false">IF(OR(C9="",E9="",C9=0),"",E9/C9-1)</f>
        <v>0.0692180160265268</v>
      </c>
      <c r="P9" s="17" t="n">
        <f aca="false">IF(OR(P$2=0,$A9=""),0,IFERROR(INDEX(БАЗА_RO,MATCH(INDEX(ДОВ_ОПОРА,MATCH($A9,КАТЕГОРІЇ,0)),БАЗА_КАТ,0),P$2),0))</f>
        <v>6580</v>
      </c>
      <c r="Q9" s="18" t="n">
        <f aca="false">IF(OR(P$2=0,$A9=""),0,IFERROR(INDEX(МНОЖНИКИ,MATCH($A9,МНОЖ_КАТ,0),P$2),0))</f>
        <v>1</v>
      </c>
      <c r="R9" s="18" t="n">
        <f aca="false">IF(OR(P$2=0,$A9=""),0,IFERROR(INDEX(МНОЖНИКИ,MATCH($A9,МНОЖ_КАТ,0),P$2+1),0))</f>
        <v>1.1</v>
      </c>
      <c r="S9" s="9" t="n">
        <f aca="false">IF($A9="",0,IFERROR(INDEX(ДОВ_МАКС,MATCH($A9,КАТЕГОРІЇ,0)),0))</f>
        <v>6</v>
      </c>
      <c r="T9" s="9" t="n">
        <f aca="false">IF($A9="",0,IFERROR(INDEX(ДОВ_ВКЛ,MATCH($A9,КАТЕГОРІЇ,0)),0))</f>
        <v>2</v>
      </c>
      <c r="U9" s="9" t="n">
        <f aca="false">IF($A9="",0,IFERROR(INDEX(ДОВ_МІН,MATCH($A9,КАТЕГОРІЇ,0)),0))</f>
        <v>1</v>
      </c>
      <c r="V9" s="6" t="n">
        <f aca="false">IF(OR(P$2=0,$N$5=0),0,IFERROR(INDEX(ПАКЕТИ_ЦІНИ,MATCH($N$6&amp;"|Будні",ПАКЕТИ_КЛЮЧ,0),P$2+0),0))</f>
        <v>0</v>
      </c>
      <c r="W9" s="6" t="n">
        <f aca="false">IF(OR(P$2=0,$N$5=0),0,IFERROR(INDEX(ПАКЕТИ_ЦІНИ,MATCH($N$6&amp;"|Будні",ПАКЕТИ_КЛЮЧ,0),P$2+1),0))</f>
        <v>0</v>
      </c>
      <c r="X9" s="6" t="n">
        <f aca="false">IF(OR(P$2=0,$N$5=0),0,IFERROR(INDEX(ПАКЕТИ_ЦІНИ,MATCH($N$6&amp;"|Вихідні",ПАКЕТИ_КЛЮЧ,0),P$2+0),0))</f>
        <v>0</v>
      </c>
      <c r="Y9" s="6" t="n">
        <f aca="false">IF(OR(P$2=0,$N$5=0),0,IFERROR(INDEX(ПАКЕТИ_ЦІНИ,MATCH($N$6&amp;"|Вихідні",ПАКЕТИ_КЛЮЧ,0),P$2+1),0))</f>
        <v>0</v>
      </c>
      <c r="Z9" s="6" t="n">
        <f aca="false">IF(OR(P$2=0,$N$7=0,$A9=""),0,IFERROR(INDEX(SPA_ЦІНИ,MATCH(INDEX(ДОВ_SPA,MATCH($A9,КАТЕГОРІЇ,0)),SPA_РОЛЬ,0),P$2),0))</f>
        <v>0</v>
      </c>
      <c r="AA9" s="6" t="n">
        <f aca="false">IF(OR($A9="",P9=0,Q9=0,AND($N$5=1,$D$4&gt;0,V9=0),AND($N$5=1,$F$4&gt;0,W9=0),AND($N$7=1,Z9=0)),0,1)</f>
        <v>1</v>
      </c>
      <c r="AB9" s="6" t="n">
        <f aca="false">IF(OR(AA9=0,R9=0,AND($N$5=1,$D$4&gt;0,X9=0),AND($N$5=1,$F$4&gt;0,Y9=0)),0,1)</f>
        <v>1</v>
      </c>
      <c r="AD9" s="17" t="n">
        <f aca="false">IF(OR(AD$2=0,$A9=""),0,IFERROR(INDEX(БАЗА_RO,MATCH(INDEX(ДОВ_ОПОРА,MATCH($A9,КАТЕГОРІЇ,0)),БАЗА_КАТ,0),AD$2),0))</f>
        <v>7100</v>
      </c>
      <c r="AE9" s="18" t="n">
        <f aca="false">IF(OR(AD$2=0,$A9=""),0,IFERROR(INDEX(МНОЖНИКИ,MATCH($A9,МНОЖ_КАТ,0),AD$2),0))</f>
        <v>1</v>
      </c>
      <c r="AF9" s="18" t="n">
        <f aca="false">IF(OR(AD$2=0,$A9=""),0,IFERROR(INDEX(МНОЖНИКИ,MATCH($A9,МНОЖ_КАТ,0),AD$2+1),0))</f>
        <v>1.09</v>
      </c>
      <c r="AG9" s="9" t="n">
        <f aca="false">IF($A9="",0,IFERROR(INDEX(ДОВ_МАКС,MATCH($A9,КАТЕГОРІЇ,0)),0))</f>
        <v>6</v>
      </c>
      <c r="AH9" s="9" t="n">
        <f aca="false">IF($A9="",0,IFERROR(INDEX(ДОВ_ВКЛ,MATCH($A9,КАТЕГОРІЇ,0)),0))</f>
        <v>2</v>
      </c>
      <c r="AI9" s="9" t="n">
        <f aca="false">IF($A9="",0,IFERROR(INDEX(ДОВ_МІН,MATCH($A9,КАТЕГОРІЇ,0)),0))</f>
        <v>1</v>
      </c>
      <c r="AJ9" s="6" t="n">
        <f aca="false">IF(OR(AD$2=0,$N$5=0),0,IFERROR(INDEX(ПАКЕТИ_ЦІНИ,MATCH($N$6&amp;"|Будні",ПАКЕТИ_КЛЮЧ,0),AD$2+0),0))</f>
        <v>0</v>
      </c>
      <c r="AK9" s="6" t="n">
        <f aca="false">IF(OR(AD$2=0,$N$5=0),0,IFERROR(INDEX(ПАКЕТИ_ЦІНИ,MATCH($N$6&amp;"|Будні",ПАКЕТИ_КЛЮЧ,0),AD$2+1),0))</f>
        <v>0</v>
      </c>
      <c r="AL9" s="6" t="n">
        <f aca="false">IF(OR(AD$2=0,$N$5=0),0,IFERROR(INDEX(ПАКЕТИ_ЦІНИ,MATCH($N$6&amp;"|Вихідні",ПАКЕТИ_КЛЮЧ,0),AD$2+0),0))</f>
        <v>0</v>
      </c>
      <c r="AM9" s="6" t="n">
        <f aca="false">IF(OR(AD$2=0,$N$5=0),0,IFERROR(INDEX(ПАКЕТИ_ЦІНИ,MATCH($N$6&amp;"|Вихідні",ПАКЕТИ_КЛЮЧ,0),AD$2+1),0))</f>
        <v>0</v>
      </c>
      <c r="AN9" s="6" t="n">
        <f aca="false">IF(OR(AD$2=0,$N$7=0,$A9=""),0,IFERROR(INDEX(SPA_ЦІНИ,MATCH(INDEX(ДОВ_SPA,MATCH($A9,КАТЕГОРІЇ,0)),SPA_РОЛЬ,0),AD$2),0))</f>
        <v>0</v>
      </c>
      <c r="AO9" s="6" t="n">
        <f aca="false">IF(OR($A9="",AD9=0,AE9=0,AND($N$5=1,$D$4&gt;0,AJ9=0),AND($N$5=1,$F$4&gt;0,AK9=0),AND($N$7=1,AN9=0)),0,1)</f>
        <v>1</v>
      </c>
      <c r="AP9" s="6" t="n">
        <f aca="false">IF(OR(AO9=0,AF9=0,AND($N$5=1,$D$4&gt;0,AL9=0),AND($N$5=1,$F$4&gt;0,AM9=0)),0,1)</f>
        <v>1</v>
      </c>
    </row>
    <row r="10" customFormat="false" ht="25.5" hidden="false" customHeight="true" outlineLevel="0" collapsed="false">
      <c r="A10" s="19" t="str">
        <f aca="false">IF('Довідник категорій'!A8="","",'Довідник категорій'!A8)</f>
        <v>Шале преміум</v>
      </c>
      <c r="B10" s="45" t="n">
        <f aca="false">IF(OR(AA10=0,($D$4+$F$4)=0,($D$4+$F$4)&gt;S10,($D$4+$F$4)&lt;U10),"",ROUND(((P10*Q10+MAX(0,($D$4+$F$4)-T10)*КРОК_ГОСТЯ)*(1-P$3)+($D$4*V10+$F$4*W10)*(1-P$3*P$4)+Z10*(1-P$3*P$5))/ОКРУГЛЕННЯ,0)*ОКРУГЛЕННЯ)</f>
        <v>6909</v>
      </c>
      <c r="C10" s="45" t="n">
        <f aca="false">IF(OR(AB10=0,($D$4+$F$4)=0,($D$4+$F$4)&gt;S10,($D$4+$F$4)&lt;U10),"",ROUND(((P10*Q10*R10+MAX(0,($D$4+$F$4)-T10)*КРОК_ГОСТЯ)*(1-P$3)+($D$4*X10+$F$4*Y10)*(1-P$3*P$4)+Z10*(1-P$3*P$5))/ОКРУГЛЕННЯ,0)*ОКРУГЛЕННЯ)</f>
        <v>7462</v>
      </c>
      <c r="D10" s="45" t="n">
        <f aca="false">IF(OR(AO10=0,($D$4+$F$4)=0,($D$4+$F$4)&gt;AG10,($D$4+$F$4)&lt;AI10),"",ROUND(((AD10*AE10+MAX(0,($D$4+$F$4)-AH10)*КРОК_ГОСТЯ)*(1-AD$3)+($D$4*AJ10+$F$4*AK10)*(1-AD$3*AD$4)+AN10*(1-AD$3*AD$5))/ОКРУГЛЕННЯ,0)*ОКРУГЛЕННЯ)</f>
        <v>7526</v>
      </c>
      <c r="E10" s="45" t="n">
        <f aca="false">IF(OR(AP10=0,($D$4+$F$4)=0,($D$4+$F$4)&gt;AG10,($D$4+$F$4)&lt;AI10),"",ROUND(((AD10*AE10*AF10+MAX(0,($D$4+$F$4)-AH10)*КРОК_ГОСТЯ)*(1-AD$3)+($D$4*AL10+$F$4*AM10)*(1-AD$3*AD$4)+AN10*(1-AD$3*AD$5))/ОКРУГЛЕННЯ,0)*ОКРУГЛЕННЯ)</f>
        <v>8128</v>
      </c>
      <c r="F10" s="45" t="n">
        <f aca="false">IF(OR(B10="",D10=""),"",D10-B10)</f>
        <v>617</v>
      </c>
      <c r="G10" s="45" t="n">
        <f aca="false">IF(OR(C10="",E10=""),"",E10-C10)</f>
        <v>666</v>
      </c>
      <c r="H10" s="47" t="n">
        <f aca="false">IF(OR(B10="",D10="",B10=0),"",D10/B10-1)</f>
        <v>0.0893038066290346</v>
      </c>
      <c r="I10" s="47" t="n">
        <f aca="false">IF(OR(C10="",E10="",C10=0),"",E10/C10-1)</f>
        <v>0.0892522112034306</v>
      </c>
      <c r="K10" s="56" t="str">
        <f aca="false">IF(SUM($L$4:$L$8)=0,"ГОТОВО ДО ПУБЛІКАЦІЇ","ПОТРІБНЕ ЗАПОВНЕННЯ")</f>
        <v>ГОТОВО ДО ПУБЛІКАЦІЇ</v>
      </c>
      <c r="L10" s="56"/>
      <c r="P10" s="17" t="n">
        <f aca="false">IF(OR(P$2=0,$A10=""),0,IFERROR(INDEX(БАЗА_RO,MATCH(INDEX(ДОВ_ОПОРА,MATCH($A10,КАТЕГОРІЇ,0)),БАЗА_КАТ,0),P$2),0))</f>
        <v>6580</v>
      </c>
      <c r="Q10" s="18" t="n">
        <f aca="false">IF(OR(P$2=0,$A10=""),0,IFERROR(INDEX(МНОЖНИКИ,MATCH($A10,МНОЖ_КАТ,0),P$2),0))</f>
        <v>1.05</v>
      </c>
      <c r="R10" s="18" t="n">
        <f aca="false">IF(OR(P$2=0,$A10=""),0,IFERROR(INDEX(МНОЖНИКИ,MATCH($A10,МНОЖ_КАТ,0),P$2+1),0))</f>
        <v>1.08</v>
      </c>
      <c r="S10" s="9" t="n">
        <f aca="false">IF($A10="",0,IFERROR(INDEX(ДОВ_МАКС,MATCH($A10,КАТЕГОРІЇ,0)),0))</f>
        <v>6</v>
      </c>
      <c r="T10" s="9" t="n">
        <f aca="false">IF($A10="",0,IFERROR(INDEX(ДОВ_ВКЛ,MATCH($A10,КАТЕГОРІЇ,0)),0))</f>
        <v>2</v>
      </c>
      <c r="U10" s="9" t="n">
        <f aca="false">IF($A10="",0,IFERROR(INDEX(ДОВ_МІН,MATCH($A10,КАТЕГОРІЇ,0)),0))</f>
        <v>1</v>
      </c>
      <c r="V10" s="6" t="n">
        <f aca="false">IF(OR(P$2=0,$N$5=0),0,IFERROR(INDEX(ПАКЕТИ_ЦІНИ,MATCH($N$6&amp;"|Будні",ПАКЕТИ_КЛЮЧ,0),P$2+0),0))</f>
        <v>0</v>
      </c>
      <c r="W10" s="6" t="n">
        <f aca="false">IF(OR(P$2=0,$N$5=0),0,IFERROR(INDEX(ПАКЕТИ_ЦІНИ,MATCH($N$6&amp;"|Будні",ПАКЕТИ_КЛЮЧ,0),P$2+1),0))</f>
        <v>0</v>
      </c>
      <c r="X10" s="6" t="n">
        <f aca="false">IF(OR(P$2=0,$N$5=0),0,IFERROR(INDEX(ПАКЕТИ_ЦІНИ,MATCH($N$6&amp;"|Вихідні",ПАКЕТИ_КЛЮЧ,0),P$2+0),0))</f>
        <v>0</v>
      </c>
      <c r="Y10" s="6" t="n">
        <f aca="false">IF(OR(P$2=0,$N$5=0),0,IFERROR(INDEX(ПАКЕТИ_ЦІНИ,MATCH($N$6&amp;"|Вихідні",ПАКЕТИ_КЛЮЧ,0),P$2+1),0))</f>
        <v>0</v>
      </c>
      <c r="Z10" s="6" t="n">
        <f aca="false">IF(OR(P$2=0,$N$7=0,$A10=""),0,IFERROR(INDEX(SPA_ЦІНИ,MATCH(INDEX(ДОВ_SPA,MATCH($A10,КАТЕГОРІЇ,0)),SPA_РОЛЬ,0),P$2),0))</f>
        <v>0</v>
      </c>
      <c r="AA10" s="6" t="n">
        <f aca="false">IF(OR($A10="",P10=0,Q10=0,AND($N$5=1,$D$4&gt;0,V10=0),AND($N$5=1,$F$4&gt;0,W10=0),AND($N$7=1,Z10=0)),0,1)</f>
        <v>1</v>
      </c>
      <c r="AB10" s="6" t="n">
        <f aca="false">IF(OR(AA10=0,R10=0,AND($N$5=1,$D$4&gt;0,X10=0),AND($N$5=1,$F$4&gt;0,Y10=0)),0,1)</f>
        <v>1</v>
      </c>
      <c r="AD10" s="17" t="n">
        <f aca="false">IF(OR(AD$2=0,$A10=""),0,IFERROR(INDEX(БАЗА_RO,MATCH(INDEX(ДОВ_ОПОРА,MATCH($A10,КАТЕГОРІЇ,0)),БАЗА_КАТ,0),AD$2),0))</f>
        <v>7100</v>
      </c>
      <c r="AE10" s="18" t="n">
        <f aca="false">IF(OR(AD$2=0,$A10=""),0,IFERROR(INDEX(МНОЖНИКИ,MATCH($A10,МНОЖ_КАТ,0),AD$2),0))</f>
        <v>1.06</v>
      </c>
      <c r="AF10" s="18" t="n">
        <f aca="false">IF(OR(AD$2=0,$A10=""),0,IFERROR(INDEX(МНОЖНИКИ,MATCH($A10,МНОЖ_КАТ,0),AD$2+1),0))</f>
        <v>1.08</v>
      </c>
      <c r="AG10" s="9" t="n">
        <f aca="false">IF($A10="",0,IFERROR(INDEX(ДОВ_МАКС,MATCH($A10,КАТЕГОРІЇ,0)),0))</f>
        <v>6</v>
      </c>
      <c r="AH10" s="9" t="n">
        <f aca="false">IF($A10="",0,IFERROR(INDEX(ДОВ_ВКЛ,MATCH($A10,КАТЕГОРІЇ,0)),0))</f>
        <v>2</v>
      </c>
      <c r="AI10" s="9" t="n">
        <f aca="false">IF($A10="",0,IFERROR(INDEX(ДОВ_МІН,MATCH($A10,КАТЕГОРІЇ,0)),0))</f>
        <v>1</v>
      </c>
      <c r="AJ10" s="6" t="n">
        <f aca="false">IF(OR(AD$2=0,$N$5=0),0,IFERROR(INDEX(ПАКЕТИ_ЦІНИ,MATCH($N$6&amp;"|Будні",ПАКЕТИ_КЛЮЧ,0),AD$2+0),0))</f>
        <v>0</v>
      </c>
      <c r="AK10" s="6" t="n">
        <f aca="false">IF(OR(AD$2=0,$N$5=0),0,IFERROR(INDEX(ПАКЕТИ_ЦІНИ,MATCH($N$6&amp;"|Будні",ПАКЕТИ_КЛЮЧ,0),AD$2+1),0))</f>
        <v>0</v>
      </c>
      <c r="AL10" s="6" t="n">
        <f aca="false">IF(OR(AD$2=0,$N$5=0),0,IFERROR(INDEX(ПАКЕТИ_ЦІНИ,MATCH($N$6&amp;"|Вихідні",ПАКЕТИ_КЛЮЧ,0),AD$2+0),0))</f>
        <v>0</v>
      </c>
      <c r="AM10" s="6" t="n">
        <f aca="false">IF(OR(AD$2=0,$N$5=0),0,IFERROR(INDEX(ПАКЕТИ_ЦІНИ,MATCH($N$6&amp;"|Вихідні",ПАКЕТИ_КЛЮЧ,0),AD$2+1),0))</f>
        <v>0</v>
      </c>
      <c r="AN10" s="6" t="n">
        <f aca="false">IF(OR(AD$2=0,$N$7=0,$A10=""),0,IFERROR(INDEX(SPA_ЦІНИ,MATCH(INDEX(ДОВ_SPA,MATCH($A10,КАТЕГОРІЇ,0)),SPA_РОЛЬ,0),AD$2),0))</f>
        <v>0</v>
      </c>
      <c r="AO10" s="6" t="n">
        <f aca="false">IF(OR($A10="",AD10=0,AE10=0,AND($N$5=1,$D$4&gt;0,AJ10=0),AND($N$5=1,$F$4&gt;0,AK10=0),AND($N$7=1,AN10=0)),0,1)</f>
        <v>1</v>
      </c>
      <c r="AP10" s="6" t="n">
        <f aca="false">IF(OR(AO10=0,AF10=0,AND($N$5=1,$D$4&gt;0,AL10=0),AND($N$5=1,$F$4&gt;0,AM10=0)),0,1)</f>
        <v>1</v>
      </c>
    </row>
    <row r="11" customFormat="false" ht="15" hidden="false" customHeight="false" outlineLevel="0" collapsed="false">
      <c r="A11" s="13" t="str">
        <f aca="false">IF('Довідник категорій'!A9="","",'Довідник категорій'!A9)</f>
        <v>Шале преміум збільшене</v>
      </c>
      <c r="B11" s="33" t="n">
        <f aca="false">IF(OR(AA11=0,($D$4+$F$4)=0,($D$4+$F$4)&gt;S11,($D$4+$F$4)&lt;U11),"",ROUND(((P11*Q11+MAX(0,($D$4+$F$4)-T11)*КРОК_ГОСТЯ)*(1-P$3)+($D$4*V11+$F$4*W11)*(1-P$3*P$4)+Z11*(1-P$3*P$5))/ОКРУГЛЕННЯ,0)*ОКРУГЛЕННЯ)</f>
        <v>7238</v>
      </c>
      <c r="C11" s="33" t="n">
        <f aca="false">IF(OR(AB11=0,($D$4+$F$4)=0,($D$4+$F$4)&gt;S11,($D$4+$F$4)&lt;U11),"",ROUND(((P11*Q11*R11+MAX(0,($D$4+$F$4)-T11)*КРОК_ГОСТЯ)*(1-P$3)+($D$4*X11+$F$4*Y11)*(1-P$3*P$4)+Z11*(1-P$3*P$5))/ОКРУГЛЕННЯ,0)*ОКРУГЛЕННЯ)</f>
        <v>7745</v>
      </c>
      <c r="D11" s="33" t="n">
        <f aca="false">IF(OR(AO11=0,($D$4+$F$4)=0,($D$4+$F$4)&gt;AG11,($D$4+$F$4)&lt;AI11),"",ROUND(((AD11*AE11+MAX(0,($D$4+$F$4)-AH11)*КРОК_ГОСТЯ)*(1-AD$3)+($D$4*AJ11+$F$4*AK11)*(1-AD$3*AD$4)+AN11*(1-AD$3*AD$5))/ОКРУГЛЕННЯ,0)*ОКРУГЛЕННЯ)</f>
        <v>7810</v>
      </c>
      <c r="E11" s="33" t="n">
        <f aca="false">IF(OR(AP11=0,($D$4+$F$4)=0,($D$4+$F$4)&gt;AG11,($D$4+$F$4)&lt;AI11),"",ROUND(((AD11*AE11*AF11+MAX(0,($D$4+$F$4)-AH11)*КРОК_ГОСТЯ)*(1-AD$3)+($D$4*AL11+$F$4*AM11)*(1-AD$3*AD$4)+AN11*(1-AD$3*AD$5))/ОКРУГЛЕННЯ,0)*ОКРУГЛЕННЯ)</f>
        <v>8357</v>
      </c>
      <c r="F11" s="33" t="n">
        <f aca="false">IF(OR(B11="",D11=""),"",D11-B11)</f>
        <v>572</v>
      </c>
      <c r="G11" s="33" t="n">
        <f aca="false">IF(OR(C11="",E11=""),"",E11-C11)</f>
        <v>612</v>
      </c>
      <c r="H11" s="55" t="n">
        <f aca="false">IF(OR(B11="",D11="",B11=0),"",D11/B11-1)</f>
        <v>0.0790273556231003</v>
      </c>
      <c r="I11" s="55" t="n">
        <f aca="false">IF(OR(C11="",E11="",C11=0),"",E11/C11-1)</f>
        <v>0.0790187217559717</v>
      </c>
      <c r="P11" s="17" t="n">
        <f aca="false">IF(OR(P$2=0,$A11=""),0,IFERROR(INDEX(БАЗА_RO,MATCH(INDEX(ДОВ_ОПОРА,MATCH($A11,КАТЕГОРІЇ,0)),БАЗА_КАТ,0),P$2),0))</f>
        <v>6580</v>
      </c>
      <c r="Q11" s="18" t="n">
        <f aca="false">IF(OR(P$2=0,$A11=""),0,IFERROR(INDEX(МНОЖНИКИ,MATCH($A11,МНОЖ_КАТ,0),P$2),0))</f>
        <v>1.1</v>
      </c>
      <c r="R11" s="18" t="n">
        <f aca="false">IF(OR(P$2=0,$A11=""),0,IFERROR(INDEX(МНОЖНИКИ,MATCH($A11,МНОЖ_КАТ,0),P$2+1),0))</f>
        <v>1.07</v>
      </c>
      <c r="S11" s="9" t="n">
        <f aca="false">IF($A11="",0,IFERROR(INDEX(ДОВ_МАКС,MATCH($A11,КАТЕГОРІЇ,0)),0))</f>
        <v>6</v>
      </c>
      <c r="T11" s="9" t="n">
        <f aca="false">IF($A11="",0,IFERROR(INDEX(ДОВ_ВКЛ,MATCH($A11,КАТЕГОРІЇ,0)),0))</f>
        <v>2</v>
      </c>
      <c r="U11" s="9" t="n">
        <f aca="false">IF($A11="",0,IFERROR(INDEX(ДОВ_МІН,MATCH($A11,КАТЕГОРІЇ,0)),0))</f>
        <v>1</v>
      </c>
      <c r="V11" s="6" t="n">
        <f aca="false">IF(OR(P$2=0,$N$5=0),0,IFERROR(INDEX(ПАКЕТИ_ЦІНИ,MATCH($N$6&amp;"|Будні",ПАКЕТИ_КЛЮЧ,0),P$2+0),0))</f>
        <v>0</v>
      </c>
      <c r="W11" s="6" t="n">
        <f aca="false">IF(OR(P$2=0,$N$5=0),0,IFERROR(INDEX(ПАКЕТИ_ЦІНИ,MATCH($N$6&amp;"|Будні",ПАКЕТИ_КЛЮЧ,0),P$2+1),0))</f>
        <v>0</v>
      </c>
      <c r="X11" s="6" t="n">
        <f aca="false">IF(OR(P$2=0,$N$5=0),0,IFERROR(INDEX(ПАКЕТИ_ЦІНИ,MATCH($N$6&amp;"|Вихідні",ПАКЕТИ_КЛЮЧ,0),P$2+0),0))</f>
        <v>0</v>
      </c>
      <c r="Y11" s="6" t="n">
        <f aca="false">IF(OR(P$2=0,$N$5=0),0,IFERROR(INDEX(ПАКЕТИ_ЦІНИ,MATCH($N$6&amp;"|Вихідні",ПАКЕТИ_КЛЮЧ,0),P$2+1),0))</f>
        <v>0</v>
      </c>
      <c r="Z11" s="6" t="n">
        <f aca="false">IF(OR(P$2=0,$N$7=0,$A11=""),0,IFERROR(INDEX(SPA_ЦІНИ,MATCH(INDEX(ДОВ_SPA,MATCH($A11,КАТЕГОРІЇ,0)),SPA_РОЛЬ,0),P$2),0))</f>
        <v>0</v>
      </c>
      <c r="AA11" s="6" t="n">
        <f aca="false">IF(OR($A11="",P11=0,Q11=0,AND($N$5=1,$D$4&gt;0,V11=0),AND($N$5=1,$F$4&gt;0,W11=0),AND($N$7=1,Z11=0)),0,1)</f>
        <v>1</v>
      </c>
      <c r="AB11" s="6" t="n">
        <f aca="false">IF(OR(AA11=0,R11=0,AND($N$5=1,$D$4&gt;0,X11=0),AND($N$5=1,$F$4&gt;0,Y11=0)),0,1)</f>
        <v>1</v>
      </c>
      <c r="AD11" s="17" t="n">
        <f aca="false">IF(OR(AD$2=0,$A11=""),0,IFERROR(INDEX(БАЗА_RO,MATCH(INDEX(ДОВ_ОПОРА,MATCH($A11,КАТЕГОРІЇ,0)),БАЗА_КАТ,0),AD$2),0))</f>
        <v>7100</v>
      </c>
      <c r="AE11" s="18" t="n">
        <f aca="false">IF(OR(AD$2=0,$A11=""),0,IFERROR(INDEX(МНОЖНИКИ,MATCH($A11,МНОЖ_КАТ,0),AD$2),0))</f>
        <v>1.1</v>
      </c>
      <c r="AF11" s="18" t="n">
        <f aca="false">IF(OR(AD$2=0,$A11=""),0,IFERROR(INDEX(МНОЖНИКИ,MATCH($A11,МНОЖ_КАТ,0),AD$2+1),0))</f>
        <v>1.07</v>
      </c>
      <c r="AG11" s="9" t="n">
        <f aca="false">IF($A11="",0,IFERROR(INDEX(ДОВ_МАКС,MATCH($A11,КАТЕГОРІЇ,0)),0))</f>
        <v>6</v>
      </c>
      <c r="AH11" s="9" t="n">
        <f aca="false">IF($A11="",0,IFERROR(INDEX(ДОВ_ВКЛ,MATCH($A11,КАТЕГОРІЇ,0)),0))</f>
        <v>2</v>
      </c>
      <c r="AI11" s="9" t="n">
        <f aca="false">IF($A11="",0,IFERROR(INDEX(ДОВ_МІН,MATCH($A11,КАТЕГОРІЇ,0)),0))</f>
        <v>1</v>
      </c>
      <c r="AJ11" s="6" t="n">
        <f aca="false">IF(OR(AD$2=0,$N$5=0),0,IFERROR(INDEX(ПАКЕТИ_ЦІНИ,MATCH($N$6&amp;"|Будні",ПАКЕТИ_КЛЮЧ,0),AD$2+0),0))</f>
        <v>0</v>
      </c>
      <c r="AK11" s="6" t="n">
        <f aca="false">IF(OR(AD$2=0,$N$5=0),0,IFERROR(INDEX(ПАКЕТИ_ЦІНИ,MATCH($N$6&amp;"|Будні",ПАКЕТИ_КЛЮЧ,0),AD$2+1),0))</f>
        <v>0</v>
      </c>
      <c r="AL11" s="6" t="n">
        <f aca="false">IF(OR(AD$2=0,$N$5=0),0,IFERROR(INDEX(ПАКЕТИ_ЦІНИ,MATCH($N$6&amp;"|Вихідні",ПАКЕТИ_КЛЮЧ,0),AD$2+0),0))</f>
        <v>0</v>
      </c>
      <c r="AM11" s="6" t="n">
        <f aca="false">IF(OR(AD$2=0,$N$5=0),0,IFERROR(INDEX(ПАКЕТИ_ЦІНИ,MATCH($N$6&amp;"|Вихідні",ПАКЕТИ_КЛЮЧ,0),AD$2+1),0))</f>
        <v>0</v>
      </c>
      <c r="AN11" s="6" t="n">
        <f aca="false">IF(OR(AD$2=0,$N$7=0,$A11=""),0,IFERROR(INDEX(SPA_ЦІНИ,MATCH(INDEX(ДОВ_SPA,MATCH($A11,КАТЕГОРІЇ,0)),SPA_РОЛЬ,0),AD$2),0))</f>
        <v>0</v>
      </c>
      <c r="AO11" s="6" t="n">
        <f aca="false">IF(OR($A11="",AD11=0,AE11=0,AND($N$5=1,$D$4&gt;0,AJ11=0),AND($N$5=1,$F$4&gt;0,AK11=0),AND($N$7=1,AN11=0)),0,1)</f>
        <v>1</v>
      </c>
      <c r="AP11" s="6" t="n">
        <f aca="false">IF(OR(AO11=0,AF11=0,AND($N$5=1,$D$4&gt;0,AL11=0),AND($N$5=1,$F$4&gt;0,AM11=0)),0,1)</f>
        <v>1</v>
      </c>
    </row>
    <row r="12" customFormat="false" ht="15" hidden="false" customHeight="false" outlineLevel="0" collapsed="false">
      <c r="A12" s="19" t="str">
        <f aca="false">IF('Довідник категорій'!A10="","",'Довідник категорій'!A10)</f>
        <v>Шале преміум збільшене East Hill</v>
      </c>
      <c r="B12" s="45" t="n">
        <f aca="false">IF(OR(AA12=0,($D$4+$F$4)=0,($D$4+$F$4)&gt;S12,($D$4+$F$4)&lt;U12),"",ROUND(((P12*Q12+MAX(0,($D$4+$F$4)-T12)*КРОК_ГОСТЯ)*(1-P$3)+($D$4*V12+$F$4*W12)*(1-P$3*P$4)+Z12*(1-P$3*P$5))/ОКРУГЛЕННЯ,0)*ОКРУГЛЕННЯ)</f>
        <v>7567</v>
      </c>
      <c r="C12" s="45" t="n">
        <f aca="false">IF(OR(AB12=0,($D$4+$F$4)=0,($D$4+$F$4)&gt;S12,($D$4+$F$4)&lt;U12),"",ROUND(((P12*Q12*R12+MAX(0,($D$4+$F$4)-T12)*КРОК_ГОСТЯ)*(1-P$3)+($D$4*X12+$F$4*Y12)*(1-P$3*P$4)+Z12*(1-P$3*P$5))/ОКРУГЛЕННЯ,0)*ОКРУГЛЕННЯ)</f>
        <v>8021</v>
      </c>
      <c r="D12" s="45" t="n">
        <f aca="false">IF(OR(AO12=0,($D$4+$F$4)=0,($D$4+$F$4)&gt;AG12,($D$4+$F$4)&lt;AI12),"",ROUND(((AD12*AE12+MAX(0,($D$4+$F$4)-AH12)*КРОК_ГОСТЯ)*(1-AD$3)+($D$4*AJ12+$F$4*AK12)*(1-AD$3*AD$4)+AN12*(1-AD$3*AD$5))/ОКРУГЛЕННЯ,0)*ОКРУГЛЕННЯ)</f>
        <v>8165</v>
      </c>
      <c r="E12" s="45" t="n">
        <f aca="false">IF(OR(AP12=0,($D$4+$F$4)=0,($D$4+$F$4)&gt;AG12,($D$4+$F$4)&lt;AI12),"",ROUND(((AD12*AE12*AF12+MAX(0,($D$4+$F$4)-AH12)*КРОК_ГОСТЯ)*(1-AD$3)+($D$4*AL12+$F$4*AM12)*(1-AD$3*AD$4)+AN12*(1-AD$3*AD$5))/ОКРУГЛЕННЯ,0)*ОКРУГЛЕННЯ)</f>
        <v>8655</v>
      </c>
      <c r="F12" s="45" t="n">
        <f aca="false">IF(OR(B12="",D12=""),"",D12-B12)</f>
        <v>598</v>
      </c>
      <c r="G12" s="45" t="n">
        <f aca="false">IF(OR(C12="",E12=""),"",E12-C12)</f>
        <v>634</v>
      </c>
      <c r="H12" s="47" t="n">
        <f aca="false">IF(OR(B12="",D12="",B12=0),"",D12/B12-1)</f>
        <v>0.0790273556231003</v>
      </c>
      <c r="I12" s="47" t="n">
        <f aca="false">IF(OR(C12="",E12="",C12=0),"",E12/C12-1)</f>
        <v>0.0790425134023189</v>
      </c>
      <c r="K12" s="54" t="s">
        <v>183</v>
      </c>
      <c r="L12" s="20" t="str">
        <f aca="false">IF(COUNT(INDEX(ПАКЕТИ_ЦІНИ,3,$N$3),INDEX(ПАКЕТИ_ЦІНИ,3,$N$3+1),INDEX(ПАКЕТИ_ЦІНИ,4,$N$3),INDEX(ПАКЕТИ_ЦІНИ,4,$N$3+1))=4,"так","ні — пакет недоступний")</f>
        <v>ні — пакет недоступний</v>
      </c>
      <c r="P12" s="17" t="n">
        <f aca="false">IF(OR(P$2=0,$A12=""),0,IFERROR(INDEX(БАЗА_RO,MATCH(INDEX(ДОВ_ОПОРА,MATCH($A12,КАТЕГОРІЇ,0)),БАЗА_КАТ,0),P$2),0))</f>
        <v>6580</v>
      </c>
      <c r="Q12" s="18" t="n">
        <f aca="false">IF(OR(P$2=0,$A12=""),0,IFERROR(INDEX(МНОЖНИКИ,MATCH($A12,МНОЖ_КАТ,0),P$2),0))</f>
        <v>1.15</v>
      </c>
      <c r="R12" s="18" t="n">
        <f aca="false">IF(OR(P$2=0,$A12=""),0,IFERROR(INDEX(МНОЖНИКИ,MATCH($A12,МНОЖ_КАТ,0),P$2+1),0))</f>
        <v>1.06</v>
      </c>
      <c r="S12" s="9" t="n">
        <f aca="false">IF($A12="",0,IFERROR(INDEX(ДОВ_МАКС,MATCH($A12,КАТЕГОРІЇ,0)),0))</f>
        <v>6</v>
      </c>
      <c r="T12" s="9" t="n">
        <f aca="false">IF($A12="",0,IFERROR(INDEX(ДОВ_ВКЛ,MATCH($A12,КАТЕГОРІЇ,0)),0))</f>
        <v>2</v>
      </c>
      <c r="U12" s="9" t="n">
        <f aca="false">IF($A12="",0,IFERROR(INDEX(ДОВ_МІН,MATCH($A12,КАТЕГОРІЇ,0)),0))</f>
        <v>1</v>
      </c>
      <c r="V12" s="6" t="n">
        <f aca="false">IF(OR(P$2=0,$N$5=0),0,IFERROR(INDEX(ПАКЕТИ_ЦІНИ,MATCH($N$6&amp;"|Будні",ПАКЕТИ_КЛЮЧ,0),P$2+0),0))</f>
        <v>0</v>
      </c>
      <c r="W12" s="6" t="n">
        <f aca="false">IF(OR(P$2=0,$N$5=0),0,IFERROR(INDEX(ПАКЕТИ_ЦІНИ,MATCH($N$6&amp;"|Будні",ПАКЕТИ_КЛЮЧ,0),P$2+1),0))</f>
        <v>0</v>
      </c>
      <c r="X12" s="6" t="n">
        <f aca="false">IF(OR(P$2=0,$N$5=0),0,IFERROR(INDEX(ПАКЕТИ_ЦІНИ,MATCH($N$6&amp;"|Вихідні",ПАКЕТИ_КЛЮЧ,0),P$2+0),0))</f>
        <v>0</v>
      </c>
      <c r="Y12" s="6" t="n">
        <f aca="false">IF(OR(P$2=0,$N$5=0),0,IFERROR(INDEX(ПАКЕТИ_ЦІНИ,MATCH($N$6&amp;"|Вихідні",ПАКЕТИ_КЛЮЧ,0),P$2+1),0))</f>
        <v>0</v>
      </c>
      <c r="Z12" s="6" t="n">
        <f aca="false">IF(OR(P$2=0,$N$7=0,$A12=""),0,IFERROR(INDEX(SPA_ЦІНИ,MATCH(INDEX(ДОВ_SPA,MATCH($A12,КАТЕГОРІЇ,0)),SPA_РОЛЬ,0),P$2),0))</f>
        <v>0</v>
      </c>
      <c r="AA12" s="6" t="n">
        <f aca="false">IF(OR($A12="",P12=0,Q12=0,AND($N$5=1,$D$4&gt;0,V12=0),AND($N$5=1,$F$4&gt;0,W12=0),AND($N$7=1,Z12=0)),0,1)</f>
        <v>1</v>
      </c>
      <c r="AB12" s="6" t="n">
        <f aca="false">IF(OR(AA12=0,R12=0,AND($N$5=1,$D$4&gt;0,X12=0),AND($N$5=1,$F$4&gt;0,Y12=0)),0,1)</f>
        <v>1</v>
      </c>
      <c r="AD12" s="17" t="n">
        <f aca="false">IF(OR(AD$2=0,$A12=""),0,IFERROR(INDEX(БАЗА_RO,MATCH(INDEX(ДОВ_ОПОРА,MATCH($A12,КАТЕГОРІЇ,0)),БАЗА_КАТ,0),AD$2),0))</f>
        <v>7100</v>
      </c>
      <c r="AE12" s="18" t="n">
        <f aca="false">IF(OR(AD$2=0,$A12=""),0,IFERROR(INDEX(МНОЖНИКИ,MATCH($A12,МНОЖ_КАТ,0),AD$2),0))</f>
        <v>1.15</v>
      </c>
      <c r="AF12" s="18" t="n">
        <f aca="false">IF(OR(AD$2=0,$A12=""),0,IFERROR(INDEX(МНОЖНИКИ,MATCH($A12,МНОЖ_КАТ,0),AD$2+1),0))</f>
        <v>1.06</v>
      </c>
      <c r="AG12" s="9" t="n">
        <f aca="false">IF($A12="",0,IFERROR(INDEX(ДОВ_МАКС,MATCH($A12,КАТЕГОРІЇ,0)),0))</f>
        <v>6</v>
      </c>
      <c r="AH12" s="9" t="n">
        <f aca="false">IF($A12="",0,IFERROR(INDEX(ДОВ_ВКЛ,MATCH($A12,КАТЕГОРІЇ,0)),0))</f>
        <v>2</v>
      </c>
      <c r="AI12" s="9" t="n">
        <f aca="false">IF($A12="",0,IFERROR(INDEX(ДОВ_МІН,MATCH($A12,КАТЕГОРІЇ,0)),0))</f>
        <v>1</v>
      </c>
      <c r="AJ12" s="6" t="n">
        <f aca="false">IF(OR(AD$2=0,$N$5=0),0,IFERROR(INDEX(ПАКЕТИ_ЦІНИ,MATCH($N$6&amp;"|Будні",ПАКЕТИ_КЛЮЧ,0),AD$2+0),0))</f>
        <v>0</v>
      </c>
      <c r="AK12" s="6" t="n">
        <f aca="false">IF(OR(AD$2=0,$N$5=0),0,IFERROR(INDEX(ПАКЕТИ_ЦІНИ,MATCH($N$6&amp;"|Будні",ПАКЕТИ_КЛЮЧ,0),AD$2+1),0))</f>
        <v>0</v>
      </c>
      <c r="AL12" s="6" t="n">
        <f aca="false">IF(OR(AD$2=0,$N$5=0),0,IFERROR(INDEX(ПАКЕТИ_ЦІНИ,MATCH($N$6&amp;"|Вихідні",ПАКЕТИ_КЛЮЧ,0),AD$2+0),0))</f>
        <v>0</v>
      </c>
      <c r="AM12" s="6" t="n">
        <f aca="false">IF(OR(AD$2=0,$N$5=0),0,IFERROR(INDEX(ПАКЕТИ_ЦІНИ,MATCH($N$6&amp;"|Вихідні",ПАКЕТИ_КЛЮЧ,0),AD$2+1),0))</f>
        <v>0</v>
      </c>
      <c r="AN12" s="6" t="n">
        <f aca="false">IF(OR(AD$2=0,$N$7=0,$A12=""),0,IFERROR(INDEX(SPA_ЦІНИ,MATCH(INDEX(ДОВ_SPA,MATCH($A12,КАТЕГОРІЇ,0)),SPA_РОЛЬ,0),AD$2),0))</f>
        <v>0</v>
      </c>
      <c r="AO12" s="6" t="n">
        <f aca="false">IF(OR($A12="",AD12=0,AE12=0,AND($N$5=1,$D$4&gt;0,AJ12=0),AND($N$5=1,$F$4&gt;0,AK12=0),AND($N$7=1,AN12=0)),0,1)</f>
        <v>1</v>
      </c>
      <c r="AP12" s="6" t="n">
        <f aca="false">IF(OR(AO12=0,AF12=0,AND($N$5=1,$D$4&gt;0,AL12=0),AND($N$5=1,$F$4&gt;0,AM12=0)),0,1)</f>
        <v>1</v>
      </c>
    </row>
    <row r="13" customFormat="false" ht="15" hidden="false" customHeight="false" outlineLevel="0" collapsed="false">
      <c r="A13" s="13" t="str">
        <f aca="false">IF('Довідник категорій'!A11="","",'Довідник категорій'!A11)</f>
        <v>Президентське шале</v>
      </c>
      <c r="B13" s="33" t="n">
        <f aca="false">IF(OR(AA13=0,($D$4+$F$4)=0,($D$4+$F$4)&gt;S13,($D$4+$F$4)&lt;U13),"",ROUND(((P13*Q13+MAX(0,($D$4+$F$4)-T13)*КРОК_ГОСТЯ)*(1-P$3)+($D$4*V13+$F$4*W13)*(1-P$3*P$4)+Z13*(1-P$3*P$5))/ОКРУГЛЕННЯ,0)*ОКРУГЛЕННЯ)</f>
        <v>9870</v>
      </c>
      <c r="C13" s="33" t="n">
        <f aca="false">IF(OR(AB13=0,($D$4+$F$4)=0,($D$4+$F$4)&gt;S13,($D$4+$F$4)&lt;U13),"",ROUND(((P13*Q13*R13+MAX(0,($D$4+$F$4)-T13)*КРОК_ГОСТЯ)*(1-P$3)+($D$4*X13+$F$4*Y13)*(1-P$3*P$4)+Z13*(1-P$3*P$5))/ОКРУГЛЕННЯ,0)*ОКРУГЛЕННЯ)</f>
        <v>10265</v>
      </c>
      <c r="D13" s="33" t="n">
        <f aca="false">IF(OR(AO13=0,($D$4+$F$4)=0,($D$4+$F$4)&gt;AG13,($D$4+$F$4)&lt;AI13),"",ROUND(((AD13*AE13+MAX(0,($D$4+$F$4)-AH13)*КРОК_ГОСТЯ)*(1-AD$3)+($D$4*AJ13+$F$4*AK13)*(1-AD$3*AD$4)+AN13*(1-AD$3*AD$5))/ОКРУГЛЕННЯ,0)*ОКРУГЛЕННЯ)</f>
        <v>10650</v>
      </c>
      <c r="E13" s="33" t="n">
        <f aca="false">IF(OR(AP13=0,($D$4+$F$4)=0,($D$4+$F$4)&gt;AG13,($D$4+$F$4)&lt;AI13),"",ROUND(((AD13*AE13*AF13+MAX(0,($D$4+$F$4)-AH13)*КРОК_ГОСТЯ)*(1-AD$3)+($D$4*AL13+$F$4*AM13)*(1-AD$3*AD$4)+AN13*(1-AD$3*AD$5))/ОКРУГЛЕННЯ,0)*ОКРУГЛЕННЯ)</f>
        <v>11076</v>
      </c>
      <c r="F13" s="33" t="n">
        <f aca="false">IF(OR(B13="",D13=""),"",D13-B13)</f>
        <v>780</v>
      </c>
      <c r="G13" s="33" t="n">
        <f aca="false">IF(OR(C13="",E13=""),"",E13-C13)</f>
        <v>811</v>
      </c>
      <c r="H13" s="55" t="n">
        <f aca="false">IF(OR(B13="",D13="",B13=0),"",D13/B13-1)</f>
        <v>0.0790273556231003</v>
      </c>
      <c r="I13" s="55" t="n">
        <f aca="false">IF(OR(C13="",E13="",C13=0),"",E13/C13-1)</f>
        <v>0.0790063321967851</v>
      </c>
      <c r="K13" s="54" t="s">
        <v>184</v>
      </c>
      <c r="L13" s="57" t="n">
        <f aca="false">COUNTIF(ПРАЙС_ЛИСТИ,"&lt;&gt;")</f>
        <v>14</v>
      </c>
      <c r="P13" s="17" t="n">
        <f aca="false">IF(OR(P$2=0,$A13=""),0,IFERROR(INDEX(БАЗА_RO,MATCH(INDEX(ДОВ_ОПОРА,MATCH($A13,КАТЕГОРІЇ,0)),БАЗА_КАТ,0),P$2),0))</f>
        <v>6580</v>
      </c>
      <c r="Q13" s="18" t="n">
        <f aca="false">IF(OR(P$2=0,$A13=""),0,IFERROR(INDEX(МНОЖНИКИ,MATCH($A13,МНОЖ_КАТ,0),P$2),0))</f>
        <v>1.5</v>
      </c>
      <c r="R13" s="18" t="n">
        <f aca="false">IF(OR(P$2=0,$A13=""),0,IFERROR(INDEX(МНОЖНИКИ,MATCH($A13,МНОЖ_КАТ,0),P$2+1),0))</f>
        <v>1.04</v>
      </c>
      <c r="S13" s="9" t="n">
        <f aca="false">IF($A13="",0,IFERROR(INDEX(ДОВ_МАКС,MATCH($A13,КАТЕГОРІЇ,0)),0))</f>
        <v>8</v>
      </c>
      <c r="T13" s="9" t="n">
        <f aca="false">IF($A13="",0,IFERROR(INDEX(ДОВ_ВКЛ,MATCH($A13,КАТЕГОРІЇ,0)),0))</f>
        <v>2</v>
      </c>
      <c r="U13" s="9" t="n">
        <f aca="false">IF($A13="",0,IFERROR(INDEX(ДОВ_МІН,MATCH($A13,КАТЕГОРІЇ,0)),0))</f>
        <v>1</v>
      </c>
      <c r="V13" s="6" t="n">
        <f aca="false">IF(OR(P$2=0,$N$5=0),0,IFERROR(INDEX(ПАКЕТИ_ЦІНИ,MATCH($N$6&amp;"|Будні",ПАКЕТИ_КЛЮЧ,0),P$2+0),0))</f>
        <v>0</v>
      </c>
      <c r="W13" s="6" t="n">
        <f aca="false">IF(OR(P$2=0,$N$5=0),0,IFERROR(INDEX(ПАКЕТИ_ЦІНИ,MATCH($N$6&amp;"|Будні",ПАКЕТИ_КЛЮЧ,0),P$2+1),0))</f>
        <v>0</v>
      </c>
      <c r="X13" s="6" t="n">
        <f aca="false">IF(OR(P$2=0,$N$5=0),0,IFERROR(INDEX(ПАКЕТИ_ЦІНИ,MATCH($N$6&amp;"|Вихідні",ПАКЕТИ_КЛЮЧ,0),P$2+0),0))</f>
        <v>0</v>
      </c>
      <c r="Y13" s="6" t="n">
        <f aca="false">IF(OR(P$2=0,$N$5=0),0,IFERROR(INDEX(ПАКЕТИ_ЦІНИ,MATCH($N$6&amp;"|Вихідні",ПАКЕТИ_КЛЮЧ,0),P$2+1),0))</f>
        <v>0</v>
      </c>
      <c r="Z13" s="6" t="n">
        <f aca="false">IF(OR(P$2=0,$N$7=0,$A13=""),0,IFERROR(INDEX(SPA_ЦІНИ,MATCH(INDEX(ДОВ_SPA,MATCH($A13,КАТЕГОРІЇ,0)),SPA_РОЛЬ,0),P$2),0))</f>
        <v>0</v>
      </c>
      <c r="AA13" s="6" t="n">
        <f aca="false">IF(OR($A13="",P13=0,Q13=0,AND($N$5=1,$D$4&gt;0,V13=0),AND($N$5=1,$F$4&gt;0,W13=0),AND($N$7=1,Z13=0)),0,1)</f>
        <v>1</v>
      </c>
      <c r="AB13" s="6" t="n">
        <f aca="false">IF(OR(AA13=0,R13=0,AND($N$5=1,$D$4&gt;0,X13=0),AND($N$5=1,$F$4&gt;0,Y13=0)),0,1)</f>
        <v>1</v>
      </c>
      <c r="AD13" s="17" t="n">
        <f aca="false">IF(OR(AD$2=0,$A13=""),0,IFERROR(INDEX(БАЗА_RO,MATCH(INDEX(ДОВ_ОПОРА,MATCH($A13,КАТЕГОРІЇ,0)),БАЗА_КАТ,0),AD$2),0))</f>
        <v>7100</v>
      </c>
      <c r="AE13" s="18" t="n">
        <f aca="false">IF(OR(AD$2=0,$A13=""),0,IFERROR(INDEX(МНОЖНИКИ,MATCH($A13,МНОЖ_КАТ,0),AD$2),0))</f>
        <v>1.5</v>
      </c>
      <c r="AF13" s="18" t="n">
        <f aca="false">IF(OR(AD$2=0,$A13=""),0,IFERROR(INDEX(МНОЖНИКИ,MATCH($A13,МНОЖ_КАТ,0),AD$2+1),0))</f>
        <v>1.04</v>
      </c>
      <c r="AG13" s="9" t="n">
        <f aca="false">IF($A13="",0,IFERROR(INDEX(ДОВ_МАКС,MATCH($A13,КАТЕГОРІЇ,0)),0))</f>
        <v>8</v>
      </c>
      <c r="AH13" s="9" t="n">
        <f aca="false">IF($A13="",0,IFERROR(INDEX(ДОВ_ВКЛ,MATCH($A13,КАТЕГОРІЇ,0)),0))</f>
        <v>2</v>
      </c>
      <c r="AI13" s="9" t="n">
        <f aca="false">IF($A13="",0,IFERROR(INDEX(ДОВ_МІН,MATCH($A13,КАТЕГОРІЇ,0)),0))</f>
        <v>1</v>
      </c>
      <c r="AJ13" s="6" t="n">
        <f aca="false">IF(OR(AD$2=0,$N$5=0),0,IFERROR(INDEX(ПАКЕТИ_ЦІНИ,MATCH($N$6&amp;"|Будні",ПАКЕТИ_КЛЮЧ,0),AD$2+0),0))</f>
        <v>0</v>
      </c>
      <c r="AK13" s="6" t="n">
        <f aca="false">IF(OR(AD$2=0,$N$5=0),0,IFERROR(INDEX(ПАКЕТИ_ЦІНИ,MATCH($N$6&amp;"|Будні",ПАКЕТИ_КЛЮЧ,0),AD$2+1),0))</f>
        <v>0</v>
      </c>
      <c r="AL13" s="6" t="n">
        <f aca="false">IF(OR(AD$2=0,$N$5=0),0,IFERROR(INDEX(ПАКЕТИ_ЦІНИ,MATCH($N$6&amp;"|Вихідні",ПАКЕТИ_КЛЮЧ,0),AD$2+0),0))</f>
        <v>0</v>
      </c>
      <c r="AM13" s="6" t="n">
        <f aca="false">IF(OR(AD$2=0,$N$5=0),0,IFERROR(INDEX(ПАКЕТИ_ЦІНИ,MATCH($N$6&amp;"|Вихідні",ПАКЕТИ_КЛЮЧ,0),AD$2+1),0))</f>
        <v>0</v>
      </c>
      <c r="AN13" s="6" t="n">
        <f aca="false">IF(OR(AD$2=0,$N$7=0,$A13=""),0,IFERROR(INDEX(SPA_ЦІНИ,MATCH(INDEX(ДОВ_SPA,MATCH($A13,КАТЕГОРІЇ,0)),SPA_РОЛЬ,0),AD$2),0))</f>
        <v>0</v>
      </c>
      <c r="AO13" s="6" t="n">
        <f aca="false">IF(OR($A13="",AD13=0,AE13=0,AND($N$5=1,$D$4&gt;0,AJ13=0),AND($N$5=1,$F$4&gt;0,AK13=0),AND($N$7=1,AN13=0)),0,1)</f>
        <v>1</v>
      </c>
      <c r="AP13" s="6" t="n">
        <f aca="false">IF(OR(AO13=0,AF13=0,AND($N$5=1,$D$4&gt;0,AL13=0),AND($N$5=1,$F$4&gt;0,AM13=0)),0,1)</f>
        <v>1</v>
      </c>
    </row>
    <row r="14" customFormat="false" ht="15" hidden="false" customHeight="false" outlineLevel="0" collapsed="false">
      <c r="A14" s="19" t="str">
        <f aca="false">IF('Довідник категорій'!A12="","",'Довідник категорій'!A12)</f>
        <v>Апартаменти стандартні 20 м²</v>
      </c>
      <c r="B14" s="45" t="n">
        <f aca="false">IF(OR(AA14=0,($D$4+$F$4)=0,($D$4+$F$4)&gt;S14,($D$4+$F$4)&lt;U14),"",ROUND(((P14*Q14+MAX(0,($D$4+$F$4)-T14)*КРОК_ГОСТЯ)*(1-P$3)+($D$4*V14+$F$4*W14)*(1-P$3*P$4)+Z14*(1-P$3*P$5))/ОКРУГЛЕННЯ,0)*ОКРУГЛЕННЯ)</f>
        <v>2370</v>
      </c>
      <c r="C14" s="45" t="n">
        <f aca="false">IF(OR(AB14=0,($D$4+$F$4)=0,($D$4+$F$4)&gt;S14,($D$4+$F$4)&lt;U14),"",ROUND(((P14*Q14*R14+MAX(0,($D$4+$F$4)-T14)*КРОК_ГОСТЯ)*(1-P$3)+($D$4*X14+$F$4*Y14)*(1-P$3*P$4)+Z14*(1-P$3*P$5))/ОКРУГЛЕННЯ,0)*ОКРУГЛЕННЯ)</f>
        <v>2607</v>
      </c>
      <c r="D14" s="45" t="n">
        <f aca="false">IF(OR(AO14=0,($D$4+$F$4)=0,($D$4+$F$4)&gt;AG14,($D$4+$F$4)&lt;AI14),"",ROUND(((AD14*AE14+MAX(0,($D$4+$F$4)-AH14)*КРОК_ГОСТЯ)*(1-AD$3)+($D$4*AJ14+$F$4*AK14)*(1-AD$3*AD$4)+AN14*(1-AD$3*AD$5))/ОКРУГЛЕННЯ,0)*ОКРУГЛЕННЯ)</f>
        <v>2600</v>
      </c>
      <c r="E14" s="45" t="n">
        <f aca="false">IF(OR(AP14=0,($D$4+$F$4)=0,($D$4+$F$4)&gt;AG14,($D$4+$F$4)&lt;AI14),"",ROUND(((AD14*AE14*AF14+MAX(0,($D$4+$F$4)-AH14)*КРОК_ГОСТЯ)*(1-AD$3)+($D$4*AL14+$F$4*AM14)*(1-AD$3*AD$4)+AN14*(1-AD$3*AD$5))/ОКРУГЛЕННЯ,0)*ОКРУГЛЕННЯ)</f>
        <v>2860</v>
      </c>
      <c r="F14" s="45" t="n">
        <f aca="false">IF(OR(B14="",D14=""),"",D14-B14)</f>
        <v>230</v>
      </c>
      <c r="G14" s="45" t="n">
        <f aca="false">IF(OR(C14="",E14=""),"",E14-C14)</f>
        <v>253</v>
      </c>
      <c r="H14" s="47" t="n">
        <f aca="false">IF(OR(B14="",D14="",B14=0),"",D14/B14-1)</f>
        <v>0.0970464135021096</v>
      </c>
      <c r="I14" s="47" t="n">
        <f aca="false">IF(OR(C14="",E14="",C14=0),"",E14/C14-1)</f>
        <v>0.0970464135021096</v>
      </c>
      <c r="K14" s="54" t="s">
        <v>185</v>
      </c>
      <c r="L14" s="57" t="n">
        <f aca="false">COUNTIF(КАТЕГОРІЇ,"&lt;&gt;")</f>
        <v>18</v>
      </c>
      <c r="P14" s="17" t="n">
        <f aca="false">IF(OR(P$2=0,$A14=""),0,IFERROR(INDEX(БАЗА_RO,MATCH(INDEX(ДОВ_ОПОРА,MATCH($A14,КАТЕГОРІЇ,0)),БАЗА_КАТ,0),P$2),0))</f>
        <v>2370</v>
      </c>
      <c r="Q14" s="18" t="n">
        <f aca="false">IF(OR(P$2=0,$A14=""),0,IFERROR(INDEX(МНОЖНИКИ,MATCH($A14,МНОЖ_КАТ,0),P$2),0))</f>
        <v>1</v>
      </c>
      <c r="R14" s="18" t="n">
        <f aca="false">IF(OR(P$2=0,$A14=""),0,IFERROR(INDEX(МНОЖНИКИ,MATCH($A14,МНОЖ_КАТ,0),P$2+1),0))</f>
        <v>1.1</v>
      </c>
      <c r="S14" s="9" t="n">
        <f aca="false">IF($A14="",0,IFERROR(INDEX(ДОВ_МАКС,MATCH($A14,КАТЕГОРІЇ,0)),0))</f>
        <v>2</v>
      </c>
      <c r="T14" s="9" t="n">
        <f aca="false">IF($A14="",0,IFERROR(INDEX(ДОВ_ВКЛ,MATCH($A14,КАТЕГОРІЇ,0)),0))</f>
        <v>2</v>
      </c>
      <c r="U14" s="9" t="n">
        <f aca="false">IF($A14="",0,IFERROR(INDEX(ДОВ_МІН,MATCH($A14,КАТЕГОРІЇ,0)),0))</f>
        <v>1</v>
      </c>
      <c r="V14" s="6" t="n">
        <f aca="false">IF(OR(P$2=0,$N$5=0),0,IFERROR(INDEX(ПАКЕТИ_ЦІНИ,MATCH($N$6&amp;"|Будні",ПАКЕТИ_КЛЮЧ,0),P$2+0),0))</f>
        <v>0</v>
      </c>
      <c r="W14" s="6" t="n">
        <f aca="false">IF(OR(P$2=0,$N$5=0),0,IFERROR(INDEX(ПАКЕТИ_ЦІНИ,MATCH($N$6&amp;"|Будні",ПАКЕТИ_КЛЮЧ,0),P$2+1),0))</f>
        <v>0</v>
      </c>
      <c r="X14" s="6" t="n">
        <f aca="false">IF(OR(P$2=0,$N$5=0),0,IFERROR(INDEX(ПАКЕТИ_ЦІНИ,MATCH($N$6&amp;"|Вихідні",ПАКЕТИ_КЛЮЧ,0),P$2+0),0))</f>
        <v>0</v>
      </c>
      <c r="Y14" s="6" t="n">
        <f aca="false">IF(OR(P$2=0,$N$5=0),0,IFERROR(INDEX(ПАКЕТИ_ЦІНИ,MATCH($N$6&amp;"|Вихідні",ПАКЕТИ_КЛЮЧ,0),P$2+1),0))</f>
        <v>0</v>
      </c>
      <c r="Z14" s="6" t="n">
        <f aca="false">IF(OR(P$2=0,$N$7=0,$A14=""),0,IFERROR(INDEX(SPA_ЦІНИ,MATCH(INDEX(ДОВ_SPA,MATCH($A14,КАТЕГОРІЇ,0)),SPA_РОЛЬ,0),P$2),0))</f>
        <v>0</v>
      </c>
      <c r="AA14" s="6" t="n">
        <f aca="false">IF(OR($A14="",P14=0,Q14=0,AND($N$5=1,$D$4&gt;0,V14=0),AND($N$5=1,$F$4&gt;0,W14=0),AND($N$7=1,Z14=0)),0,1)</f>
        <v>1</v>
      </c>
      <c r="AB14" s="6" t="n">
        <f aca="false">IF(OR(AA14=0,R14=0,AND($N$5=1,$D$4&gt;0,X14=0),AND($N$5=1,$F$4&gt;0,Y14=0)),0,1)</f>
        <v>1</v>
      </c>
      <c r="AD14" s="17" t="n">
        <f aca="false">IF(OR(AD$2=0,$A14=""),0,IFERROR(INDEX(БАЗА_RO,MATCH(INDEX(ДОВ_ОПОРА,MATCH($A14,КАТЕГОРІЇ,0)),БАЗА_КАТ,0),AD$2),0))</f>
        <v>2600</v>
      </c>
      <c r="AE14" s="18" t="n">
        <f aca="false">IF(OR(AD$2=0,$A14=""),0,IFERROR(INDEX(МНОЖНИКИ,MATCH($A14,МНОЖ_КАТ,0),AD$2),0))</f>
        <v>1</v>
      </c>
      <c r="AF14" s="18" t="n">
        <f aca="false">IF(OR(AD$2=0,$A14=""),0,IFERROR(INDEX(МНОЖНИКИ,MATCH($A14,МНОЖ_КАТ,0),AD$2+1),0))</f>
        <v>1.1</v>
      </c>
      <c r="AG14" s="9" t="n">
        <f aca="false">IF($A14="",0,IFERROR(INDEX(ДОВ_МАКС,MATCH($A14,КАТЕГОРІЇ,0)),0))</f>
        <v>2</v>
      </c>
      <c r="AH14" s="9" t="n">
        <f aca="false">IF($A14="",0,IFERROR(INDEX(ДОВ_ВКЛ,MATCH($A14,КАТЕГОРІЇ,0)),0))</f>
        <v>2</v>
      </c>
      <c r="AI14" s="9" t="n">
        <f aca="false">IF($A14="",0,IFERROR(INDEX(ДОВ_МІН,MATCH($A14,КАТЕГОРІЇ,0)),0))</f>
        <v>1</v>
      </c>
      <c r="AJ14" s="6" t="n">
        <f aca="false">IF(OR(AD$2=0,$N$5=0),0,IFERROR(INDEX(ПАКЕТИ_ЦІНИ,MATCH($N$6&amp;"|Будні",ПАКЕТИ_КЛЮЧ,0),AD$2+0),0))</f>
        <v>0</v>
      </c>
      <c r="AK14" s="6" t="n">
        <f aca="false">IF(OR(AD$2=0,$N$5=0),0,IFERROR(INDEX(ПАКЕТИ_ЦІНИ,MATCH($N$6&amp;"|Будні",ПАКЕТИ_КЛЮЧ,0),AD$2+1),0))</f>
        <v>0</v>
      </c>
      <c r="AL14" s="6" t="n">
        <f aca="false">IF(OR(AD$2=0,$N$5=0),0,IFERROR(INDEX(ПАКЕТИ_ЦІНИ,MATCH($N$6&amp;"|Вихідні",ПАКЕТИ_КЛЮЧ,0),AD$2+0),0))</f>
        <v>0</v>
      </c>
      <c r="AM14" s="6" t="n">
        <f aca="false">IF(OR(AD$2=0,$N$5=0),0,IFERROR(INDEX(ПАКЕТИ_ЦІНИ,MATCH($N$6&amp;"|Вихідні",ПАКЕТИ_КЛЮЧ,0),AD$2+1),0))</f>
        <v>0</v>
      </c>
      <c r="AN14" s="6" t="n">
        <f aca="false">IF(OR(AD$2=0,$N$7=0,$A14=""),0,IFERROR(INDEX(SPA_ЦІНИ,MATCH(INDEX(ДОВ_SPA,MATCH($A14,КАТЕГОРІЇ,0)),SPA_РОЛЬ,0),AD$2),0))</f>
        <v>0</v>
      </c>
      <c r="AO14" s="6" t="n">
        <f aca="false">IF(OR($A14="",AD14=0,AE14=0,AND($N$5=1,$D$4&gt;0,AJ14=0),AND($N$5=1,$F$4&gt;0,AK14=0),AND($N$7=1,AN14=0)),0,1)</f>
        <v>1</v>
      </c>
      <c r="AP14" s="6" t="n">
        <f aca="false">IF(OR(AO14=0,AF14=0,AND($N$5=1,$D$4&gt;0,AL14=0),AND($N$5=1,$F$4&gt;0,AM14=0)),0,1)</f>
        <v>1</v>
      </c>
    </row>
    <row r="15" customFormat="false" ht="15" hidden="false" customHeight="false" outlineLevel="0" collapsed="false">
      <c r="A15" s="13" t="str">
        <f aca="false">IF('Довідник категорій'!A13="","",'Довідник категорій'!A13)</f>
        <v>Апартаменти покращені 28 м²</v>
      </c>
      <c r="B15" s="33" t="n">
        <f aca="false">IF(OR(AA15=0,($D$4+$F$4)=0,($D$4+$F$4)&gt;S15,($D$4+$F$4)&lt;U15),"",ROUND(((P15*Q15+MAX(0,($D$4+$F$4)-T15)*КРОК_ГОСТЯ)*(1-P$3)+($D$4*V15+$F$4*W15)*(1-P$3*P$4)+Z15*(1-P$3*P$5))/ОКРУГЛЕННЯ,0)*ОКРУГЛЕННЯ)</f>
        <v>2726</v>
      </c>
      <c r="C15" s="33" t="n">
        <f aca="false">IF(OR(AB15=0,($D$4+$F$4)=0,($D$4+$F$4)&gt;S15,($D$4+$F$4)&lt;U15),"",ROUND(((P15*Q15*R15+MAX(0,($D$4+$F$4)-T15)*КРОК_ГОСТЯ)*(1-P$3)+($D$4*X15+$F$4*Y15)*(1-P$3*P$4)+Z15*(1-P$3*P$5))/ОКРУГЛЕННЯ,0)*ОКРУГЛЕННЯ)</f>
        <v>2998</v>
      </c>
      <c r="D15" s="33" t="n">
        <f aca="false">IF(OR(AO15=0,($D$4+$F$4)=0,($D$4+$F$4)&gt;AG15,($D$4+$F$4)&lt;AI15),"",ROUND(((AD15*AE15+MAX(0,($D$4+$F$4)-AH15)*КРОК_ГОСТЯ)*(1-AD$3)+($D$4*AJ15+$F$4*AK15)*(1-AD$3*AD$4)+AN15*(1-AD$3*AD$5))/ОКРУГЛЕННЯ,0)*ОКРУГЛЕННЯ)</f>
        <v>3042</v>
      </c>
      <c r="E15" s="33" t="n">
        <f aca="false">IF(OR(AP15=0,($D$4+$F$4)=0,($D$4+$F$4)&gt;AG15,($D$4+$F$4)&lt;AI15),"",ROUND(((AD15*AE15*AF15+MAX(0,($D$4+$F$4)-AH15)*КРОК_ГОСТЯ)*(1-AD$3)+($D$4*AL15+$F$4*AM15)*(1-AD$3*AD$4)+AN15*(1-AD$3*AD$5))/ОКРУГЛЕННЯ,0)*ОКРУГЛЕННЯ)</f>
        <v>3346</v>
      </c>
      <c r="F15" s="33" t="n">
        <f aca="false">IF(OR(B15="",D15=""),"",D15-B15)</f>
        <v>316</v>
      </c>
      <c r="G15" s="33" t="n">
        <f aca="false">IF(OR(C15="",E15=""),"",E15-C15)</f>
        <v>348</v>
      </c>
      <c r="H15" s="55" t="n">
        <f aca="false">IF(OR(B15="",D15="",B15=0),"",D15/B15-1)</f>
        <v>0.115920763022744</v>
      </c>
      <c r="I15" s="55" t="n">
        <f aca="false">IF(OR(C15="",E15="",C15=0),"",E15/C15-1)</f>
        <v>0.116077384923282</v>
      </c>
      <c r="K15" s="54" t="s">
        <v>186</v>
      </c>
      <c r="L15" s="45" t="n">
        <f aca="false">КРОК_ГОСТЯ</f>
        <v>500</v>
      </c>
      <c r="P15" s="17" t="n">
        <f aca="false">IF(OR(P$2=0,$A15=""),0,IFERROR(INDEX(БАЗА_RO,MATCH(INDEX(ДОВ_ОПОРА,MATCH($A15,КАТЕГОРІЇ,0)),БАЗА_КАТ,0),P$2),0))</f>
        <v>2370</v>
      </c>
      <c r="Q15" s="18" t="n">
        <f aca="false">IF(OR(P$2=0,$A15=""),0,IFERROR(INDEX(МНОЖНИКИ,MATCH($A15,МНОЖ_КАТ,0),P$2),0))</f>
        <v>1.15</v>
      </c>
      <c r="R15" s="18" t="n">
        <f aca="false">IF(OR(P$2=0,$A15=""),0,IFERROR(INDEX(МНОЖНИКИ,MATCH($A15,МНОЖ_КАТ,0),P$2+1),0))</f>
        <v>1.1</v>
      </c>
      <c r="S15" s="9" t="n">
        <f aca="false">IF($A15="",0,IFERROR(INDEX(ДОВ_МАКС,MATCH($A15,КАТЕГОРІЇ,0)),0))</f>
        <v>2</v>
      </c>
      <c r="T15" s="9" t="n">
        <f aca="false">IF($A15="",0,IFERROR(INDEX(ДОВ_ВКЛ,MATCH($A15,КАТЕГОРІЇ,0)),0))</f>
        <v>2</v>
      </c>
      <c r="U15" s="9" t="n">
        <f aca="false">IF($A15="",0,IFERROR(INDEX(ДОВ_МІН,MATCH($A15,КАТЕГОРІЇ,0)),0))</f>
        <v>1</v>
      </c>
      <c r="V15" s="6" t="n">
        <f aca="false">IF(OR(P$2=0,$N$5=0),0,IFERROR(INDEX(ПАКЕТИ_ЦІНИ,MATCH($N$6&amp;"|Будні",ПАКЕТИ_КЛЮЧ,0),P$2+0),0))</f>
        <v>0</v>
      </c>
      <c r="W15" s="6" t="n">
        <f aca="false">IF(OR(P$2=0,$N$5=0),0,IFERROR(INDEX(ПАКЕТИ_ЦІНИ,MATCH($N$6&amp;"|Будні",ПАКЕТИ_КЛЮЧ,0),P$2+1),0))</f>
        <v>0</v>
      </c>
      <c r="X15" s="6" t="n">
        <f aca="false">IF(OR(P$2=0,$N$5=0),0,IFERROR(INDEX(ПАКЕТИ_ЦІНИ,MATCH($N$6&amp;"|Вихідні",ПАКЕТИ_КЛЮЧ,0),P$2+0),0))</f>
        <v>0</v>
      </c>
      <c r="Y15" s="6" t="n">
        <f aca="false">IF(OR(P$2=0,$N$5=0),0,IFERROR(INDEX(ПАКЕТИ_ЦІНИ,MATCH($N$6&amp;"|Вихідні",ПАКЕТИ_КЛЮЧ,0),P$2+1),0))</f>
        <v>0</v>
      </c>
      <c r="Z15" s="6" t="n">
        <f aca="false">IF(OR(P$2=0,$N$7=0,$A15=""),0,IFERROR(INDEX(SPA_ЦІНИ,MATCH(INDEX(ДОВ_SPA,MATCH($A15,КАТЕГОРІЇ,0)),SPA_РОЛЬ,0),P$2),0))</f>
        <v>0</v>
      </c>
      <c r="AA15" s="6" t="n">
        <f aca="false">IF(OR($A15="",P15=0,Q15=0,AND($N$5=1,$D$4&gt;0,V15=0),AND($N$5=1,$F$4&gt;0,W15=0),AND($N$7=1,Z15=0)),0,1)</f>
        <v>1</v>
      </c>
      <c r="AB15" s="6" t="n">
        <f aca="false">IF(OR(AA15=0,R15=0,AND($N$5=1,$D$4&gt;0,X15=0),AND($N$5=1,$F$4&gt;0,Y15=0)),0,1)</f>
        <v>1</v>
      </c>
      <c r="AD15" s="17" t="n">
        <f aca="false">IF(OR(AD$2=0,$A15=""),0,IFERROR(INDEX(БАЗА_RO,MATCH(INDEX(ДОВ_ОПОРА,MATCH($A15,КАТЕГОРІЇ,0)),БАЗА_КАТ,0),AD$2),0))</f>
        <v>2600</v>
      </c>
      <c r="AE15" s="18" t="n">
        <f aca="false">IF(OR(AD$2=0,$A15=""),0,IFERROR(INDEX(МНОЖНИКИ,MATCH($A15,МНОЖ_КАТ,0),AD$2),0))</f>
        <v>1.17</v>
      </c>
      <c r="AF15" s="18" t="n">
        <f aca="false">IF(OR(AD$2=0,$A15=""),0,IFERROR(INDEX(МНОЖНИКИ,MATCH($A15,МНОЖ_КАТ,0),AD$2+1),0))</f>
        <v>1.1</v>
      </c>
      <c r="AG15" s="9" t="n">
        <f aca="false">IF($A15="",0,IFERROR(INDEX(ДОВ_МАКС,MATCH($A15,КАТЕГОРІЇ,0)),0))</f>
        <v>2</v>
      </c>
      <c r="AH15" s="9" t="n">
        <f aca="false">IF($A15="",0,IFERROR(INDEX(ДОВ_ВКЛ,MATCH($A15,КАТЕГОРІЇ,0)),0))</f>
        <v>2</v>
      </c>
      <c r="AI15" s="9" t="n">
        <f aca="false">IF($A15="",0,IFERROR(INDEX(ДОВ_МІН,MATCH($A15,КАТЕГОРІЇ,0)),0))</f>
        <v>1</v>
      </c>
      <c r="AJ15" s="6" t="n">
        <f aca="false">IF(OR(AD$2=0,$N$5=0),0,IFERROR(INDEX(ПАКЕТИ_ЦІНИ,MATCH($N$6&amp;"|Будні",ПАКЕТИ_КЛЮЧ,0),AD$2+0),0))</f>
        <v>0</v>
      </c>
      <c r="AK15" s="6" t="n">
        <f aca="false">IF(OR(AD$2=0,$N$5=0),0,IFERROR(INDEX(ПАКЕТИ_ЦІНИ,MATCH($N$6&amp;"|Будні",ПАКЕТИ_КЛЮЧ,0),AD$2+1),0))</f>
        <v>0</v>
      </c>
      <c r="AL15" s="6" t="n">
        <f aca="false">IF(OR(AD$2=0,$N$5=0),0,IFERROR(INDEX(ПАКЕТИ_ЦІНИ,MATCH($N$6&amp;"|Вихідні",ПАКЕТИ_КЛЮЧ,0),AD$2+0),0))</f>
        <v>0</v>
      </c>
      <c r="AM15" s="6" t="n">
        <f aca="false">IF(OR(AD$2=0,$N$5=0),0,IFERROR(INDEX(ПАКЕТИ_ЦІНИ,MATCH($N$6&amp;"|Вихідні",ПАКЕТИ_КЛЮЧ,0),AD$2+1),0))</f>
        <v>0</v>
      </c>
      <c r="AN15" s="6" t="n">
        <f aca="false">IF(OR(AD$2=0,$N$7=0,$A15=""),0,IFERROR(INDEX(SPA_ЦІНИ,MATCH(INDEX(ДОВ_SPA,MATCH($A15,КАТЕГОРІЇ,0)),SPA_РОЛЬ,0),AD$2),0))</f>
        <v>0</v>
      </c>
      <c r="AO15" s="6" t="n">
        <f aca="false">IF(OR($A15="",AD15=0,AE15=0,AND($N$5=1,$D$4&gt;0,AJ15=0),AND($N$5=1,$F$4&gt;0,AK15=0),AND($N$7=1,AN15=0)),0,1)</f>
        <v>1</v>
      </c>
      <c r="AP15" s="6" t="n">
        <f aca="false">IF(OR(AO15=0,AF15=0,AND($N$5=1,$D$4&gt;0,AL15=0),AND($N$5=1,$F$4&gt;0,AM15=0)),0,1)</f>
        <v>1</v>
      </c>
    </row>
    <row r="16" customFormat="false" ht="15" hidden="false" customHeight="false" outlineLevel="0" collapsed="false">
      <c r="A16" s="19" t="str">
        <f aca="false">IF('Довідник категорій'!A14="","",'Довідник категорій'!A14)</f>
        <v>Апартаменти Люкс 25 м²</v>
      </c>
      <c r="B16" s="45" t="n">
        <f aca="false">IF(OR(AA16=0,($D$4+$F$4)=0,($D$4+$F$4)&gt;S16,($D$4+$F$4)&lt;U16),"",ROUND(((P16*Q16+MAX(0,($D$4+$F$4)-T16)*КРОК_ГОСТЯ)*(1-P$3)+($D$4*V16+$F$4*W16)*(1-P$3*P$4)+Z16*(1-P$3*P$5))/ОКРУГЛЕННЯ,0)*ОКРУГЛЕННЯ)</f>
        <v>3200</v>
      </c>
      <c r="C16" s="45" t="n">
        <f aca="false">IF(OR(AB16=0,($D$4+$F$4)=0,($D$4+$F$4)&gt;S16,($D$4+$F$4)&lt;U16),"",ROUND(((P16*Q16*R16+MAX(0,($D$4+$F$4)-T16)*КРОК_ГОСТЯ)*(1-P$3)+($D$4*X16+$F$4*Y16)*(1-P$3*P$4)+Z16*(1-P$3*P$5))/ОКРУГЛЕННЯ,0)*ОКРУГЛЕННЯ)</f>
        <v>3423</v>
      </c>
      <c r="D16" s="45" t="n">
        <f aca="false">IF(OR(AO16=0,($D$4+$F$4)=0,($D$4+$F$4)&gt;AG16,($D$4+$F$4)&lt;AI16),"",ROUND(((AD16*AE16+MAX(0,($D$4+$F$4)-AH16)*КРОК_ГОСТЯ)*(1-AD$3)+($D$4*AJ16+$F$4*AK16)*(1-AD$3*AD$4)+AN16*(1-AD$3*AD$5))/ОКРУГЛЕННЯ,0)*ОКРУГЛЕННЯ)</f>
        <v>3640</v>
      </c>
      <c r="E16" s="45" t="n">
        <f aca="false">IF(OR(AP16=0,($D$4+$F$4)=0,($D$4+$F$4)&gt;AG16,($D$4+$F$4)&lt;AI16),"",ROUND(((AD16*AE16*AF16+MAX(0,($D$4+$F$4)-AH16)*КРОК_ГОСТЯ)*(1-AD$3)+($D$4*AL16+$F$4*AM16)*(1-AD$3*AD$4)+AN16*(1-AD$3*AD$5))/ОКРУГЛЕННЯ,0)*ОКРУГЛЕННЯ)</f>
        <v>3895</v>
      </c>
      <c r="F16" s="45" t="n">
        <f aca="false">IF(OR(B16="",D16=""),"",D16-B16)</f>
        <v>440</v>
      </c>
      <c r="G16" s="45" t="n">
        <f aca="false">IF(OR(C16="",E16=""),"",E16-C16)</f>
        <v>472</v>
      </c>
      <c r="H16" s="47" t="n">
        <f aca="false">IF(OR(B16="",D16="",B16=0),"",D16/B16-1)</f>
        <v>0.1375</v>
      </c>
      <c r="I16" s="47" t="n">
        <f aca="false">IF(OR(C16="",E16="",C16=0),"",E16/C16-1)</f>
        <v>0.137890739117733</v>
      </c>
      <c r="K16" s="54" t="s">
        <v>74</v>
      </c>
      <c r="L16" s="45" t="n">
        <f aca="false">ОКРУГЛЕННЯ</f>
        <v>1</v>
      </c>
      <c r="P16" s="17" t="n">
        <f aca="false">IF(OR(P$2=0,$A16=""),0,IFERROR(INDEX(БАЗА_RO,MATCH(INDEX(ДОВ_ОПОРА,MATCH($A16,КАТЕГОРІЇ,0)),БАЗА_КАТ,0),P$2),0))</f>
        <v>2370</v>
      </c>
      <c r="Q16" s="18" t="n">
        <f aca="false">IF(OR(P$2=0,$A16=""),0,IFERROR(INDEX(МНОЖНИКИ,MATCH($A16,МНОЖ_КАТ,0),P$2),0))</f>
        <v>1.35</v>
      </c>
      <c r="R16" s="18" t="n">
        <f aca="false">IF(OR(P$2=0,$A16=""),0,IFERROR(INDEX(МНОЖНИКИ,MATCH($A16,МНОЖ_КАТ,0),P$2+1),0))</f>
        <v>1.07</v>
      </c>
      <c r="S16" s="9" t="n">
        <f aca="false">IF($A16="",0,IFERROR(INDEX(ДОВ_МАКС,MATCH($A16,КАТЕГОРІЇ,0)),0))</f>
        <v>2</v>
      </c>
      <c r="T16" s="9" t="n">
        <f aca="false">IF($A16="",0,IFERROR(INDEX(ДОВ_ВКЛ,MATCH($A16,КАТЕГОРІЇ,0)),0))</f>
        <v>2</v>
      </c>
      <c r="U16" s="9" t="n">
        <f aca="false">IF($A16="",0,IFERROR(INDEX(ДОВ_МІН,MATCH($A16,КАТЕГОРІЇ,0)),0))</f>
        <v>1</v>
      </c>
      <c r="V16" s="6" t="n">
        <f aca="false">IF(OR(P$2=0,$N$5=0),0,IFERROR(INDEX(ПАКЕТИ_ЦІНИ,MATCH($N$6&amp;"|Будні",ПАКЕТИ_КЛЮЧ,0),P$2+0),0))</f>
        <v>0</v>
      </c>
      <c r="W16" s="6" t="n">
        <f aca="false">IF(OR(P$2=0,$N$5=0),0,IFERROR(INDEX(ПАКЕТИ_ЦІНИ,MATCH($N$6&amp;"|Будні",ПАКЕТИ_КЛЮЧ,0),P$2+1),0))</f>
        <v>0</v>
      </c>
      <c r="X16" s="6" t="n">
        <f aca="false">IF(OR(P$2=0,$N$5=0),0,IFERROR(INDEX(ПАКЕТИ_ЦІНИ,MATCH($N$6&amp;"|Вихідні",ПАКЕТИ_КЛЮЧ,0),P$2+0),0))</f>
        <v>0</v>
      </c>
      <c r="Y16" s="6" t="n">
        <f aca="false">IF(OR(P$2=0,$N$5=0),0,IFERROR(INDEX(ПАКЕТИ_ЦІНИ,MATCH($N$6&amp;"|Вихідні",ПАКЕТИ_КЛЮЧ,0),P$2+1),0))</f>
        <v>0</v>
      </c>
      <c r="Z16" s="6" t="n">
        <f aca="false">IF(OR(P$2=0,$N$7=0,$A16=""),0,IFERROR(INDEX(SPA_ЦІНИ,MATCH(INDEX(ДОВ_SPA,MATCH($A16,КАТЕГОРІЇ,0)),SPA_РОЛЬ,0),P$2),0))</f>
        <v>0</v>
      </c>
      <c r="AA16" s="6" t="n">
        <f aca="false">IF(OR($A16="",P16=0,Q16=0,AND($N$5=1,$D$4&gt;0,V16=0),AND($N$5=1,$F$4&gt;0,W16=0),AND($N$7=1,Z16=0)),0,1)</f>
        <v>1</v>
      </c>
      <c r="AB16" s="6" t="n">
        <f aca="false">IF(OR(AA16=0,R16=0,AND($N$5=1,$D$4&gt;0,X16=0),AND($N$5=1,$F$4&gt;0,Y16=0)),0,1)</f>
        <v>1</v>
      </c>
      <c r="AD16" s="17" t="n">
        <f aca="false">IF(OR(AD$2=0,$A16=""),0,IFERROR(INDEX(БАЗА_RO,MATCH(INDEX(ДОВ_ОПОРА,MATCH($A16,КАТЕГОРІЇ,0)),БАЗА_КАТ,0),AD$2),0))</f>
        <v>2600</v>
      </c>
      <c r="AE16" s="18" t="n">
        <f aca="false">IF(OR(AD$2=0,$A16=""),0,IFERROR(INDEX(МНОЖНИКИ,MATCH($A16,МНОЖ_КАТ,0),AD$2),0))</f>
        <v>1.4</v>
      </c>
      <c r="AF16" s="18" t="n">
        <f aca="false">IF(OR(AD$2=0,$A16=""),0,IFERROR(INDEX(МНОЖНИКИ,MATCH($A16,МНОЖ_КАТ,0),AD$2+1),0))</f>
        <v>1.07</v>
      </c>
      <c r="AG16" s="9" t="n">
        <f aca="false">IF($A16="",0,IFERROR(INDEX(ДОВ_МАКС,MATCH($A16,КАТЕГОРІЇ,0)),0))</f>
        <v>2</v>
      </c>
      <c r="AH16" s="9" t="n">
        <f aca="false">IF($A16="",0,IFERROR(INDEX(ДОВ_ВКЛ,MATCH($A16,КАТЕГОРІЇ,0)),0))</f>
        <v>2</v>
      </c>
      <c r="AI16" s="9" t="n">
        <f aca="false">IF($A16="",0,IFERROR(INDEX(ДОВ_МІН,MATCH($A16,КАТЕГОРІЇ,0)),0))</f>
        <v>1</v>
      </c>
      <c r="AJ16" s="6" t="n">
        <f aca="false">IF(OR(AD$2=0,$N$5=0),0,IFERROR(INDEX(ПАКЕТИ_ЦІНИ,MATCH($N$6&amp;"|Будні",ПАКЕТИ_КЛЮЧ,0),AD$2+0),0))</f>
        <v>0</v>
      </c>
      <c r="AK16" s="6" t="n">
        <f aca="false">IF(OR(AD$2=0,$N$5=0),0,IFERROR(INDEX(ПАКЕТИ_ЦІНИ,MATCH($N$6&amp;"|Будні",ПАКЕТИ_КЛЮЧ,0),AD$2+1),0))</f>
        <v>0</v>
      </c>
      <c r="AL16" s="6" t="n">
        <f aca="false">IF(OR(AD$2=0,$N$5=0),0,IFERROR(INDEX(ПАКЕТИ_ЦІНИ,MATCH($N$6&amp;"|Вихідні",ПАКЕТИ_КЛЮЧ,0),AD$2+0),0))</f>
        <v>0</v>
      </c>
      <c r="AM16" s="6" t="n">
        <f aca="false">IF(OR(AD$2=0,$N$5=0),0,IFERROR(INDEX(ПАКЕТИ_ЦІНИ,MATCH($N$6&amp;"|Вихідні",ПАКЕТИ_КЛЮЧ,0),AD$2+1),0))</f>
        <v>0</v>
      </c>
      <c r="AN16" s="6" t="n">
        <f aca="false">IF(OR(AD$2=0,$N$7=0,$A16=""),0,IFERROR(INDEX(SPA_ЦІНИ,MATCH(INDEX(ДОВ_SPA,MATCH($A16,КАТЕГОРІЇ,0)),SPA_РОЛЬ,0),AD$2),0))</f>
        <v>0</v>
      </c>
      <c r="AO16" s="6" t="n">
        <f aca="false">IF(OR($A16="",AD16=0,AE16=0,AND($N$5=1,$D$4&gt;0,AJ16=0),AND($N$5=1,$F$4&gt;0,AK16=0),AND($N$7=1,AN16=0)),0,1)</f>
        <v>1</v>
      </c>
      <c r="AP16" s="6" t="n">
        <f aca="false">IF(OR(AO16=0,AF16=0,AND($N$5=1,$D$4&gt;0,AL16=0),AND($N$5=1,$F$4&gt;0,AM16=0)),0,1)</f>
        <v>1</v>
      </c>
    </row>
    <row r="17" customFormat="false" ht="15" hidden="false" customHeight="false" outlineLevel="0" collapsed="false">
      <c r="A17" s="13" t="str">
        <f aca="false">IF('Довідник категорій'!A15="","",'Довідник категорій'!A15)</f>
        <v>Люкс зі спальнею та вітальнею</v>
      </c>
      <c r="B17" s="33" t="n">
        <f aca="false">IF(OR(AA17=0,($D$4+$F$4)=0,($D$4+$F$4)&gt;S17,($D$4+$F$4)&lt;U17),"",ROUND(((P17*Q17+MAX(0,($D$4+$F$4)-T17)*КРОК_ГОСТЯ)*(1-P$3)+($D$4*V17+$F$4*W17)*(1-P$3*P$4)+Z17*(1-P$3*P$5))/ОКРУГЛЕННЯ,0)*ОКРУГЛЕННЯ)</f>
        <v>3792</v>
      </c>
      <c r="C17" s="33" t="n">
        <f aca="false">IF(OR(AB17=0,($D$4+$F$4)=0,($D$4+$F$4)&gt;S17,($D$4+$F$4)&lt;U17),"",ROUND(((P17*Q17*R17+MAX(0,($D$4+$F$4)-T17)*КРОК_ГОСТЯ)*(1-P$3)+($D$4*X17+$F$4*Y17)*(1-P$3*P$4)+Z17*(1-P$3*P$5))/ОКРУГЛЕННЯ,0)*ОКРУГЛЕННЯ)</f>
        <v>4039</v>
      </c>
      <c r="D17" s="33" t="n">
        <f aca="false">IF(OR(AO17=0,($D$4+$F$4)=0,($D$4+$F$4)&gt;AG17,($D$4+$F$4)&lt;AI17),"",ROUND(((AD17*AE17+MAX(0,($D$4+$F$4)-AH17)*КРОК_ГОСТЯ)*(1-AD$3)+($D$4*AJ17+$F$4*AK17)*(1-AD$3*AD$4)+AN17*(1-AD$3*AD$5))/ОКРУГЛЕННЯ,0)*ОКРУГЛЕННЯ)</f>
        <v>4160</v>
      </c>
      <c r="E17" s="33" t="n">
        <f aca="false">IF(OR(AP17=0,($D$4+$F$4)=0,($D$4+$F$4)&gt;AG17,($D$4+$F$4)&lt;AI17),"",ROUND(((AD17*AE17*AF17+MAX(0,($D$4+$F$4)-AH17)*КРОК_ГОСТЯ)*(1-AD$3)+($D$4*AL17+$F$4*AM17)*(1-AD$3*AD$4)+AN17*(1-AD$3*AD$5))/ОКРУГЛЕННЯ,0)*ОКРУГЛЕННЯ)</f>
        <v>4431</v>
      </c>
      <c r="F17" s="33" t="n">
        <f aca="false">IF(OR(B17="",D17=""),"",D17-B17)</f>
        <v>368</v>
      </c>
      <c r="G17" s="33" t="n">
        <f aca="false">IF(OR(C17="",E17=""),"",E17-C17)</f>
        <v>392</v>
      </c>
      <c r="H17" s="55" t="n">
        <f aca="false">IF(OR(B17="",D17="",B17=0),"",D17/B17-1)</f>
        <v>0.0970464135021096</v>
      </c>
      <c r="I17" s="55" t="n">
        <f aca="false">IF(OR(C17="",E17="",C17=0),"",E17/C17-1)</f>
        <v>0.0970537261698441</v>
      </c>
      <c r="P17" s="17" t="n">
        <f aca="false">IF(OR(P$2=0,$A17=""),0,IFERROR(INDEX(БАЗА_RO,MATCH(INDEX(ДОВ_ОПОРА,MATCH($A17,КАТЕГОРІЇ,0)),БАЗА_КАТ,0),P$2),0))</f>
        <v>2370</v>
      </c>
      <c r="Q17" s="18" t="n">
        <f aca="false">IF(OR(P$2=0,$A17=""),0,IFERROR(INDEX(МНОЖНИКИ,MATCH($A17,МНОЖ_КАТ,0),P$2),0))</f>
        <v>1.6</v>
      </c>
      <c r="R17" s="18" t="n">
        <f aca="false">IF(OR(P$2=0,$A17=""),0,IFERROR(INDEX(МНОЖНИКИ,MATCH($A17,МНОЖ_КАТ,0),P$2+1),0))</f>
        <v>1.0652</v>
      </c>
      <c r="S17" s="9" t="n">
        <f aca="false">IF($A17="",0,IFERROR(INDEX(ДОВ_МАКС,MATCH($A17,КАТЕГОРІЇ,0)),0))</f>
        <v>3</v>
      </c>
      <c r="T17" s="9" t="n">
        <f aca="false">IF($A17="",0,IFERROR(INDEX(ДОВ_ВКЛ,MATCH($A17,КАТЕГОРІЇ,0)),0))</f>
        <v>2</v>
      </c>
      <c r="U17" s="9" t="n">
        <f aca="false">IF($A17="",0,IFERROR(INDEX(ДОВ_МІН,MATCH($A17,КАТЕГОРІЇ,0)),0))</f>
        <v>1</v>
      </c>
      <c r="V17" s="6" t="n">
        <f aca="false">IF(OR(P$2=0,$N$5=0),0,IFERROR(INDEX(ПАКЕТИ_ЦІНИ,MATCH($N$6&amp;"|Будні",ПАКЕТИ_КЛЮЧ,0),P$2+0),0))</f>
        <v>0</v>
      </c>
      <c r="W17" s="6" t="n">
        <f aca="false">IF(OR(P$2=0,$N$5=0),0,IFERROR(INDEX(ПАКЕТИ_ЦІНИ,MATCH($N$6&amp;"|Будні",ПАКЕТИ_КЛЮЧ,0),P$2+1),0))</f>
        <v>0</v>
      </c>
      <c r="X17" s="6" t="n">
        <f aca="false">IF(OR(P$2=0,$N$5=0),0,IFERROR(INDEX(ПАКЕТИ_ЦІНИ,MATCH($N$6&amp;"|Вихідні",ПАКЕТИ_КЛЮЧ,0),P$2+0),0))</f>
        <v>0</v>
      </c>
      <c r="Y17" s="6" t="n">
        <f aca="false">IF(OR(P$2=0,$N$5=0),0,IFERROR(INDEX(ПАКЕТИ_ЦІНИ,MATCH($N$6&amp;"|Вихідні",ПАКЕТИ_КЛЮЧ,0),P$2+1),0))</f>
        <v>0</v>
      </c>
      <c r="Z17" s="6" t="n">
        <f aca="false">IF(OR(P$2=0,$N$7=0,$A17=""),0,IFERROR(INDEX(SPA_ЦІНИ,MATCH(INDEX(ДОВ_SPA,MATCH($A17,КАТЕГОРІЇ,0)),SPA_РОЛЬ,0),P$2),0))</f>
        <v>0</v>
      </c>
      <c r="AA17" s="6" t="n">
        <f aca="false">IF(OR($A17="",P17=0,Q17=0,AND($N$5=1,$D$4&gt;0,V17=0),AND($N$5=1,$F$4&gt;0,W17=0),AND($N$7=1,Z17=0)),0,1)</f>
        <v>1</v>
      </c>
      <c r="AB17" s="6" t="n">
        <f aca="false">IF(OR(AA17=0,R17=0,AND($N$5=1,$D$4&gt;0,X17=0),AND($N$5=1,$F$4&gt;0,Y17=0)),0,1)</f>
        <v>1</v>
      </c>
      <c r="AD17" s="17" t="n">
        <f aca="false">IF(OR(AD$2=0,$A17=""),0,IFERROR(INDEX(БАЗА_RO,MATCH(INDEX(ДОВ_ОПОРА,MATCH($A17,КАТЕГОРІЇ,0)),БАЗА_КАТ,0),AD$2),0))</f>
        <v>2600</v>
      </c>
      <c r="AE17" s="18" t="n">
        <f aca="false">IF(OR(AD$2=0,$A17=""),0,IFERROR(INDEX(МНОЖНИКИ,MATCH($A17,МНОЖ_КАТ,0),AD$2),0))</f>
        <v>1.6</v>
      </c>
      <c r="AF17" s="18" t="n">
        <f aca="false">IF(OR(AD$2=0,$A17=""),0,IFERROR(INDEX(МНОЖНИКИ,MATCH($A17,МНОЖ_КАТ,0),AD$2+1),0))</f>
        <v>1.0652</v>
      </c>
      <c r="AG17" s="9" t="n">
        <f aca="false">IF($A17="",0,IFERROR(INDEX(ДОВ_МАКС,MATCH($A17,КАТЕГОРІЇ,0)),0))</f>
        <v>3</v>
      </c>
      <c r="AH17" s="9" t="n">
        <f aca="false">IF($A17="",0,IFERROR(INDEX(ДОВ_ВКЛ,MATCH($A17,КАТЕГОРІЇ,0)),0))</f>
        <v>2</v>
      </c>
      <c r="AI17" s="9" t="n">
        <f aca="false">IF($A17="",0,IFERROR(INDEX(ДОВ_МІН,MATCH($A17,КАТЕГОРІЇ,0)),0))</f>
        <v>1</v>
      </c>
      <c r="AJ17" s="6" t="n">
        <f aca="false">IF(OR(AD$2=0,$N$5=0),0,IFERROR(INDEX(ПАКЕТИ_ЦІНИ,MATCH($N$6&amp;"|Будні",ПАКЕТИ_КЛЮЧ,0),AD$2+0),0))</f>
        <v>0</v>
      </c>
      <c r="AK17" s="6" t="n">
        <f aca="false">IF(OR(AD$2=0,$N$5=0),0,IFERROR(INDEX(ПАКЕТИ_ЦІНИ,MATCH($N$6&amp;"|Будні",ПАКЕТИ_КЛЮЧ,0),AD$2+1),0))</f>
        <v>0</v>
      </c>
      <c r="AL17" s="6" t="n">
        <f aca="false">IF(OR(AD$2=0,$N$5=0),0,IFERROR(INDEX(ПАКЕТИ_ЦІНИ,MATCH($N$6&amp;"|Вихідні",ПАКЕТИ_КЛЮЧ,0),AD$2+0),0))</f>
        <v>0</v>
      </c>
      <c r="AM17" s="6" t="n">
        <f aca="false">IF(OR(AD$2=0,$N$5=0),0,IFERROR(INDEX(ПАКЕТИ_ЦІНИ,MATCH($N$6&amp;"|Вихідні",ПАКЕТИ_КЛЮЧ,0),AD$2+1),0))</f>
        <v>0</v>
      </c>
      <c r="AN17" s="6" t="n">
        <f aca="false">IF(OR(AD$2=0,$N$7=0,$A17=""),0,IFERROR(INDEX(SPA_ЦІНИ,MATCH(INDEX(ДОВ_SPA,MATCH($A17,КАТЕГОРІЇ,0)),SPA_РОЛЬ,0),AD$2),0))</f>
        <v>0</v>
      </c>
      <c r="AO17" s="6" t="n">
        <f aca="false">IF(OR($A17="",AD17=0,AE17=0,AND($N$5=1,$D$4&gt;0,AJ17=0),AND($N$5=1,$F$4&gt;0,AK17=0),AND($N$7=1,AN17=0)),0,1)</f>
        <v>1</v>
      </c>
      <c r="AP17" s="6" t="n">
        <f aca="false">IF(OR(AO17=0,AF17=0,AND($N$5=1,$D$4&gt;0,AL17=0),AND($N$5=1,$F$4&gt;0,AM17=0)),0,1)</f>
        <v>1</v>
      </c>
    </row>
    <row r="18" customFormat="false" ht="25.5" hidden="false" customHeight="true" outlineLevel="0" collapsed="false">
      <c r="A18" s="19" t="str">
        <f aca="false">IF('Довідник категорій'!A16="","",'Довідник категорій'!A16)</f>
        <v>Люкс з видом на гори (з 2-ма спальнями) 61 м²</v>
      </c>
      <c r="B18" s="45" t="n">
        <f aca="false">IF(OR(AA18=0,($D$4+$F$4)=0,($D$4+$F$4)&gt;S18,($D$4+$F$4)&lt;U18),"",ROUND(((P18*Q18+MAX(0,($D$4+$F$4)-T18)*КРОК_ГОСТЯ)*(1-P$3)+($D$4*V18+$F$4*W18)*(1-P$3*P$4)+Z18*(1-P$3*P$5))/ОКРУГЛЕННЯ,0)*ОКРУГЛЕННЯ)</f>
        <v>4503</v>
      </c>
      <c r="C18" s="45" t="n">
        <f aca="false">IF(OR(AB18=0,($D$4+$F$4)=0,($D$4+$F$4)&gt;S18,($D$4+$F$4)&lt;U18),"",ROUND(((P18*Q18*R18+MAX(0,($D$4+$F$4)-T18)*КРОК_ГОСТЯ)*(1-P$3)+($D$4*X18+$F$4*Y18)*(1-P$3*P$4)+Z18*(1-P$3*P$5))/ОКРУГЛЕННЯ,0)*ОКРУГЛЕННЯ)</f>
        <v>4818</v>
      </c>
      <c r="D18" s="45" t="n">
        <f aca="false">IF(OR(AO18=0,($D$4+$F$4)=0,($D$4+$F$4)&gt;AG18,($D$4+$F$4)&lt;AI18),"",ROUND(((AD18*AE18+MAX(0,($D$4+$F$4)-AH18)*КРОК_ГОСТЯ)*(1-AD$3)+($D$4*AJ18+$F$4*AK18)*(1-AD$3*AD$4)+AN18*(1-AD$3*AD$5))/ОКРУГЛЕННЯ,0)*ОКРУГЛЕННЯ)</f>
        <v>4940</v>
      </c>
      <c r="E18" s="45" t="n">
        <f aca="false">IF(OR(AP18=0,($D$4+$F$4)=0,($D$4+$F$4)&gt;AG18,($D$4+$F$4)&lt;AI18),"",ROUND(((AD18*AE18*AF18+MAX(0,($D$4+$F$4)-AH18)*КРОК_ГОСТЯ)*(1-AD$3)+($D$4*AL18+$F$4*AM18)*(1-AD$3*AD$4)+AN18*(1-AD$3*AD$5))/ОКРУГЛЕННЯ,0)*ОКРУГЛЕННЯ)</f>
        <v>5286</v>
      </c>
      <c r="F18" s="45" t="n">
        <f aca="false">IF(OR(B18="",D18=""),"",D18-B18)</f>
        <v>437</v>
      </c>
      <c r="G18" s="45" t="n">
        <f aca="false">IF(OR(C18="",E18=""),"",E18-C18)</f>
        <v>468</v>
      </c>
      <c r="H18" s="47" t="n">
        <f aca="false">IF(OR(B18="",D18="",B18=0),"",D18/B18-1)</f>
        <v>0.0970464135021096</v>
      </c>
      <c r="I18" s="47" t="n">
        <f aca="false">IF(OR(C18="",E18="",C18=0),"",E18/C18-1)</f>
        <v>0.0971357409713574</v>
      </c>
      <c r="K18" s="58" t="s">
        <v>187</v>
      </c>
      <c r="L18" s="58"/>
      <c r="P18" s="17" t="n">
        <f aca="false">IF(OR(P$2=0,$A18=""),0,IFERROR(INDEX(БАЗА_RO,MATCH(INDEX(ДОВ_ОПОРА,MATCH($A18,КАТЕГОРІЇ,0)),БАЗА_КАТ,0),P$2),0))</f>
        <v>2370</v>
      </c>
      <c r="Q18" s="18" t="n">
        <f aca="false">IF(OR(P$2=0,$A18=""),0,IFERROR(INDEX(МНОЖНИКИ,MATCH($A18,МНОЖ_КАТ,0),P$2),0))</f>
        <v>1.9</v>
      </c>
      <c r="R18" s="18" t="n">
        <f aca="false">IF(OR(P$2=0,$A18=""),0,IFERROR(INDEX(МНОЖНИКИ,MATCH($A18,МНОЖ_КАТ,0),P$2+1),0))</f>
        <v>1.07</v>
      </c>
      <c r="S18" s="9" t="n">
        <f aca="false">IF($A18="",0,IFERROR(INDEX(ДОВ_МАКС,MATCH($A18,КАТЕГОРІЇ,0)),0))</f>
        <v>5</v>
      </c>
      <c r="T18" s="9" t="n">
        <f aca="false">IF($A18="",0,IFERROR(INDEX(ДОВ_ВКЛ,MATCH($A18,КАТЕГОРІЇ,0)),0))</f>
        <v>2</v>
      </c>
      <c r="U18" s="9" t="n">
        <f aca="false">IF($A18="",0,IFERROR(INDEX(ДОВ_МІН,MATCH($A18,КАТЕГОРІЇ,0)),0))</f>
        <v>1</v>
      </c>
      <c r="V18" s="6" t="n">
        <f aca="false">IF(OR(P$2=0,$N$5=0),0,IFERROR(INDEX(ПАКЕТИ_ЦІНИ,MATCH($N$6&amp;"|Будні",ПАКЕТИ_КЛЮЧ,0),P$2+0),0))</f>
        <v>0</v>
      </c>
      <c r="W18" s="6" t="n">
        <f aca="false">IF(OR(P$2=0,$N$5=0),0,IFERROR(INDEX(ПАКЕТИ_ЦІНИ,MATCH($N$6&amp;"|Будні",ПАКЕТИ_КЛЮЧ,0),P$2+1),0))</f>
        <v>0</v>
      </c>
      <c r="X18" s="6" t="n">
        <f aca="false">IF(OR(P$2=0,$N$5=0),0,IFERROR(INDEX(ПАКЕТИ_ЦІНИ,MATCH($N$6&amp;"|Вихідні",ПАКЕТИ_КЛЮЧ,0),P$2+0),0))</f>
        <v>0</v>
      </c>
      <c r="Y18" s="6" t="n">
        <f aca="false">IF(OR(P$2=0,$N$5=0),0,IFERROR(INDEX(ПАКЕТИ_ЦІНИ,MATCH($N$6&amp;"|Вихідні",ПАКЕТИ_КЛЮЧ,0),P$2+1),0))</f>
        <v>0</v>
      </c>
      <c r="Z18" s="6" t="n">
        <f aca="false">IF(OR(P$2=0,$N$7=0,$A18=""),0,IFERROR(INDEX(SPA_ЦІНИ,MATCH(INDEX(ДОВ_SPA,MATCH($A18,КАТЕГОРІЇ,0)),SPA_РОЛЬ,0),P$2),0))</f>
        <v>0</v>
      </c>
      <c r="AA18" s="6" t="n">
        <f aca="false">IF(OR($A18="",P18=0,Q18=0,AND($N$5=1,$D$4&gt;0,V18=0),AND($N$5=1,$F$4&gt;0,W18=0),AND($N$7=1,Z18=0)),0,1)</f>
        <v>1</v>
      </c>
      <c r="AB18" s="6" t="n">
        <f aca="false">IF(OR(AA18=0,R18=0,AND($N$5=1,$D$4&gt;0,X18=0),AND($N$5=1,$F$4&gt;0,Y18=0)),0,1)</f>
        <v>1</v>
      </c>
      <c r="AD18" s="17" t="n">
        <f aca="false">IF(OR(AD$2=0,$A18=""),0,IFERROR(INDEX(БАЗА_RO,MATCH(INDEX(ДОВ_ОПОРА,MATCH($A18,КАТЕГОРІЇ,0)),БАЗА_КАТ,0),AD$2),0))</f>
        <v>2600</v>
      </c>
      <c r="AE18" s="18" t="n">
        <f aca="false">IF(OR(AD$2=0,$A18=""),0,IFERROR(INDEX(МНОЖНИКИ,MATCH($A18,МНОЖ_КАТ,0),AD$2),0))</f>
        <v>1.9</v>
      </c>
      <c r="AF18" s="18" t="n">
        <f aca="false">IF(OR(AD$2=0,$A18=""),0,IFERROR(INDEX(МНОЖНИКИ,MATCH($A18,МНОЖ_КАТ,0),AD$2+1),0))</f>
        <v>1.07</v>
      </c>
      <c r="AG18" s="9" t="n">
        <f aca="false">IF($A18="",0,IFERROR(INDEX(ДОВ_МАКС,MATCH($A18,КАТЕГОРІЇ,0)),0))</f>
        <v>5</v>
      </c>
      <c r="AH18" s="9" t="n">
        <f aca="false">IF($A18="",0,IFERROR(INDEX(ДОВ_ВКЛ,MATCH($A18,КАТЕГОРІЇ,0)),0))</f>
        <v>2</v>
      </c>
      <c r="AI18" s="9" t="n">
        <f aca="false">IF($A18="",0,IFERROR(INDEX(ДОВ_МІН,MATCH($A18,КАТЕГОРІЇ,0)),0))</f>
        <v>1</v>
      </c>
      <c r="AJ18" s="6" t="n">
        <f aca="false">IF(OR(AD$2=0,$N$5=0),0,IFERROR(INDEX(ПАКЕТИ_ЦІНИ,MATCH($N$6&amp;"|Будні",ПАКЕТИ_КЛЮЧ,0),AD$2+0),0))</f>
        <v>0</v>
      </c>
      <c r="AK18" s="6" t="n">
        <f aca="false">IF(OR(AD$2=0,$N$5=0),0,IFERROR(INDEX(ПАКЕТИ_ЦІНИ,MATCH($N$6&amp;"|Будні",ПАКЕТИ_КЛЮЧ,0),AD$2+1),0))</f>
        <v>0</v>
      </c>
      <c r="AL18" s="6" t="n">
        <f aca="false">IF(OR(AD$2=0,$N$5=0),0,IFERROR(INDEX(ПАКЕТИ_ЦІНИ,MATCH($N$6&amp;"|Вихідні",ПАКЕТИ_КЛЮЧ,0),AD$2+0),0))</f>
        <v>0</v>
      </c>
      <c r="AM18" s="6" t="n">
        <f aca="false">IF(OR(AD$2=0,$N$5=0),0,IFERROR(INDEX(ПАКЕТИ_ЦІНИ,MATCH($N$6&amp;"|Вихідні",ПАКЕТИ_КЛЮЧ,0),AD$2+1),0))</f>
        <v>0</v>
      </c>
      <c r="AN18" s="6" t="n">
        <f aca="false">IF(OR(AD$2=0,$N$7=0,$A18=""),0,IFERROR(INDEX(SPA_ЦІНИ,MATCH(INDEX(ДОВ_SPA,MATCH($A18,КАТЕГОРІЇ,0)),SPA_РОЛЬ,0),AD$2),0))</f>
        <v>0</v>
      </c>
      <c r="AO18" s="6" t="n">
        <f aca="false">IF(OR($A18="",AD18=0,AE18=0,AND($N$5=1,$D$4&gt;0,AJ18=0),AND($N$5=1,$F$4&gt;0,AK18=0),AND($N$7=1,AN18=0)),0,1)</f>
        <v>1</v>
      </c>
      <c r="AP18" s="6" t="n">
        <f aca="false">IF(OR(AO18=0,AF18=0,AND($N$5=1,$D$4&gt;0,AL18=0),AND($N$5=1,$F$4&gt;0,AM18=0)),0,1)</f>
        <v>1</v>
      </c>
    </row>
    <row r="19" customFormat="false" ht="15" hidden="false" customHeight="false" outlineLevel="0" collapsed="false">
      <c r="A19" s="13" t="str">
        <f aca="false">IF('Довідник категорій'!A17="","",'Довідник категорій'!A17)</f>
        <v>Апартаменти 1-й поверх 45 м²</v>
      </c>
      <c r="B19" s="33" t="n">
        <f aca="false">IF(OR(AA19=0,($D$4+$F$4)=0,($D$4+$F$4)&gt;S19,($D$4+$F$4)&lt;U19),"",ROUND(((P19*Q19+MAX(0,($D$4+$F$4)-T19)*КРОК_ГОСТЯ)*(1-P$3)+($D$4*V19+$F$4*W19)*(1-P$3*P$4)+Z19*(1-P$3*P$5))/ОКРУГЛЕННЯ,0)*ОКРУГЛЕННЯ)</f>
        <v>2930</v>
      </c>
      <c r="C19" s="33" t="n">
        <f aca="false">IF(OR(AB19=0,($D$4+$F$4)=0,($D$4+$F$4)&gt;S19,($D$4+$F$4)&lt;U19),"",ROUND(((P19*Q19*R19+MAX(0,($D$4+$F$4)-T19)*КРОК_ГОСТЯ)*(1-P$3)+($D$4*X19+$F$4*Y19)*(1-P$3*P$4)+Z19*(1-P$3*P$5))/ОКРУГЛЕННЯ,0)*ОКРУГЛЕННЯ)</f>
        <v>3135</v>
      </c>
      <c r="D19" s="33" t="n">
        <f aca="false">IF(OR(AO19=0,($D$4+$F$4)=0,($D$4+$F$4)&gt;AG19,($D$4+$F$4)&lt;AI19),"",ROUND(((AD19*AE19+MAX(0,($D$4+$F$4)-AH19)*КРОК_ГОСТЯ)*(1-AD$3)+($D$4*AJ19+$F$4*AK19)*(1-AD$3*AD$4)+AN19*(1-AD$3*AD$5))/ОКРУГЛЕННЯ,0)*ОКРУГЛЕННЯ)</f>
        <v>3400</v>
      </c>
      <c r="E19" s="33" t="n">
        <f aca="false">IF(OR(AP19=0,($D$4+$F$4)=0,($D$4+$F$4)&gt;AG19,($D$4+$F$4)&lt;AI19),"",ROUND(((AD19*AE19*AF19+MAX(0,($D$4+$F$4)-AH19)*КРОК_ГОСТЯ)*(1-AD$3)+($D$4*AL19+$F$4*AM19)*(1-AD$3*AD$4)+AN19*(1-AD$3*AD$5))/ОКРУГЛЕННЯ,0)*ОКРУГЛЕННЯ)</f>
        <v>3638</v>
      </c>
      <c r="F19" s="33" t="n">
        <f aca="false">IF(OR(B19="",D19=""),"",D19-B19)</f>
        <v>470</v>
      </c>
      <c r="G19" s="33" t="n">
        <f aca="false">IF(OR(C19="",E19=""),"",E19-C19)</f>
        <v>503</v>
      </c>
      <c r="H19" s="55" t="n">
        <f aca="false">IF(OR(B19="",D19="",B19=0),"",D19/B19-1)</f>
        <v>0.160409556313993</v>
      </c>
      <c r="I19" s="55" t="n">
        <f aca="false">IF(OR(C19="",E19="",C19=0),"",E19/C19-1)</f>
        <v>0.160446570972887</v>
      </c>
      <c r="K19" s="58"/>
      <c r="L19" s="58"/>
      <c r="P19" s="17" t="n">
        <f aca="false">IF(OR(P$2=0,$A19=""),0,IFERROR(INDEX(БАЗА_RO,MATCH(INDEX(ДОВ_ОПОРА,MATCH($A19,КАТЕГОРІЇ,0)),БАЗА_КАТ,0),P$2),0))</f>
        <v>2930</v>
      </c>
      <c r="Q19" s="18" t="n">
        <f aca="false">IF(OR(P$2=0,$A19=""),0,IFERROR(INDEX(МНОЖНИКИ,MATCH($A19,МНОЖ_КАТ,0),P$2),0))</f>
        <v>1</v>
      </c>
      <c r="R19" s="18" t="n">
        <f aca="false">IF(OR(P$2=0,$A19=""),0,IFERROR(INDEX(МНОЖНИКИ,MATCH($A19,МНОЖ_КАТ,0),P$2+1),0))</f>
        <v>1.07</v>
      </c>
      <c r="S19" s="9" t="n">
        <f aca="false">IF($A19="",0,IFERROR(INDEX(ДОВ_МАКС,MATCH($A19,КАТЕГОРІЇ,0)),0))</f>
        <v>3</v>
      </c>
      <c r="T19" s="9" t="n">
        <f aca="false">IF($A19="",0,IFERROR(INDEX(ДОВ_ВКЛ,MATCH($A19,КАТЕГОРІЇ,0)),0))</f>
        <v>2</v>
      </c>
      <c r="U19" s="9" t="n">
        <f aca="false">IF($A19="",0,IFERROR(INDEX(ДОВ_МІН,MATCH($A19,КАТЕГОРІЇ,0)),0))</f>
        <v>1</v>
      </c>
      <c r="V19" s="6" t="n">
        <f aca="false">IF(OR(P$2=0,$N$5=0),0,IFERROR(INDEX(ПАКЕТИ_ЦІНИ,MATCH($N$6&amp;"|Будні",ПАКЕТИ_КЛЮЧ,0),P$2+0),0))</f>
        <v>0</v>
      </c>
      <c r="W19" s="6" t="n">
        <f aca="false">IF(OR(P$2=0,$N$5=0),0,IFERROR(INDEX(ПАКЕТИ_ЦІНИ,MATCH($N$6&amp;"|Будні",ПАКЕТИ_КЛЮЧ,0),P$2+1),0))</f>
        <v>0</v>
      </c>
      <c r="X19" s="6" t="n">
        <f aca="false">IF(OR(P$2=0,$N$5=0),0,IFERROR(INDEX(ПАКЕТИ_ЦІНИ,MATCH($N$6&amp;"|Вихідні",ПАКЕТИ_КЛЮЧ,0),P$2+0),0))</f>
        <v>0</v>
      </c>
      <c r="Y19" s="6" t="n">
        <f aca="false">IF(OR(P$2=0,$N$5=0),0,IFERROR(INDEX(ПАКЕТИ_ЦІНИ,MATCH($N$6&amp;"|Вихідні",ПАКЕТИ_КЛЮЧ,0),P$2+1),0))</f>
        <v>0</v>
      </c>
      <c r="Z19" s="6" t="n">
        <f aca="false">IF(OR(P$2=0,$N$7=0,$A19=""),0,IFERROR(INDEX(SPA_ЦІНИ,MATCH(INDEX(ДОВ_SPA,MATCH($A19,КАТЕГОРІЇ,0)),SPA_РОЛЬ,0),P$2),0))</f>
        <v>0</v>
      </c>
      <c r="AA19" s="6" t="n">
        <f aca="false">IF(OR($A19="",P19=0,Q19=0,AND($N$5=1,$D$4&gt;0,V19=0),AND($N$5=1,$F$4&gt;0,W19=0),AND($N$7=1,Z19=0)),0,1)</f>
        <v>1</v>
      </c>
      <c r="AB19" s="6" t="n">
        <f aca="false">IF(OR(AA19=0,R19=0,AND($N$5=1,$D$4&gt;0,X19=0),AND($N$5=1,$F$4&gt;0,Y19=0)),0,1)</f>
        <v>1</v>
      </c>
      <c r="AD19" s="17" t="n">
        <f aca="false">IF(OR(AD$2=0,$A19=""),0,IFERROR(INDEX(БАЗА_RO,MATCH(INDEX(ДОВ_ОПОРА,MATCH($A19,КАТЕГОРІЇ,0)),БАЗА_КАТ,0),AD$2),0))</f>
        <v>3400</v>
      </c>
      <c r="AE19" s="18" t="n">
        <f aca="false">IF(OR(AD$2=0,$A19=""),0,IFERROR(INDEX(МНОЖНИКИ,MATCH($A19,МНОЖ_КАТ,0),AD$2),0))</f>
        <v>1</v>
      </c>
      <c r="AF19" s="18" t="n">
        <f aca="false">IF(OR(AD$2=0,$A19=""),0,IFERROR(INDEX(МНОЖНИКИ,MATCH($A19,МНОЖ_КАТ,0),AD$2+1),0))</f>
        <v>1.07</v>
      </c>
      <c r="AG19" s="9" t="n">
        <f aca="false">IF($A19="",0,IFERROR(INDEX(ДОВ_МАКС,MATCH($A19,КАТЕГОРІЇ,0)),0))</f>
        <v>3</v>
      </c>
      <c r="AH19" s="9" t="n">
        <f aca="false">IF($A19="",0,IFERROR(INDEX(ДОВ_ВКЛ,MATCH($A19,КАТЕГОРІЇ,0)),0))</f>
        <v>2</v>
      </c>
      <c r="AI19" s="9" t="n">
        <f aca="false">IF($A19="",0,IFERROR(INDEX(ДОВ_МІН,MATCH($A19,КАТЕГОРІЇ,0)),0))</f>
        <v>1</v>
      </c>
      <c r="AJ19" s="6" t="n">
        <f aca="false">IF(OR(AD$2=0,$N$5=0),0,IFERROR(INDEX(ПАКЕТИ_ЦІНИ,MATCH($N$6&amp;"|Будні",ПАКЕТИ_КЛЮЧ,0),AD$2+0),0))</f>
        <v>0</v>
      </c>
      <c r="AK19" s="6" t="n">
        <f aca="false">IF(OR(AD$2=0,$N$5=0),0,IFERROR(INDEX(ПАКЕТИ_ЦІНИ,MATCH($N$6&amp;"|Будні",ПАКЕТИ_КЛЮЧ,0),AD$2+1),0))</f>
        <v>0</v>
      </c>
      <c r="AL19" s="6" t="n">
        <f aca="false">IF(OR(AD$2=0,$N$5=0),0,IFERROR(INDEX(ПАКЕТИ_ЦІНИ,MATCH($N$6&amp;"|Вихідні",ПАКЕТИ_КЛЮЧ,0),AD$2+0),0))</f>
        <v>0</v>
      </c>
      <c r="AM19" s="6" t="n">
        <f aca="false">IF(OR(AD$2=0,$N$5=0),0,IFERROR(INDEX(ПАКЕТИ_ЦІНИ,MATCH($N$6&amp;"|Вихідні",ПАКЕТИ_КЛЮЧ,0),AD$2+1),0))</f>
        <v>0</v>
      </c>
      <c r="AN19" s="6" t="n">
        <f aca="false">IF(OR(AD$2=0,$N$7=0,$A19=""),0,IFERROR(INDEX(SPA_ЦІНИ,MATCH(INDEX(ДОВ_SPA,MATCH($A19,КАТЕГОРІЇ,0)),SPA_РОЛЬ,0),AD$2),0))</f>
        <v>0</v>
      </c>
      <c r="AO19" s="6" t="n">
        <f aca="false">IF(OR($A19="",AD19=0,AE19=0,AND($N$5=1,$D$4&gt;0,AJ19=0),AND($N$5=1,$F$4&gt;0,AK19=0),AND($N$7=1,AN19=0)),0,1)</f>
        <v>1</v>
      </c>
      <c r="AP19" s="6" t="n">
        <f aca="false">IF(OR(AO19=0,AF19=0,AND($N$5=1,$D$4&gt;0,AL19=0),AND($N$5=1,$F$4&gt;0,AM19=0)),0,1)</f>
        <v>1</v>
      </c>
    </row>
    <row r="20" customFormat="false" ht="15" hidden="false" customHeight="false" outlineLevel="0" collapsed="false">
      <c r="A20" s="19" t="str">
        <f aca="false">IF('Довідник категорій'!A18="","",'Довідник категорій'!A18)</f>
        <v>Апартаменти 2-кімнатні 1-й поверх</v>
      </c>
      <c r="B20" s="45" t="n">
        <f aca="false">IF(OR(AA20=0,($D$4+$F$4)=0,($D$4+$F$4)&gt;S20,($D$4+$F$4)&lt;U20),"",ROUND(((P20*Q20+MAX(0,($D$4+$F$4)-T20)*КРОК_ГОСТЯ)*(1-P$3)+($D$4*V20+$F$4*W20)*(1-P$3*P$4)+Z20*(1-P$3*P$5))/ОКРУГЛЕННЯ,0)*ОКРУГЛЕННЯ)</f>
        <v>3194</v>
      </c>
      <c r="C20" s="45" t="n">
        <f aca="false">IF(OR(AB20=0,($D$4+$F$4)=0,($D$4+$F$4)&gt;S20,($D$4+$F$4)&lt;U20),"",ROUND(((P20*Q20*R20+MAX(0,($D$4+$F$4)-T20)*КРОК_ГОСТЯ)*(1-P$3)+($D$4*X20+$F$4*Y20)*(1-P$3*P$4)+Z20*(1-P$3*P$5))/ОКРУГЛЕННЯ,0)*ОКРУГЛЕННЯ)</f>
        <v>3402</v>
      </c>
      <c r="D20" s="45" t="n">
        <f aca="false">IF(OR(AO20=0,($D$4+$F$4)=0,($D$4+$F$4)&gt;AG20,($D$4+$F$4)&lt;AI20),"",ROUND(((AD20*AE20+MAX(0,($D$4+$F$4)-AH20)*КРОК_ГОСТЯ)*(1-AD$3)+($D$4*AJ20+$F$4*AK20)*(1-AD$3*AD$4)+AN20*(1-AD$3*AD$5))/ОКРУГЛЕННЯ,0)*ОКРУГЛЕННЯ)</f>
        <v>3740</v>
      </c>
      <c r="E20" s="45" t="n">
        <f aca="false">IF(OR(AP20=0,($D$4+$F$4)=0,($D$4+$F$4)&gt;AG20,($D$4+$F$4)&lt;AI20),"",ROUND(((AD20*AE20*AF20+MAX(0,($D$4+$F$4)-AH20)*КРОК_ГОСТЯ)*(1-AD$3)+($D$4*AL20+$F$4*AM20)*(1-AD$3*AD$4)+AN20*(1-AD$3*AD$5))/ОКРУГЛЕННЯ,0)*ОКРУГЛЕННЯ)</f>
        <v>3984</v>
      </c>
      <c r="F20" s="45" t="n">
        <f aca="false">IF(OR(B20="",D20=""),"",D20-B20)</f>
        <v>546</v>
      </c>
      <c r="G20" s="45" t="n">
        <f aca="false">IF(OR(C20="",E20=""),"",E20-C20)</f>
        <v>582</v>
      </c>
      <c r="H20" s="47" t="n">
        <f aca="false">IF(OR(B20="",D20="",B20=0),"",D20/B20-1)</f>
        <v>0.170945522855354</v>
      </c>
      <c r="I20" s="47" t="n">
        <f aca="false">IF(OR(C20="",E20="",C20=0),"",E20/C20-1)</f>
        <v>0.171075837742504</v>
      </c>
      <c r="P20" s="17" t="n">
        <f aca="false">IF(OR(P$2=0,$A20=""),0,IFERROR(INDEX(БАЗА_RO,MATCH(INDEX(ДОВ_ОПОРА,MATCH($A20,КАТЕГОРІЇ,0)),БАЗА_КАТ,0),P$2),0))</f>
        <v>2930</v>
      </c>
      <c r="Q20" s="18" t="n">
        <f aca="false">IF(OR(P$2=0,$A20=""),0,IFERROR(INDEX(МНОЖНИКИ,MATCH($A20,МНОЖ_КАТ,0),P$2),0))</f>
        <v>1.09</v>
      </c>
      <c r="R20" s="18" t="n">
        <f aca="false">IF(OR(P$2=0,$A20=""),0,IFERROR(INDEX(МНОЖНИКИ,MATCH($A20,МНОЖ_КАТ,0),P$2+1),0))</f>
        <v>1.0652</v>
      </c>
      <c r="S20" s="9" t="n">
        <f aca="false">IF($A20="",0,IFERROR(INDEX(ДОВ_МАКС,MATCH($A20,КАТЕГОРІЇ,0)),0))</f>
        <v>3</v>
      </c>
      <c r="T20" s="9" t="n">
        <f aca="false">IF($A20="",0,IFERROR(INDEX(ДОВ_ВКЛ,MATCH($A20,КАТЕГОРІЇ,0)),0))</f>
        <v>2</v>
      </c>
      <c r="U20" s="9" t="n">
        <f aca="false">IF($A20="",0,IFERROR(INDEX(ДОВ_МІН,MATCH($A20,КАТЕГОРІЇ,0)),0))</f>
        <v>1</v>
      </c>
      <c r="V20" s="6" t="n">
        <f aca="false">IF(OR(P$2=0,$N$5=0),0,IFERROR(INDEX(ПАКЕТИ_ЦІНИ,MATCH($N$6&amp;"|Будні",ПАКЕТИ_КЛЮЧ,0),P$2+0),0))</f>
        <v>0</v>
      </c>
      <c r="W20" s="6" t="n">
        <f aca="false">IF(OR(P$2=0,$N$5=0),0,IFERROR(INDEX(ПАКЕТИ_ЦІНИ,MATCH($N$6&amp;"|Будні",ПАКЕТИ_КЛЮЧ,0),P$2+1),0))</f>
        <v>0</v>
      </c>
      <c r="X20" s="6" t="n">
        <f aca="false">IF(OR(P$2=0,$N$5=0),0,IFERROR(INDEX(ПАКЕТИ_ЦІНИ,MATCH($N$6&amp;"|Вихідні",ПАКЕТИ_КЛЮЧ,0),P$2+0),0))</f>
        <v>0</v>
      </c>
      <c r="Y20" s="6" t="n">
        <f aca="false">IF(OR(P$2=0,$N$5=0),0,IFERROR(INDEX(ПАКЕТИ_ЦІНИ,MATCH($N$6&amp;"|Вихідні",ПАКЕТИ_КЛЮЧ,0),P$2+1),0))</f>
        <v>0</v>
      </c>
      <c r="Z20" s="6" t="n">
        <f aca="false">IF(OR(P$2=0,$N$7=0,$A20=""),0,IFERROR(INDEX(SPA_ЦІНИ,MATCH(INDEX(ДОВ_SPA,MATCH($A20,КАТЕГОРІЇ,0)),SPA_РОЛЬ,0),P$2),0))</f>
        <v>0</v>
      </c>
      <c r="AA20" s="6" t="n">
        <f aca="false">IF(OR($A20="",P20=0,Q20=0,AND($N$5=1,$D$4&gt;0,V20=0),AND($N$5=1,$F$4&gt;0,W20=0),AND($N$7=1,Z20=0)),0,1)</f>
        <v>1</v>
      </c>
      <c r="AB20" s="6" t="n">
        <f aca="false">IF(OR(AA20=0,R20=0,AND($N$5=1,$D$4&gt;0,X20=0),AND($N$5=1,$F$4&gt;0,Y20=0)),0,1)</f>
        <v>1</v>
      </c>
      <c r="AD20" s="17" t="n">
        <f aca="false">IF(OR(AD$2=0,$A20=""),0,IFERROR(INDEX(БАЗА_RO,MATCH(INDEX(ДОВ_ОПОРА,MATCH($A20,КАТЕГОРІЇ,0)),БАЗА_КАТ,0),AD$2),0))</f>
        <v>3400</v>
      </c>
      <c r="AE20" s="18" t="n">
        <f aca="false">IF(OR(AD$2=0,$A20=""),0,IFERROR(INDEX(МНОЖНИКИ,MATCH($A20,МНОЖ_КАТ,0),AD$2),0))</f>
        <v>1.1</v>
      </c>
      <c r="AF20" s="18" t="n">
        <f aca="false">IF(OR(AD$2=0,$A20=""),0,IFERROR(INDEX(МНОЖНИКИ,MATCH($A20,МНОЖ_КАТ,0),AD$2+1),0))</f>
        <v>1.0652</v>
      </c>
      <c r="AG20" s="9" t="n">
        <f aca="false">IF($A20="",0,IFERROR(INDEX(ДОВ_МАКС,MATCH($A20,КАТЕГОРІЇ,0)),0))</f>
        <v>3</v>
      </c>
      <c r="AH20" s="9" t="n">
        <f aca="false">IF($A20="",0,IFERROR(INDEX(ДОВ_ВКЛ,MATCH($A20,КАТЕГОРІЇ,0)),0))</f>
        <v>2</v>
      </c>
      <c r="AI20" s="9" t="n">
        <f aca="false">IF($A20="",0,IFERROR(INDEX(ДОВ_МІН,MATCH($A20,КАТЕГОРІЇ,0)),0))</f>
        <v>1</v>
      </c>
      <c r="AJ20" s="6" t="n">
        <f aca="false">IF(OR(AD$2=0,$N$5=0),0,IFERROR(INDEX(ПАКЕТИ_ЦІНИ,MATCH($N$6&amp;"|Будні",ПАКЕТИ_КЛЮЧ,0),AD$2+0),0))</f>
        <v>0</v>
      </c>
      <c r="AK20" s="6" t="n">
        <f aca="false">IF(OR(AD$2=0,$N$5=0),0,IFERROR(INDEX(ПАКЕТИ_ЦІНИ,MATCH($N$6&amp;"|Будні",ПАКЕТИ_КЛЮЧ,0),AD$2+1),0))</f>
        <v>0</v>
      </c>
      <c r="AL20" s="6" t="n">
        <f aca="false">IF(OR(AD$2=0,$N$5=0),0,IFERROR(INDEX(ПАКЕТИ_ЦІНИ,MATCH($N$6&amp;"|Вихідні",ПАКЕТИ_КЛЮЧ,0),AD$2+0),0))</f>
        <v>0</v>
      </c>
      <c r="AM20" s="6" t="n">
        <f aca="false">IF(OR(AD$2=0,$N$5=0),0,IFERROR(INDEX(ПАКЕТИ_ЦІНИ,MATCH($N$6&amp;"|Вихідні",ПАКЕТИ_КЛЮЧ,0),AD$2+1),0))</f>
        <v>0</v>
      </c>
      <c r="AN20" s="6" t="n">
        <f aca="false">IF(OR(AD$2=0,$N$7=0,$A20=""),0,IFERROR(INDEX(SPA_ЦІНИ,MATCH(INDEX(ДОВ_SPA,MATCH($A20,КАТЕГОРІЇ,0)),SPA_РОЛЬ,0),AD$2),0))</f>
        <v>0</v>
      </c>
      <c r="AO20" s="6" t="n">
        <f aca="false">IF(OR($A20="",AD20=0,AE20=0,AND($N$5=1,$D$4&gt;0,AJ20=0),AND($N$5=1,$F$4&gt;0,AK20=0),AND($N$7=1,AN20=0)),0,1)</f>
        <v>1</v>
      </c>
      <c r="AP20" s="6" t="n">
        <f aca="false">IF(OR(AO20=0,AF20=0,AND($N$5=1,$D$4&gt;0,AL20=0),AND($N$5=1,$F$4&gt;0,AM20=0)),0,1)</f>
        <v>1</v>
      </c>
    </row>
    <row r="21" customFormat="false" ht="15" hidden="false" customHeight="false" outlineLevel="0" collapsed="false">
      <c r="A21" s="13" t="str">
        <f aca="false">IF('Довідник категорій'!A19="","",'Довідник категорій'!A19)</f>
        <v>Апартаменти з ванною 2-й поверх</v>
      </c>
      <c r="B21" s="33" t="n">
        <f aca="false">IF(OR(AA21=0,($D$4+$F$4)=0,($D$4+$F$4)&gt;S21,($D$4+$F$4)&lt;U21),"",ROUND(((P21*Q21+MAX(0,($D$4+$F$4)-T21)*КРОК_ГОСТЯ)*(1-P$3)+($D$4*V21+$F$4*W21)*(1-P$3*P$4)+Z21*(1-P$3*P$5))/ОКРУГЛЕННЯ,0)*ОКРУГЛЕННЯ)</f>
        <v>3194</v>
      </c>
      <c r="C21" s="33" t="n">
        <f aca="false">IF(OR(AB21=0,($D$4+$F$4)=0,($D$4+$F$4)&gt;S21,($D$4+$F$4)&lt;U21),"",ROUND(((P21*Q21*R21+MAX(0,($D$4+$F$4)-T21)*КРОК_ГОСТЯ)*(1-P$3)+($D$4*X21+$F$4*Y21)*(1-P$3*P$4)+Z21*(1-P$3*P$5))/ОКРУГЛЕННЯ,0)*ОКРУГЛЕННЯ)</f>
        <v>3402</v>
      </c>
      <c r="D21" s="33" t="n">
        <f aca="false">IF(OR(AO21=0,($D$4+$F$4)=0,($D$4+$F$4)&gt;AG21,($D$4+$F$4)&lt;AI21),"",ROUND(((AD21*AE21+MAX(0,($D$4+$F$4)-AH21)*КРОК_ГОСТЯ)*(1-AD$3)+($D$4*AJ21+$F$4*AK21)*(1-AD$3*AD$4)+AN21*(1-AD$3*AD$5))/ОКРУГЛЕННЯ,0)*ОКРУГЛЕННЯ)</f>
        <v>3740</v>
      </c>
      <c r="E21" s="33" t="n">
        <f aca="false">IF(OR(AP21=0,($D$4+$F$4)=0,($D$4+$F$4)&gt;AG21,($D$4+$F$4)&lt;AI21),"",ROUND(((AD21*AE21*AF21+MAX(0,($D$4+$F$4)-AH21)*КРОК_ГОСТЯ)*(1-AD$3)+($D$4*AL21+$F$4*AM21)*(1-AD$3*AD$4)+AN21*(1-AD$3*AD$5))/ОКРУГЛЕННЯ,0)*ОКРУГЛЕННЯ)</f>
        <v>3984</v>
      </c>
      <c r="F21" s="33" t="n">
        <f aca="false">IF(OR(B21="",D21=""),"",D21-B21)</f>
        <v>546</v>
      </c>
      <c r="G21" s="33" t="n">
        <f aca="false">IF(OR(C21="",E21=""),"",E21-C21)</f>
        <v>582</v>
      </c>
      <c r="H21" s="55" t="n">
        <f aca="false">IF(OR(B21="",D21="",B21=0),"",D21/B21-1)</f>
        <v>0.170945522855354</v>
      </c>
      <c r="I21" s="55" t="n">
        <f aca="false">IF(OR(C21="",E21="",C21=0),"",E21/C21-1)</f>
        <v>0.171075837742504</v>
      </c>
      <c r="P21" s="17" t="n">
        <f aca="false">IF(OR(P$2=0,$A21=""),0,IFERROR(INDEX(БАЗА_RO,MATCH(INDEX(ДОВ_ОПОРА,MATCH($A21,КАТЕГОРІЇ,0)),БАЗА_КАТ,0),P$2),0))</f>
        <v>2930</v>
      </c>
      <c r="Q21" s="18" t="n">
        <f aca="false">IF(OR(P$2=0,$A21=""),0,IFERROR(INDEX(МНОЖНИКИ,MATCH($A21,МНОЖ_КАТ,0),P$2),0))</f>
        <v>1.09</v>
      </c>
      <c r="R21" s="18" t="n">
        <f aca="false">IF(OR(P$2=0,$A21=""),0,IFERROR(INDEX(МНОЖНИКИ,MATCH($A21,МНОЖ_КАТ,0),P$2+1),0))</f>
        <v>1.0652</v>
      </c>
      <c r="S21" s="9" t="n">
        <f aca="false">IF($A21="",0,IFERROR(INDEX(ДОВ_МАКС,MATCH($A21,КАТЕГОРІЇ,0)),0))</f>
        <v>3</v>
      </c>
      <c r="T21" s="9" t="n">
        <f aca="false">IF($A21="",0,IFERROR(INDEX(ДОВ_ВКЛ,MATCH($A21,КАТЕГОРІЇ,0)),0))</f>
        <v>2</v>
      </c>
      <c r="U21" s="9" t="n">
        <f aca="false">IF($A21="",0,IFERROR(INDEX(ДОВ_МІН,MATCH($A21,КАТЕГОРІЇ,0)),0))</f>
        <v>1</v>
      </c>
      <c r="V21" s="6" t="n">
        <f aca="false">IF(OR(P$2=0,$N$5=0),0,IFERROR(INDEX(ПАКЕТИ_ЦІНИ,MATCH($N$6&amp;"|Будні",ПАКЕТИ_КЛЮЧ,0),P$2+0),0))</f>
        <v>0</v>
      </c>
      <c r="W21" s="6" t="n">
        <f aca="false">IF(OR(P$2=0,$N$5=0),0,IFERROR(INDEX(ПАКЕТИ_ЦІНИ,MATCH($N$6&amp;"|Будні",ПАКЕТИ_КЛЮЧ,0),P$2+1),0))</f>
        <v>0</v>
      </c>
      <c r="X21" s="6" t="n">
        <f aca="false">IF(OR(P$2=0,$N$5=0),0,IFERROR(INDEX(ПАКЕТИ_ЦІНИ,MATCH($N$6&amp;"|Вихідні",ПАКЕТИ_КЛЮЧ,0),P$2+0),0))</f>
        <v>0</v>
      </c>
      <c r="Y21" s="6" t="n">
        <f aca="false">IF(OR(P$2=0,$N$5=0),0,IFERROR(INDEX(ПАКЕТИ_ЦІНИ,MATCH($N$6&amp;"|Вихідні",ПАКЕТИ_КЛЮЧ,0),P$2+1),0))</f>
        <v>0</v>
      </c>
      <c r="Z21" s="6" t="n">
        <f aca="false">IF(OR(P$2=0,$N$7=0,$A21=""),0,IFERROR(INDEX(SPA_ЦІНИ,MATCH(INDEX(ДОВ_SPA,MATCH($A21,КАТЕГОРІЇ,0)),SPA_РОЛЬ,0),P$2),0))</f>
        <v>0</v>
      </c>
      <c r="AA21" s="6" t="n">
        <f aca="false">IF(OR($A21="",P21=0,Q21=0,AND($N$5=1,$D$4&gt;0,V21=0),AND($N$5=1,$F$4&gt;0,W21=0),AND($N$7=1,Z21=0)),0,1)</f>
        <v>1</v>
      </c>
      <c r="AB21" s="6" t="n">
        <f aca="false">IF(OR(AA21=0,R21=0,AND($N$5=1,$D$4&gt;0,X21=0),AND($N$5=1,$F$4&gt;0,Y21=0)),0,1)</f>
        <v>1</v>
      </c>
      <c r="AD21" s="17" t="n">
        <f aca="false">IF(OR(AD$2=0,$A21=""),0,IFERROR(INDEX(БАЗА_RO,MATCH(INDEX(ДОВ_ОПОРА,MATCH($A21,КАТЕГОРІЇ,0)),БАЗА_КАТ,0),AD$2),0))</f>
        <v>3400</v>
      </c>
      <c r="AE21" s="18" t="n">
        <f aca="false">IF(OR(AD$2=0,$A21=""),0,IFERROR(INDEX(МНОЖНИКИ,MATCH($A21,МНОЖ_КАТ,0),AD$2),0))</f>
        <v>1.1</v>
      </c>
      <c r="AF21" s="18" t="n">
        <f aca="false">IF(OR(AD$2=0,$A21=""),0,IFERROR(INDEX(МНОЖНИКИ,MATCH($A21,МНОЖ_КАТ,0),AD$2+1),0))</f>
        <v>1.0652</v>
      </c>
      <c r="AG21" s="9" t="n">
        <f aca="false">IF($A21="",0,IFERROR(INDEX(ДОВ_МАКС,MATCH($A21,КАТЕГОРІЇ,0)),0))</f>
        <v>3</v>
      </c>
      <c r="AH21" s="9" t="n">
        <f aca="false">IF($A21="",0,IFERROR(INDEX(ДОВ_ВКЛ,MATCH($A21,КАТЕГОРІЇ,0)),0))</f>
        <v>2</v>
      </c>
      <c r="AI21" s="9" t="n">
        <f aca="false">IF($A21="",0,IFERROR(INDEX(ДОВ_МІН,MATCH($A21,КАТЕГОРІЇ,0)),0))</f>
        <v>1</v>
      </c>
      <c r="AJ21" s="6" t="n">
        <f aca="false">IF(OR(AD$2=0,$N$5=0),0,IFERROR(INDEX(ПАКЕТИ_ЦІНИ,MATCH($N$6&amp;"|Будні",ПАКЕТИ_КЛЮЧ,0),AD$2+0),0))</f>
        <v>0</v>
      </c>
      <c r="AK21" s="6" t="n">
        <f aca="false">IF(OR(AD$2=0,$N$5=0),0,IFERROR(INDEX(ПАКЕТИ_ЦІНИ,MATCH($N$6&amp;"|Будні",ПАКЕТИ_КЛЮЧ,0),AD$2+1),0))</f>
        <v>0</v>
      </c>
      <c r="AL21" s="6" t="n">
        <f aca="false">IF(OR(AD$2=0,$N$5=0),0,IFERROR(INDEX(ПАКЕТИ_ЦІНИ,MATCH($N$6&amp;"|Вихідні",ПАКЕТИ_КЛЮЧ,0),AD$2+0),0))</f>
        <v>0</v>
      </c>
      <c r="AM21" s="6" t="n">
        <f aca="false">IF(OR(AD$2=0,$N$5=0),0,IFERROR(INDEX(ПАКЕТИ_ЦІНИ,MATCH($N$6&amp;"|Вихідні",ПАКЕТИ_КЛЮЧ,0),AD$2+1),0))</f>
        <v>0</v>
      </c>
      <c r="AN21" s="6" t="n">
        <f aca="false">IF(OR(AD$2=0,$N$7=0,$A21=""),0,IFERROR(INDEX(SPA_ЦІНИ,MATCH(INDEX(ДОВ_SPA,MATCH($A21,КАТЕГОРІЇ,0)),SPA_РОЛЬ,0),AD$2),0))</f>
        <v>0</v>
      </c>
      <c r="AO21" s="6" t="n">
        <f aca="false">IF(OR($A21="",AD21=0,AE21=0,AND($N$5=1,$D$4&gt;0,AJ21=0),AND($N$5=1,$F$4&gt;0,AK21=0),AND($N$7=1,AN21=0)),0,1)</f>
        <v>1</v>
      </c>
      <c r="AP21" s="6" t="n">
        <f aca="false">IF(OR(AO21=0,AF21=0,AND($N$5=1,$D$4&gt;0,AL21=0),AND($N$5=1,$F$4&gt;0,AM21=0)),0,1)</f>
        <v>1</v>
      </c>
    </row>
    <row r="22" customFormat="false" ht="15" hidden="false" customHeight="false" outlineLevel="0" collapsed="false">
      <c r="A22" s="19" t="str">
        <f aca="false">IF('Довідник категорій'!A20="","",'Довідник категорій'!A20)</f>
        <v>Апартаменти 2-х місні стандартні</v>
      </c>
      <c r="B22" s="45" t="n">
        <f aca="false">IF(OR(AA22=0,($D$4+$F$4)=0,($D$4+$F$4)&gt;S22,($D$4+$F$4)&lt;U22),"",ROUND(((P22*Q22+MAX(0,($D$4+$F$4)-T22)*КРОК_ГОСТЯ)*(1-P$3)+($D$4*V22+$F$4*W22)*(1-P$3*P$4)+Z22*(1-P$3*P$5))/ОКРУГЛЕННЯ,0)*ОКРУГЛЕННЯ)</f>
        <v>3194</v>
      </c>
      <c r="C22" s="45" t="n">
        <f aca="false">IF(OR(AB22=0,($D$4+$F$4)=0,($D$4+$F$4)&gt;S22,($D$4+$F$4)&lt;U22),"",ROUND(((P22*Q22*R22+MAX(0,($D$4+$F$4)-T22)*КРОК_ГОСТЯ)*(1-P$3)+($D$4*X22+$F$4*Y22)*(1-P$3*P$4)+Z22*(1-P$3*P$5))/ОКРУГЛЕННЯ,0)*ОКРУГЛЕННЯ)</f>
        <v>3402</v>
      </c>
      <c r="D22" s="45" t="n">
        <f aca="false">IF(OR(AO22=0,($D$4+$F$4)=0,($D$4+$F$4)&gt;AG22,($D$4+$F$4)&lt;AI22),"",ROUND(((AD22*AE22+MAX(0,($D$4+$F$4)-AH22)*КРОК_ГОСТЯ)*(1-AD$3)+($D$4*AJ22+$F$4*AK22)*(1-AD$3*AD$4)+AN22*(1-AD$3*AD$5))/ОКРУГЛЕННЯ,0)*ОКРУГЛЕННЯ)</f>
        <v>3740</v>
      </c>
      <c r="E22" s="45" t="n">
        <f aca="false">IF(OR(AP22=0,($D$4+$F$4)=0,($D$4+$F$4)&gt;AG22,($D$4+$F$4)&lt;AI22),"",ROUND(((AD22*AE22*AF22+MAX(0,($D$4+$F$4)-AH22)*КРОК_ГОСТЯ)*(1-AD$3)+($D$4*AL22+$F$4*AM22)*(1-AD$3*AD$4)+AN22*(1-AD$3*AD$5))/ОКРУГЛЕННЯ,0)*ОКРУГЛЕННЯ)</f>
        <v>3984</v>
      </c>
      <c r="F22" s="45" t="n">
        <f aca="false">IF(OR(B22="",D22=""),"",D22-B22)</f>
        <v>546</v>
      </c>
      <c r="G22" s="45" t="n">
        <f aca="false">IF(OR(C22="",E22=""),"",E22-C22)</f>
        <v>582</v>
      </c>
      <c r="H22" s="47" t="n">
        <f aca="false">IF(OR(B22="",D22="",B22=0),"",D22/B22-1)</f>
        <v>0.170945522855354</v>
      </c>
      <c r="I22" s="47" t="n">
        <f aca="false">IF(OR(C22="",E22="",C22=0),"",E22/C22-1)</f>
        <v>0.171075837742504</v>
      </c>
      <c r="P22" s="17" t="n">
        <f aca="false">IF(OR(P$2=0,$A22=""),0,IFERROR(INDEX(БАЗА_RO,MATCH(INDEX(ДОВ_ОПОРА,MATCH($A22,КАТЕГОРІЇ,0)),БАЗА_КАТ,0),P$2),0))</f>
        <v>2930</v>
      </c>
      <c r="Q22" s="18" t="n">
        <f aca="false">IF(OR(P$2=0,$A22=""),0,IFERROR(INDEX(МНОЖНИКИ,MATCH($A22,МНОЖ_КАТ,0),P$2),0))</f>
        <v>1.09</v>
      </c>
      <c r="R22" s="18" t="n">
        <f aca="false">IF(OR(P$2=0,$A22=""),0,IFERROR(INDEX(МНОЖНИКИ,MATCH($A22,МНОЖ_КАТ,0),P$2+1),0))</f>
        <v>1.0652</v>
      </c>
      <c r="S22" s="9" t="n">
        <f aca="false">IF($A22="",0,IFERROR(INDEX(ДОВ_МАКС,MATCH($A22,КАТЕГОРІЇ,0)),0))</f>
        <v>3</v>
      </c>
      <c r="T22" s="9" t="n">
        <f aca="false">IF($A22="",0,IFERROR(INDEX(ДОВ_ВКЛ,MATCH($A22,КАТЕГОРІЇ,0)),0))</f>
        <v>2</v>
      </c>
      <c r="U22" s="9" t="n">
        <f aca="false">IF($A22="",0,IFERROR(INDEX(ДОВ_МІН,MATCH($A22,КАТЕГОРІЇ,0)),0))</f>
        <v>1</v>
      </c>
      <c r="V22" s="6" t="n">
        <f aca="false">IF(OR(P$2=0,$N$5=0),0,IFERROR(INDEX(ПАКЕТИ_ЦІНИ,MATCH($N$6&amp;"|Будні",ПАКЕТИ_КЛЮЧ,0),P$2+0),0))</f>
        <v>0</v>
      </c>
      <c r="W22" s="6" t="n">
        <f aca="false">IF(OR(P$2=0,$N$5=0),0,IFERROR(INDEX(ПАКЕТИ_ЦІНИ,MATCH($N$6&amp;"|Будні",ПАКЕТИ_КЛЮЧ,0),P$2+1),0))</f>
        <v>0</v>
      </c>
      <c r="X22" s="6" t="n">
        <f aca="false">IF(OR(P$2=0,$N$5=0),0,IFERROR(INDEX(ПАКЕТИ_ЦІНИ,MATCH($N$6&amp;"|Вихідні",ПАКЕТИ_КЛЮЧ,0),P$2+0),0))</f>
        <v>0</v>
      </c>
      <c r="Y22" s="6" t="n">
        <f aca="false">IF(OR(P$2=0,$N$5=0),0,IFERROR(INDEX(ПАКЕТИ_ЦІНИ,MATCH($N$6&amp;"|Вихідні",ПАКЕТИ_КЛЮЧ,0),P$2+1),0))</f>
        <v>0</v>
      </c>
      <c r="Z22" s="6" t="n">
        <f aca="false">IF(OR(P$2=0,$N$7=0,$A22=""),0,IFERROR(INDEX(SPA_ЦІНИ,MATCH(INDEX(ДОВ_SPA,MATCH($A22,КАТЕГОРІЇ,0)),SPA_РОЛЬ,0),P$2),0))</f>
        <v>0</v>
      </c>
      <c r="AA22" s="6" t="n">
        <f aca="false">IF(OR($A22="",P22=0,Q22=0,AND($N$5=1,$D$4&gt;0,V22=0),AND($N$5=1,$F$4&gt;0,W22=0),AND($N$7=1,Z22=0)),0,1)</f>
        <v>1</v>
      </c>
      <c r="AB22" s="6" t="n">
        <f aca="false">IF(OR(AA22=0,R22=0,AND($N$5=1,$D$4&gt;0,X22=0),AND($N$5=1,$F$4&gt;0,Y22=0)),0,1)</f>
        <v>1</v>
      </c>
      <c r="AD22" s="17" t="n">
        <f aca="false">IF(OR(AD$2=0,$A22=""),0,IFERROR(INDEX(БАЗА_RO,MATCH(INDEX(ДОВ_ОПОРА,MATCH($A22,КАТЕГОРІЇ,0)),БАЗА_КАТ,0),AD$2),0))</f>
        <v>3400</v>
      </c>
      <c r="AE22" s="18" t="n">
        <f aca="false">IF(OR(AD$2=0,$A22=""),0,IFERROR(INDEX(МНОЖНИКИ,MATCH($A22,МНОЖ_КАТ,0),AD$2),0))</f>
        <v>1.1</v>
      </c>
      <c r="AF22" s="18" t="n">
        <f aca="false">IF(OR(AD$2=0,$A22=""),0,IFERROR(INDEX(МНОЖНИКИ,MATCH($A22,МНОЖ_КАТ,0),AD$2+1),0))</f>
        <v>1.0652</v>
      </c>
      <c r="AG22" s="9" t="n">
        <f aca="false">IF($A22="",0,IFERROR(INDEX(ДОВ_МАКС,MATCH($A22,КАТЕГОРІЇ,0)),0))</f>
        <v>3</v>
      </c>
      <c r="AH22" s="9" t="n">
        <f aca="false">IF($A22="",0,IFERROR(INDEX(ДОВ_ВКЛ,MATCH($A22,КАТЕГОРІЇ,0)),0))</f>
        <v>2</v>
      </c>
      <c r="AI22" s="9" t="n">
        <f aca="false">IF($A22="",0,IFERROR(INDEX(ДОВ_МІН,MATCH($A22,КАТЕГОРІЇ,0)),0))</f>
        <v>1</v>
      </c>
      <c r="AJ22" s="6" t="n">
        <f aca="false">IF(OR(AD$2=0,$N$5=0),0,IFERROR(INDEX(ПАКЕТИ_ЦІНИ,MATCH($N$6&amp;"|Будні",ПАКЕТИ_КЛЮЧ,0),AD$2+0),0))</f>
        <v>0</v>
      </c>
      <c r="AK22" s="6" t="n">
        <f aca="false">IF(OR(AD$2=0,$N$5=0),0,IFERROR(INDEX(ПАКЕТИ_ЦІНИ,MATCH($N$6&amp;"|Будні",ПАКЕТИ_КЛЮЧ,0),AD$2+1),0))</f>
        <v>0</v>
      </c>
      <c r="AL22" s="6" t="n">
        <f aca="false">IF(OR(AD$2=0,$N$5=0),0,IFERROR(INDEX(ПАКЕТИ_ЦІНИ,MATCH($N$6&amp;"|Вихідні",ПАКЕТИ_КЛЮЧ,0),AD$2+0),0))</f>
        <v>0</v>
      </c>
      <c r="AM22" s="6" t="n">
        <f aca="false">IF(OR(AD$2=0,$N$5=0),0,IFERROR(INDEX(ПАКЕТИ_ЦІНИ,MATCH($N$6&amp;"|Вихідні",ПАКЕТИ_КЛЮЧ,0),AD$2+1),0))</f>
        <v>0</v>
      </c>
      <c r="AN22" s="6" t="n">
        <f aca="false">IF(OR(AD$2=0,$N$7=0,$A22=""),0,IFERROR(INDEX(SPA_ЦІНИ,MATCH(INDEX(ДОВ_SPA,MATCH($A22,КАТЕГОРІЇ,0)),SPA_РОЛЬ,0),AD$2),0))</f>
        <v>0</v>
      </c>
      <c r="AO22" s="6" t="n">
        <f aca="false">IF(OR($A22="",AD22=0,AE22=0,AND($N$5=1,$D$4&gt;0,AJ22=0),AND($N$5=1,$F$4&gt;0,AK22=0),AND($N$7=1,AN22=0)),0,1)</f>
        <v>1</v>
      </c>
      <c r="AP22" s="6" t="n">
        <f aca="false">IF(OR(AO22=0,AF22=0,AND($N$5=1,$D$4&gt;0,AL22=0),AND($N$5=1,$F$4&gt;0,AM22=0)),0,1)</f>
        <v>1</v>
      </c>
    </row>
    <row r="23" customFormat="false" ht="15" hidden="false" customHeight="false" outlineLevel="0" collapsed="false">
      <c r="A23" s="13" t="str">
        <f aca="false">IF('Довідник категорій'!A21="","",'Довідник категорій'!A21)</f>
        <v>Апартаменти 3-й поверх</v>
      </c>
      <c r="B23" s="33" t="n">
        <f aca="false">IF(OR(AA23=0,($D$4+$F$4)=0,($D$4+$F$4)&gt;S23,($D$4+$F$4)&lt;U23),"",ROUND(((P23*Q23+MAX(0,($D$4+$F$4)-T23)*КРОК_ГОСТЯ)*(1-P$3)+($D$4*V23+$F$4*W23)*(1-P$3*P$4)+Z23*(1-P$3*P$5))/ОКРУГЛЕННЯ,0)*ОКРУГЛЕННЯ)</f>
        <v>3194</v>
      </c>
      <c r="C23" s="33" t="n">
        <f aca="false">IF(OR(AB23=0,($D$4+$F$4)=0,($D$4+$F$4)&gt;S23,($D$4+$F$4)&lt;U23),"",ROUND(((P23*Q23*R23+MAX(0,($D$4+$F$4)-T23)*КРОК_ГОСТЯ)*(1-P$3)+($D$4*X23+$F$4*Y23)*(1-P$3*P$4)+Z23*(1-P$3*P$5))/ОКРУГЛЕННЯ,0)*ОКРУГЛЕННЯ)</f>
        <v>3402</v>
      </c>
      <c r="D23" s="33" t="n">
        <f aca="false">IF(OR(AO23=0,($D$4+$F$4)=0,($D$4+$F$4)&gt;AG23,($D$4+$F$4)&lt;AI23),"",ROUND(((AD23*AE23+MAX(0,($D$4+$F$4)-AH23)*КРОК_ГОСТЯ)*(1-AD$3)+($D$4*AJ23+$F$4*AK23)*(1-AD$3*AD$4)+AN23*(1-AD$3*AD$5))/ОКРУГЛЕННЯ,0)*ОКРУГЛЕННЯ)</f>
        <v>3740</v>
      </c>
      <c r="E23" s="33" t="n">
        <f aca="false">IF(OR(AP23=0,($D$4+$F$4)=0,($D$4+$F$4)&gt;AG23,($D$4+$F$4)&lt;AI23),"",ROUND(((AD23*AE23*AF23+MAX(0,($D$4+$F$4)-AH23)*КРОК_ГОСТЯ)*(1-AD$3)+($D$4*AL23+$F$4*AM23)*(1-AD$3*AD$4)+AN23*(1-AD$3*AD$5))/ОКРУГЛЕННЯ,0)*ОКРУГЛЕННЯ)</f>
        <v>3984</v>
      </c>
      <c r="F23" s="33" t="n">
        <f aca="false">IF(OR(B23="",D23=""),"",D23-B23)</f>
        <v>546</v>
      </c>
      <c r="G23" s="33" t="n">
        <f aca="false">IF(OR(C23="",E23=""),"",E23-C23)</f>
        <v>582</v>
      </c>
      <c r="H23" s="55" t="n">
        <f aca="false">IF(OR(B23="",D23="",B23=0),"",D23/B23-1)</f>
        <v>0.170945522855354</v>
      </c>
      <c r="I23" s="55" t="n">
        <f aca="false">IF(OR(C23="",E23="",C23=0),"",E23/C23-1)</f>
        <v>0.171075837742504</v>
      </c>
      <c r="P23" s="17" t="n">
        <f aca="false">IF(OR(P$2=0,$A23=""),0,IFERROR(INDEX(БАЗА_RO,MATCH(INDEX(ДОВ_ОПОРА,MATCH($A23,КАТЕГОРІЇ,0)),БАЗА_КАТ,0),P$2),0))</f>
        <v>2930</v>
      </c>
      <c r="Q23" s="18" t="n">
        <f aca="false">IF(OR(P$2=0,$A23=""),0,IFERROR(INDEX(МНОЖНИКИ,MATCH($A23,МНОЖ_КАТ,0),P$2),0))</f>
        <v>1.09</v>
      </c>
      <c r="R23" s="18" t="n">
        <f aca="false">IF(OR(P$2=0,$A23=""),0,IFERROR(INDEX(МНОЖНИКИ,MATCH($A23,МНОЖ_КАТ,0),P$2+1),0))</f>
        <v>1.0652</v>
      </c>
      <c r="S23" s="9" t="n">
        <f aca="false">IF($A23="",0,IFERROR(INDEX(ДОВ_МАКС,MATCH($A23,КАТЕГОРІЇ,0)),0))</f>
        <v>3</v>
      </c>
      <c r="T23" s="9" t="n">
        <f aca="false">IF($A23="",0,IFERROR(INDEX(ДОВ_ВКЛ,MATCH($A23,КАТЕГОРІЇ,0)),0))</f>
        <v>2</v>
      </c>
      <c r="U23" s="9" t="n">
        <f aca="false">IF($A23="",0,IFERROR(INDEX(ДОВ_МІН,MATCH($A23,КАТЕГОРІЇ,0)),0))</f>
        <v>1</v>
      </c>
      <c r="V23" s="6" t="n">
        <f aca="false">IF(OR(P$2=0,$N$5=0),0,IFERROR(INDEX(ПАКЕТИ_ЦІНИ,MATCH($N$6&amp;"|Будні",ПАКЕТИ_КЛЮЧ,0),P$2+0),0))</f>
        <v>0</v>
      </c>
      <c r="W23" s="6" t="n">
        <f aca="false">IF(OR(P$2=0,$N$5=0),0,IFERROR(INDEX(ПАКЕТИ_ЦІНИ,MATCH($N$6&amp;"|Будні",ПАКЕТИ_КЛЮЧ,0),P$2+1),0))</f>
        <v>0</v>
      </c>
      <c r="X23" s="6" t="n">
        <f aca="false">IF(OR(P$2=0,$N$5=0),0,IFERROR(INDEX(ПАКЕТИ_ЦІНИ,MATCH($N$6&amp;"|Вихідні",ПАКЕТИ_КЛЮЧ,0),P$2+0),0))</f>
        <v>0</v>
      </c>
      <c r="Y23" s="6" t="n">
        <f aca="false">IF(OR(P$2=0,$N$5=0),0,IFERROR(INDEX(ПАКЕТИ_ЦІНИ,MATCH($N$6&amp;"|Вихідні",ПАКЕТИ_КЛЮЧ,0),P$2+1),0))</f>
        <v>0</v>
      </c>
      <c r="Z23" s="6" t="n">
        <f aca="false">IF(OR(P$2=0,$N$7=0,$A23=""),0,IFERROR(INDEX(SPA_ЦІНИ,MATCH(INDEX(ДОВ_SPA,MATCH($A23,КАТЕГОРІЇ,0)),SPA_РОЛЬ,0),P$2),0))</f>
        <v>0</v>
      </c>
      <c r="AA23" s="6" t="n">
        <f aca="false">IF(OR($A23="",P23=0,Q23=0,AND($N$5=1,$D$4&gt;0,V23=0),AND($N$5=1,$F$4&gt;0,W23=0),AND($N$7=1,Z23=0)),0,1)</f>
        <v>1</v>
      </c>
      <c r="AB23" s="6" t="n">
        <f aca="false">IF(OR(AA23=0,R23=0,AND($N$5=1,$D$4&gt;0,X23=0),AND($N$5=1,$F$4&gt;0,Y23=0)),0,1)</f>
        <v>1</v>
      </c>
      <c r="AD23" s="17" t="n">
        <f aca="false">IF(OR(AD$2=0,$A23=""),0,IFERROR(INDEX(БАЗА_RO,MATCH(INDEX(ДОВ_ОПОРА,MATCH($A23,КАТЕГОРІЇ,0)),БАЗА_КАТ,0),AD$2),0))</f>
        <v>3400</v>
      </c>
      <c r="AE23" s="18" t="n">
        <f aca="false">IF(OR(AD$2=0,$A23=""),0,IFERROR(INDEX(МНОЖНИКИ,MATCH($A23,МНОЖ_КАТ,0),AD$2),0))</f>
        <v>1.1</v>
      </c>
      <c r="AF23" s="18" t="n">
        <f aca="false">IF(OR(AD$2=0,$A23=""),0,IFERROR(INDEX(МНОЖНИКИ,MATCH($A23,МНОЖ_КАТ,0),AD$2+1),0))</f>
        <v>1.0652</v>
      </c>
      <c r="AG23" s="9" t="n">
        <f aca="false">IF($A23="",0,IFERROR(INDEX(ДОВ_МАКС,MATCH($A23,КАТЕГОРІЇ,0)),0))</f>
        <v>3</v>
      </c>
      <c r="AH23" s="9" t="n">
        <f aca="false">IF($A23="",0,IFERROR(INDEX(ДОВ_ВКЛ,MATCH($A23,КАТЕГОРІЇ,0)),0))</f>
        <v>2</v>
      </c>
      <c r="AI23" s="9" t="n">
        <f aca="false">IF($A23="",0,IFERROR(INDEX(ДОВ_МІН,MATCH($A23,КАТЕГОРІЇ,0)),0))</f>
        <v>1</v>
      </c>
      <c r="AJ23" s="6" t="n">
        <f aca="false">IF(OR(AD$2=0,$N$5=0),0,IFERROR(INDEX(ПАКЕТИ_ЦІНИ,MATCH($N$6&amp;"|Будні",ПАКЕТИ_КЛЮЧ,0),AD$2+0),0))</f>
        <v>0</v>
      </c>
      <c r="AK23" s="6" t="n">
        <f aca="false">IF(OR(AD$2=0,$N$5=0),0,IFERROR(INDEX(ПАКЕТИ_ЦІНИ,MATCH($N$6&amp;"|Будні",ПАКЕТИ_КЛЮЧ,0),AD$2+1),0))</f>
        <v>0</v>
      </c>
      <c r="AL23" s="6" t="n">
        <f aca="false">IF(OR(AD$2=0,$N$5=0),0,IFERROR(INDEX(ПАКЕТИ_ЦІНИ,MATCH($N$6&amp;"|Вихідні",ПАКЕТИ_КЛЮЧ,0),AD$2+0),0))</f>
        <v>0</v>
      </c>
      <c r="AM23" s="6" t="n">
        <f aca="false">IF(OR(AD$2=0,$N$5=0),0,IFERROR(INDEX(ПАКЕТИ_ЦІНИ,MATCH($N$6&amp;"|Вихідні",ПАКЕТИ_КЛЮЧ,0),AD$2+1),0))</f>
        <v>0</v>
      </c>
      <c r="AN23" s="6" t="n">
        <f aca="false">IF(OR(AD$2=0,$N$7=0,$A23=""),0,IFERROR(INDEX(SPA_ЦІНИ,MATCH(INDEX(ДОВ_SPA,MATCH($A23,КАТЕГОРІЇ,0)),SPA_РОЛЬ,0),AD$2),0))</f>
        <v>0</v>
      </c>
      <c r="AO23" s="6" t="n">
        <f aca="false">IF(OR($A23="",AD23=0,AE23=0,AND($N$5=1,$D$4&gt;0,AJ23=0),AND($N$5=1,$F$4&gt;0,AK23=0),AND($N$7=1,AN23=0)),0,1)</f>
        <v>1</v>
      </c>
      <c r="AP23" s="6" t="n">
        <f aca="false">IF(OR(AO23=0,AF23=0,AND($N$5=1,$D$4&gt;0,AL23=0),AND($N$5=1,$F$4&gt;0,AM23=0)),0,1)</f>
        <v>1</v>
      </c>
    </row>
    <row r="24" customFormat="false" ht="15" hidden="false" customHeight="false" outlineLevel="0" collapsed="false">
      <c r="A24" s="19" t="str">
        <f aca="false">IF('Довідник категорій'!A22="","",'Довідник категорій'!A22)</f>
        <v>Апартаменти президентські</v>
      </c>
      <c r="B24" s="45" t="n">
        <f aca="false">IF(OR(AA24=0,($D$4+$F$4)=0,($D$4+$F$4)&gt;S24,($D$4+$F$4)&lt;U24),"",ROUND(((P24*Q24+MAX(0,($D$4+$F$4)-T24)*КРОК_ГОСТЯ)*(1-P$3)+($D$4*V24+$F$4*W24)*(1-P$3*P$4)+Z24*(1-P$3*P$5))/ОКРУГЛЕННЯ,0)*ОКРУГЛЕННЯ)</f>
        <v>4600</v>
      </c>
      <c r="C24" s="45" t="n">
        <f aca="false">IF(OR(AB24=0,($D$4+$F$4)=0,($D$4+$F$4)&gt;S24,($D$4+$F$4)&lt;U24),"",ROUND(((P24*Q24*R24+MAX(0,($D$4+$F$4)-T24)*КРОК_ГОСТЯ)*(1-P$3)+($D$4*X24+$F$4*Y24)*(1-P$3*P$4)+Z24*(1-P$3*P$5))/ОКРУГЛЕННЯ,0)*ОКРУГЛЕННЯ)</f>
        <v>4876</v>
      </c>
      <c r="D24" s="45" t="n">
        <f aca="false">IF(OR(AO24=0,($D$4+$F$4)=0,($D$4+$F$4)&gt;AG24,($D$4+$F$4)&lt;AI24),"",ROUND(((AD24*AE24+MAX(0,($D$4+$F$4)-AH24)*КРОК_ГОСТЯ)*(1-AD$3)+($D$4*AJ24+$F$4*AK24)*(1-AD$3*AD$4)+AN24*(1-AD$3*AD$5))/ОКРУГЛЕННЯ,0)*ОКРУГЛЕННЯ)</f>
        <v>5338</v>
      </c>
      <c r="E24" s="45" t="n">
        <f aca="false">IF(OR(AP24=0,($D$4+$F$4)=0,($D$4+$F$4)&gt;AG24,($D$4+$F$4)&lt;AI24),"",ROUND(((AD24*AE24*AF24+MAX(0,($D$4+$F$4)-AH24)*КРОК_ГОСТЯ)*(1-AD$3)+($D$4*AL24+$F$4*AM24)*(1-AD$3*AD$4)+AN24*(1-AD$3*AD$5))/ОКРУГЛЕННЯ,0)*ОКРУГЛЕННЯ)</f>
        <v>5658</v>
      </c>
      <c r="F24" s="45" t="n">
        <f aca="false">IF(OR(B24="",D24=""),"",D24-B24)</f>
        <v>738</v>
      </c>
      <c r="G24" s="45" t="n">
        <f aca="false">IF(OR(C24="",E24=""),"",E24-C24)</f>
        <v>782</v>
      </c>
      <c r="H24" s="47" t="n">
        <f aca="false">IF(OR(B24="",D24="",B24=0),"",D24/B24-1)</f>
        <v>0.160434782608696</v>
      </c>
      <c r="I24" s="47" t="n">
        <f aca="false">IF(OR(C24="",E24="",C24=0),"",E24/C24-1)</f>
        <v>0.160377358490566</v>
      </c>
      <c r="P24" s="17" t="n">
        <f aca="false">IF(OR(P$2=0,$A24=""),0,IFERROR(INDEX(БАЗА_RO,MATCH(INDEX(ДОВ_ОПОРА,MATCH($A24,КАТЕГОРІЇ,0)),БАЗА_КАТ,0),P$2),0))</f>
        <v>2930</v>
      </c>
      <c r="Q24" s="18" t="n">
        <f aca="false">IF(OR(P$2=0,$A24=""),0,IFERROR(INDEX(МНОЖНИКИ,MATCH($A24,МНОЖ_КАТ,0),P$2),0))</f>
        <v>1.57</v>
      </c>
      <c r="R24" s="18" t="n">
        <f aca="false">IF(OR(P$2=0,$A24=""),0,IFERROR(INDEX(МНОЖНИКИ,MATCH($A24,МНОЖ_КАТ,0),P$2+1),0))</f>
        <v>1.06</v>
      </c>
      <c r="S24" s="9" t="n">
        <f aca="false">IF($A24="",0,IFERROR(INDEX(ДОВ_МАКС,MATCH($A24,КАТЕГОРІЇ,0)),0))</f>
        <v>3</v>
      </c>
      <c r="T24" s="9" t="n">
        <f aca="false">IF($A24="",0,IFERROR(INDEX(ДОВ_ВКЛ,MATCH($A24,КАТЕГОРІЇ,0)),0))</f>
        <v>2</v>
      </c>
      <c r="U24" s="9" t="n">
        <f aca="false">IF($A24="",0,IFERROR(INDEX(ДОВ_МІН,MATCH($A24,КАТЕГОРІЇ,0)),0))</f>
        <v>1</v>
      </c>
      <c r="V24" s="6" t="n">
        <f aca="false">IF(OR(P$2=0,$N$5=0),0,IFERROR(INDEX(ПАКЕТИ_ЦІНИ,MATCH($N$6&amp;"|Будні",ПАКЕТИ_КЛЮЧ,0),P$2+0),0))</f>
        <v>0</v>
      </c>
      <c r="W24" s="6" t="n">
        <f aca="false">IF(OR(P$2=0,$N$5=0),0,IFERROR(INDEX(ПАКЕТИ_ЦІНИ,MATCH($N$6&amp;"|Будні",ПАКЕТИ_КЛЮЧ,0),P$2+1),0))</f>
        <v>0</v>
      </c>
      <c r="X24" s="6" t="n">
        <f aca="false">IF(OR(P$2=0,$N$5=0),0,IFERROR(INDEX(ПАКЕТИ_ЦІНИ,MATCH($N$6&amp;"|Вихідні",ПАКЕТИ_КЛЮЧ,0),P$2+0),0))</f>
        <v>0</v>
      </c>
      <c r="Y24" s="6" t="n">
        <f aca="false">IF(OR(P$2=0,$N$5=0),0,IFERROR(INDEX(ПАКЕТИ_ЦІНИ,MATCH($N$6&amp;"|Вихідні",ПАКЕТИ_КЛЮЧ,0),P$2+1),0))</f>
        <v>0</v>
      </c>
      <c r="Z24" s="6" t="n">
        <f aca="false">IF(OR(P$2=0,$N$7=0,$A24=""),0,IFERROR(INDEX(SPA_ЦІНИ,MATCH(INDEX(ДОВ_SPA,MATCH($A24,КАТЕГОРІЇ,0)),SPA_РОЛЬ,0),P$2),0))</f>
        <v>0</v>
      </c>
      <c r="AA24" s="6" t="n">
        <f aca="false">IF(OR($A24="",P24=0,Q24=0,AND($N$5=1,$D$4&gt;0,V24=0),AND($N$5=1,$F$4&gt;0,W24=0),AND($N$7=1,Z24=0)),0,1)</f>
        <v>1</v>
      </c>
      <c r="AB24" s="6" t="n">
        <f aca="false">IF(OR(AA24=0,R24=0,AND($N$5=1,$D$4&gt;0,X24=0),AND($N$5=1,$F$4&gt;0,Y24=0)),0,1)</f>
        <v>1</v>
      </c>
      <c r="AD24" s="17" t="n">
        <f aca="false">IF(OR(AD$2=0,$A24=""),0,IFERROR(INDEX(БАЗА_RO,MATCH(INDEX(ДОВ_ОПОРА,MATCH($A24,КАТЕГОРІЇ,0)),БАЗА_КАТ,0),AD$2),0))</f>
        <v>3400</v>
      </c>
      <c r="AE24" s="18" t="n">
        <f aca="false">IF(OR(AD$2=0,$A24=""),0,IFERROR(INDEX(МНОЖНИКИ,MATCH($A24,МНОЖ_КАТ,0),AD$2),0))</f>
        <v>1.57</v>
      </c>
      <c r="AF24" s="18" t="n">
        <f aca="false">IF(OR(AD$2=0,$A24=""),0,IFERROR(INDEX(МНОЖНИКИ,MATCH($A24,МНОЖ_КАТ,0),AD$2+1),0))</f>
        <v>1.06</v>
      </c>
      <c r="AG24" s="9" t="n">
        <f aca="false">IF($A24="",0,IFERROR(INDEX(ДОВ_МАКС,MATCH($A24,КАТЕГОРІЇ,0)),0))</f>
        <v>3</v>
      </c>
      <c r="AH24" s="9" t="n">
        <f aca="false">IF($A24="",0,IFERROR(INDEX(ДОВ_ВКЛ,MATCH($A24,КАТЕГОРІЇ,0)),0))</f>
        <v>2</v>
      </c>
      <c r="AI24" s="9" t="n">
        <f aca="false">IF($A24="",0,IFERROR(INDEX(ДОВ_МІН,MATCH($A24,КАТЕГОРІЇ,0)),0))</f>
        <v>1</v>
      </c>
      <c r="AJ24" s="6" t="n">
        <f aca="false">IF(OR(AD$2=0,$N$5=0),0,IFERROR(INDEX(ПАКЕТИ_ЦІНИ,MATCH($N$6&amp;"|Будні",ПАКЕТИ_КЛЮЧ,0),AD$2+0),0))</f>
        <v>0</v>
      </c>
      <c r="AK24" s="6" t="n">
        <f aca="false">IF(OR(AD$2=0,$N$5=0),0,IFERROR(INDEX(ПАКЕТИ_ЦІНИ,MATCH($N$6&amp;"|Будні",ПАКЕТИ_КЛЮЧ,0),AD$2+1),0))</f>
        <v>0</v>
      </c>
      <c r="AL24" s="6" t="n">
        <f aca="false">IF(OR(AD$2=0,$N$5=0),0,IFERROR(INDEX(ПАКЕТИ_ЦІНИ,MATCH($N$6&amp;"|Вихідні",ПАКЕТИ_КЛЮЧ,0),AD$2+0),0))</f>
        <v>0</v>
      </c>
      <c r="AM24" s="6" t="n">
        <f aca="false">IF(OR(AD$2=0,$N$5=0),0,IFERROR(INDEX(ПАКЕТИ_ЦІНИ,MATCH($N$6&amp;"|Вихідні",ПАКЕТИ_КЛЮЧ,0),AD$2+1),0))</f>
        <v>0</v>
      </c>
      <c r="AN24" s="6" t="n">
        <f aca="false">IF(OR(AD$2=0,$N$7=0,$A24=""),0,IFERROR(INDEX(SPA_ЦІНИ,MATCH(INDEX(ДОВ_SPA,MATCH($A24,КАТЕГОРІЇ,0)),SPA_РОЛЬ,0),AD$2),0))</f>
        <v>0</v>
      </c>
      <c r="AO24" s="6" t="n">
        <f aca="false">IF(OR($A24="",AD24=0,AE24=0,AND($N$5=1,$D$4&gt;0,AJ24=0),AND($N$5=1,$F$4&gt;0,AK24=0),AND($N$7=1,AN24=0)),0,1)</f>
        <v>1</v>
      </c>
      <c r="AP24" s="6" t="n">
        <f aca="false">IF(OR(AO24=0,AF24=0,AND($N$5=1,$D$4&gt;0,AL24=0),AND($N$5=1,$F$4&gt;0,AM24=0)),0,1)</f>
        <v>1</v>
      </c>
    </row>
  </sheetData>
  <sheetProtection sheet="true"/>
  <mergeCells count="5">
    <mergeCell ref="A1:I1"/>
    <mergeCell ref="K3:M3"/>
    <mergeCell ref="A5:I5"/>
    <mergeCell ref="K10:L10"/>
    <mergeCell ref="K18:L19"/>
  </mergeCells>
  <conditionalFormatting sqref="A7:I24">
    <cfRule type="expression" priority="2" aboveAverage="0" equalAverage="0" bottom="0" percent="0" rank="0" text="" dxfId="3">
      <formula>IFERROR(INDEX(ДОВ_РОЛЬ,MATCH($A7,КАТЕГОРІЇ,0))="Базова",0)</formula>
    </cfRule>
  </conditionalFormatting>
  <conditionalFormatting sqref="F7:G24">
    <cfRule type="cellIs" priority="3" operator="lessThan" aboveAverage="0" equalAverage="0" bottom="0" percent="0" rank="0" text="" dxfId="4">
      <formula>0</formula>
    </cfRule>
  </conditionalFormatting>
  <conditionalFormatting sqref="H7:I24">
    <cfRule type="cellIs" priority="4" operator="lessThan" aboveAverage="0" equalAverage="0" bottom="0" percent="0" rank="0" text="" dxfId="4">
      <formula>0</formula>
    </cfRule>
  </conditionalFormatting>
  <conditionalFormatting sqref="L4">
    <cfRule type="cellIs" priority="5" operator="greaterThan" aboveAverage="0" equalAverage="0" bottom="0" percent="0" rank="0" text="" dxfId="3">
      <formula>0</formula>
    </cfRule>
  </conditionalFormatting>
  <conditionalFormatting sqref="L5">
    <cfRule type="cellIs" priority="6" operator="greaterThan" aboveAverage="0" equalAverage="0" bottom="0" percent="0" rank="0" text="" dxfId="3">
      <formula>0</formula>
    </cfRule>
  </conditionalFormatting>
  <conditionalFormatting sqref="L6">
    <cfRule type="cellIs" priority="7" operator="greaterThan" aboveAverage="0" equalAverage="0" bottom="0" percent="0" rank="0" text="" dxfId="3">
      <formula>0</formula>
    </cfRule>
  </conditionalFormatting>
  <conditionalFormatting sqref="L7">
    <cfRule type="cellIs" priority="8" operator="greaterThan" aboveAverage="0" equalAverage="0" bottom="0" percent="0" rank="0" text="" dxfId="3">
      <formula>0</formula>
    </cfRule>
  </conditionalFormatting>
  <conditionalFormatting sqref="L8">
    <cfRule type="cellIs" priority="9" operator="greaterThan" aboveAverage="0" equalAverage="0" bottom="0" percent="0" rank="0" text="" dxfId="3">
      <formula>0</formula>
    </cfRule>
  </conditionalFormatting>
  <conditionalFormatting sqref="K10:L10">
    <cfRule type="expression" priority="10" aboveAverage="0" equalAverage="0" bottom="0" percent="0" rank="0" text="" dxfId="5">
      <formula>$K$10="ГОТОВО ДО ПУБЛІКАЦІЇ"</formula>
    </cfRule>
    <cfRule type="expression" priority="11" aboveAverage="0" equalAverage="0" bottom="0" percent="0" rank="0" text="" dxfId="6">
      <formula>$K$10="ПОТРІБНЕ ЗАПОВНЕННЯ"</formula>
    </cfRule>
  </conditionalFormatting>
  <dataValidations count="6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false" errorStyle="stop" operator="between" showDropDown="false" showErrorMessage="false" showInputMessage="false" sqref="F3" type="list">
      <formula1>ПРАЙС_ЛИСТИ</formula1>
      <formula2>0</formula2>
    </dataValidation>
    <dataValidation allowBlank="false" errorStyle="stop" operator="between" showDropDown="false" showErrorMessage="false" showInputMessage="false" sqref="D3" type="list">
      <formula1>ТАРИФИ_НАЗВИ</formula1>
      <formula2>0</formula2>
    </dataValidation>
    <dataValidation allowBlank="false" errorStyle="stop" operator="between" showDropDown="false" showErrorMessage="false" showInputMessage="false" sqref="H3" type="list">
      <formula1>ТАРИФИ_НАЗВИ</formula1>
      <formula2>0</formula2>
    </dataValidation>
    <dataValidation allowBlank="false" errorStyle="stop" operator="between" showDropDown="false" showErrorMessage="false" showInputMessage="false" sqref="B4" type="list">
      <formula1>СПИСОК_ПАКЕТІВ</formula1>
      <formula2>0</formula2>
    </dataValidation>
    <dataValidation allowBlank="false" error="Введіть ціле число від 0 до 20." errorStyle="stop" errorTitle="Кількість гостей" operator="between" showDropDown="false" showErrorMessage="true" showInputMessage="false" sqref="D4 F4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21" min="4" style="0" width="12"/>
    <col collapsed="false" customWidth="true" hidden="true" outlineLevel="0" max="24" min="23" style="0" width="13"/>
  </cols>
  <sheetData>
    <row r="1" customFormat="false" ht="27.75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W1" s="2" t="s">
        <v>189</v>
      </c>
    </row>
    <row r="2" customFormat="false" ht="15" hidden="false" customHeight="false" outlineLevel="0" collapsed="false">
      <c r="W2" s="6" t="n">
        <f aca="false">IFERROR(MATCH($B$3,ПЛ_РЯДОК,0),0)</f>
        <v>5</v>
      </c>
      <c r="X2" s="7" t="s">
        <v>3</v>
      </c>
    </row>
    <row r="3" customFormat="false" ht="15" hidden="false" customHeight="false" outlineLevel="0" collapsed="false">
      <c r="A3" s="3" t="s">
        <v>190</v>
      </c>
      <c r="B3" s="4" t="s">
        <v>2</v>
      </c>
    </row>
    <row r="4" customFormat="false" ht="33.75" hidden="false" customHeight="true" outlineLevel="0" collapsed="false">
      <c r="A4" s="8" t="s">
        <v>191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6" customFormat="false" ht="15" hidden="false" customHeight="false" outlineLevel="0" collapsed="false">
      <c r="D6" s="10" t="s">
        <v>192</v>
      </c>
      <c r="E6" s="10"/>
      <c r="F6" s="10"/>
      <c r="G6" s="10"/>
      <c r="H6" s="10" t="s">
        <v>193</v>
      </c>
      <c r="I6" s="10"/>
      <c r="J6" s="10"/>
      <c r="K6" s="10"/>
      <c r="L6" s="10"/>
      <c r="M6" s="10"/>
      <c r="N6" s="10" t="s">
        <v>194</v>
      </c>
      <c r="O6" s="10"/>
      <c r="P6" s="10"/>
      <c r="Q6" s="10"/>
      <c r="R6" s="10"/>
      <c r="S6" s="10"/>
      <c r="T6" s="10" t="s">
        <v>195</v>
      </c>
      <c r="U6" s="10"/>
    </row>
    <row r="7" customFormat="false" ht="31.5" hidden="false" customHeight="true" outlineLevel="0" collapsed="false">
      <c r="A7" s="11" t="s">
        <v>14</v>
      </c>
      <c r="B7" s="11" t="s">
        <v>196</v>
      </c>
      <c r="C7" s="11" t="s">
        <v>197</v>
      </c>
      <c r="D7" s="11" t="s">
        <v>198</v>
      </c>
      <c r="E7" s="11" t="s">
        <v>199</v>
      </c>
      <c r="F7" s="11" t="s">
        <v>200</v>
      </c>
      <c r="G7" s="11" t="s">
        <v>201</v>
      </c>
      <c r="H7" s="11" t="s">
        <v>198</v>
      </c>
      <c r="I7" s="11" t="s">
        <v>199</v>
      </c>
      <c r="J7" s="11" t="s">
        <v>200</v>
      </c>
      <c r="K7" s="11" t="s">
        <v>201</v>
      </c>
      <c r="L7" s="11" t="s">
        <v>202</v>
      </c>
      <c r="M7" s="11" t="s">
        <v>203</v>
      </c>
      <c r="N7" s="11" t="s">
        <v>198</v>
      </c>
      <c r="O7" s="11" t="s">
        <v>199</v>
      </c>
      <c r="P7" s="11" t="s">
        <v>200</v>
      </c>
      <c r="Q7" s="11" t="s">
        <v>201</v>
      </c>
      <c r="R7" s="11" t="s">
        <v>202</v>
      </c>
      <c r="S7" s="11" t="s">
        <v>203</v>
      </c>
      <c r="T7" s="11" t="s">
        <v>202</v>
      </c>
      <c r="U7" s="11" t="s">
        <v>203</v>
      </c>
    </row>
    <row r="8" customFormat="false" ht="15" hidden="false" customHeight="false" outlineLevel="0" collapsed="false">
      <c r="A8" s="13" t="str">
        <f aca="false">IF('Довідник категорій'!A5="","",'Довідник категорій'!A5)</f>
        <v>Міні-котедж</v>
      </c>
      <c r="B8" s="46" t="str">
        <f aca="false">IF($A8="","",IFERROR(INDEX(ДОВ_ОПОРА,MATCH($A8,КАТЕГОРІЇ,0)),""))</f>
        <v>Міні-котедж</v>
      </c>
      <c r="C8" s="33" t="n">
        <f aca="false">IF(OR($W$2=0,$A8=""),"",IFERROR(INDEX(БАЗА_RO,MATCH($B8,БАЗА_КАТ,0),$W$2),""))</f>
        <v>4998</v>
      </c>
      <c r="D8" s="30" t="n">
        <f aca="false">IF(OR($W$2=0,$A8=""),"",IFERROR(INDEX(МНОЖНИКИ,MATCH($A8,МНОЖ_КАТ,0),$W$2),""))</f>
        <v>1</v>
      </c>
      <c r="E8" s="30" t="n">
        <f aca="false">IF(OR($W$2=0,$A8=""),"",IFERROR(INDEX(МНОЖНИКИ,MATCH($A8,МНОЖ_КАТ,0),$W$2+1),""))</f>
        <v>1.1</v>
      </c>
      <c r="F8" s="33" t="n">
        <f aca="false">IF(OR($C8="",$D8=""),"",ROUND($C8*$D8/ОКРУГЛЕННЯ,0)*ОКРУГЛЕННЯ)</f>
        <v>4998</v>
      </c>
      <c r="G8" s="33" t="n">
        <f aca="false">IF(OR($C8="",$D8="",$E8=""),"",ROUND($C8*$D8*$E8/ОКРУГЛЕННЯ,0)*ОКРУГЛЕННЯ)</f>
        <v>5498</v>
      </c>
      <c r="H8" s="49" t="n">
        <v>1</v>
      </c>
      <c r="I8" s="49" t="n">
        <v>1.1</v>
      </c>
      <c r="J8" s="33" t="n">
        <f aca="false">IF(OR($C8="",H8=""),"",ROUND($C8*H8/ОКРУГЛЕННЯ,0)*ОКРУГЛЕННЯ)</f>
        <v>4998</v>
      </c>
      <c r="K8" s="33" t="n">
        <f aca="false">IF(OR($C8="",H8="",I8=""),"",ROUND($C8*H8*I8/ОКРУГЛЕННЯ,0)*ОКРУГЛЕННЯ)</f>
        <v>5498</v>
      </c>
      <c r="L8" s="33" t="n">
        <f aca="false">IF(OR(J8="",$F8=""),"",J8-$F8)</f>
        <v>0</v>
      </c>
      <c r="M8" s="55" t="n">
        <f aca="false">IF(OR(J8="",$F8="",$F8=0),"",J8/$F8-1)</f>
        <v>0</v>
      </c>
      <c r="N8" s="59" t="n">
        <v>1</v>
      </c>
      <c r="O8" s="59" t="n">
        <v>1.1</v>
      </c>
      <c r="P8" s="33" t="n">
        <f aca="false">IF(OR($C8="",N8=""),"",ROUND($C8*N8/ОКРУГЛЕННЯ,0)*ОКРУГЛЕННЯ)</f>
        <v>4998</v>
      </c>
      <c r="Q8" s="33" t="n">
        <f aca="false">IF(OR($C8="",N8="",O8=""),"",ROUND($C8*N8*O8/ОКРУГЛЕННЯ,0)*ОКРУГЛЕННЯ)</f>
        <v>5498</v>
      </c>
      <c r="R8" s="33" t="n">
        <f aca="false">IF(OR(P8="",$F8=""),"",P8-$F8)</f>
        <v>0</v>
      </c>
      <c r="S8" s="55" t="n">
        <f aca="false">IF(OR(P8="",$F8="",$F8=0),"",P8/$F8-1)</f>
        <v>0</v>
      </c>
      <c r="T8" s="33" t="n">
        <f aca="false">IF(OR(P8="",J8=""),"",P8-J8)</f>
        <v>0</v>
      </c>
      <c r="U8" s="55" t="n">
        <f aca="false">IF(OR(P8="",J8="",J8=0),"",P8/J8-1)</f>
        <v>0</v>
      </c>
    </row>
    <row r="9" customFormat="false" ht="15" hidden="false" customHeight="false" outlineLevel="0" collapsed="false">
      <c r="A9" s="19" t="str">
        <f aca="false">IF('Довідник категорій'!A6="","",'Довідник категорій'!A6)</f>
        <v>Міні-котедж East Hill</v>
      </c>
      <c r="B9" s="60" t="str">
        <f aca="false">IF($A9="","",IFERROR(INDEX(ДОВ_ОПОРА,MATCH($A9,КАТЕГОРІЇ,0)),""))</f>
        <v>Міні-котедж</v>
      </c>
      <c r="C9" s="45" t="n">
        <f aca="false">IF(OR($W$2=0,$A9=""),"",IFERROR(INDEX(БАЗА_RO,MATCH($B9,БАЗА_КАТ,0),$W$2),""))</f>
        <v>4998</v>
      </c>
      <c r="D9" s="61" t="n">
        <f aca="false">IF(OR($W$2=0,$A9=""),"",IFERROR(INDEX(МНОЖНИКИ,MATCH($A9,МНОЖ_КАТ,0),$W$2),""))</f>
        <v>1.05</v>
      </c>
      <c r="E9" s="61" t="n">
        <f aca="false">IF(OR($W$2=0,$A9=""),"",IFERROR(INDEX(МНОЖНИКИ,MATCH($A9,МНОЖ_КАТ,0),$W$2+1),""))</f>
        <v>1.09</v>
      </c>
      <c r="F9" s="45" t="n">
        <f aca="false">IF(OR($C9="",$D9=""),"",ROUND($C9*$D9/ОКРУГЛЕННЯ,0)*ОКРУГЛЕННЯ)</f>
        <v>5248</v>
      </c>
      <c r="G9" s="45" t="n">
        <f aca="false">IF(OR($C9="",$D9="",$E9=""),"",ROUND($C9*$D9*$E9/ОКРУГЛЕННЯ,0)*ОКРУГЛЕННЯ)</f>
        <v>5720</v>
      </c>
      <c r="H9" s="49" t="n">
        <v>1.05</v>
      </c>
      <c r="I9" s="49" t="n">
        <v>1.09</v>
      </c>
      <c r="J9" s="45" t="n">
        <f aca="false">IF(OR($C9="",H9=""),"",ROUND($C9*H9/ОКРУГЛЕННЯ,0)*ОКРУГЛЕННЯ)</f>
        <v>5248</v>
      </c>
      <c r="K9" s="45" t="n">
        <f aca="false">IF(OR($C9="",H9="",I9=""),"",ROUND($C9*H9*I9/ОКРУГЛЕННЯ,0)*ОКРУГЛЕННЯ)</f>
        <v>5720</v>
      </c>
      <c r="L9" s="45" t="n">
        <f aca="false">IF(OR(J9="",$F9=""),"",J9-$F9)</f>
        <v>0</v>
      </c>
      <c r="M9" s="47" t="n">
        <f aca="false">IF(OR(J9="",$F9="",$F9=0),"",J9/$F9-1)</f>
        <v>0</v>
      </c>
      <c r="N9" s="59" t="n">
        <v>1.05</v>
      </c>
      <c r="O9" s="59" t="n">
        <v>1.09</v>
      </c>
      <c r="P9" s="45" t="n">
        <f aca="false">IF(OR($C9="",N9=""),"",ROUND($C9*N9/ОКРУГЛЕННЯ,0)*ОКРУГЛЕННЯ)</f>
        <v>5248</v>
      </c>
      <c r="Q9" s="45" t="n">
        <f aca="false">IF(OR($C9="",N9="",O9=""),"",ROUND($C9*N9*O9/ОКРУГЛЕННЯ,0)*ОКРУГЛЕННЯ)</f>
        <v>5720</v>
      </c>
      <c r="R9" s="45" t="n">
        <f aca="false">IF(OR(P9="",$F9=""),"",P9-$F9)</f>
        <v>0</v>
      </c>
      <c r="S9" s="47" t="n">
        <f aca="false">IF(OR(P9="",$F9="",$F9=0),"",P9/$F9-1)</f>
        <v>0</v>
      </c>
      <c r="T9" s="45" t="n">
        <f aca="false">IF(OR(P9="",J9=""),"",P9-J9)</f>
        <v>0</v>
      </c>
      <c r="U9" s="47" t="n">
        <f aca="false">IF(OR(P9="",J9="",J9=0),"",P9/J9-1)</f>
        <v>0</v>
      </c>
    </row>
    <row r="10" customFormat="false" ht="15" hidden="false" customHeight="false" outlineLevel="0" collapsed="false">
      <c r="A10" s="13" t="str">
        <f aca="false">IF('Довідник категорій'!A7="","",'Довідник категорій'!A7)</f>
        <v>Котедж комфорт класу</v>
      </c>
      <c r="B10" s="46" t="str">
        <f aca="false">IF($A10="","",IFERROR(INDEX(ДОВ_ОПОРА,MATCH($A10,КАТЕГОРІЇ,0)),""))</f>
        <v>Котедж комфорт класу</v>
      </c>
      <c r="C10" s="33" t="n">
        <f aca="false">IF(OR($W$2=0,$A10=""),"",IFERROR(INDEX(БАЗА_RO,MATCH($B10,БАЗА_КАТ,0),$W$2),""))</f>
        <v>6580</v>
      </c>
      <c r="D10" s="30" t="n">
        <f aca="false">IF(OR($W$2=0,$A10=""),"",IFERROR(INDEX(МНОЖНИКИ,MATCH($A10,МНОЖ_КАТ,0),$W$2),""))</f>
        <v>1</v>
      </c>
      <c r="E10" s="30" t="n">
        <f aca="false">IF(OR($W$2=0,$A10=""),"",IFERROR(INDEX(МНОЖНИКИ,MATCH($A10,МНОЖ_КАТ,0),$W$2+1),""))</f>
        <v>1.1</v>
      </c>
      <c r="F10" s="33" t="n">
        <f aca="false">IF(OR($C10="",$D10=""),"",ROUND($C10*$D10/ОКРУГЛЕННЯ,0)*ОКРУГЛЕННЯ)</f>
        <v>6580</v>
      </c>
      <c r="G10" s="33" t="n">
        <f aca="false">IF(OR($C10="",$D10="",$E10=""),"",ROUND($C10*$D10*$E10/ОКРУГЛЕННЯ,0)*ОКРУГЛЕННЯ)</f>
        <v>7238</v>
      </c>
      <c r="H10" s="49" t="n">
        <v>1</v>
      </c>
      <c r="I10" s="49" t="n">
        <v>1.1</v>
      </c>
      <c r="J10" s="33" t="n">
        <f aca="false">IF(OR($C10="",H10=""),"",ROUND($C10*H10/ОКРУГЛЕННЯ,0)*ОКРУГЛЕННЯ)</f>
        <v>6580</v>
      </c>
      <c r="K10" s="33" t="n">
        <f aca="false">IF(OR($C10="",H10="",I10=""),"",ROUND($C10*H10*I10/ОКРУГЛЕННЯ,0)*ОКРУГЛЕННЯ)</f>
        <v>7238</v>
      </c>
      <c r="L10" s="33" t="n">
        <f aca="false">IF(OR(J10="",$F10=""),"",J10-$F10)</f>
        <v>0</v>
      </c>
      <c r="M10" s="55" t="n">
        <f aca="false">IF(OR(J10="",$F10="",$F10=0),"",J10/$F10-1)</f>
        <v>0</v>
      </c>
      <c r="N10" s="59" t="n">
        <v>1</v>
      </c>
      <c r="O10" s="59" t="n">
        <v>1.1</v>
      </c>
      <c r="P10" s="33" t="n">
        <f aca="false">IF(OR($C10="",N10=""),"",ROUND($C10*N10/ОКРУГЛЕННЯ,0)*ОКРУГЛЕННЯ)</f>
        <v>6580</v>
      </c>
      <c r="Q10" s="33" t="n">
        <f aca="false">IF(OR($C10="",N10="",O10=""),"",ROUND($C10*N10*O10/ОКРУГЛЕННЯ,0)*ОКРУГЛЕННЯ)</f>
        <v>7238</v>
      </c>
      <c r="R10" s="33" t="n">
        <f aca="false">IF(OR(P10="",$F10=""),"",P10-$F10)</f>
        <v>0</v>
      </c>
      <c r="S10" s="55" t="n">
        <f aca="false">IF(OR(P10="",$F10="",$F10=0),"",P10/$F10-1)</f>
        <v>0</v>
      </c>
      <c r="T10" s="33" t="n">
        <f aca="false">IF(OR(P10="",J10=""),"",P10-J10)</f>
        <v>0</v>
      </c>
      <c r="U10" s="55" t="n">
        <f aca="false">IF(OR(P10="",J10="",J10=0),"",P10/J10-1)</f>
        <v>0</v>
      </c>
    </row>
    <row r="11" customFormat="false" ht="15" hidden="false" customHeight="false" outlineLevel="0" collapsed="false">
      <c r="A11" s="19" t="str">
        <f aca="false">IF('Довідник категорій'!A8="","",'Довідник категорій'!A8)</f>
        <v>Шале преміум</v>
      </c>
      <c r="B11" s="60" t="str">
        <f aca="false">IF($A11="","",IFERROR(INDEX(ДОВ_ОПОРА,MATCH($A11,КАТЕГОРІЇ,0)),""))</f>
        <v>Котедж комфорт класу</v>
      </c>
      <c r="C11" s="45" t="n">
        <f aca="false">IF(OR($W$2=0,$A11=""),"",IFERROR(INDEX(БАЗА_RO,MATCH($B11,БАЗА_КАТ,0),$W$2),""))</f>
        <v>6580</v>
      </c>
      <c r="D11" s="61" t="n">
        <f aca="false">IF(OR($W$2=0,$A11=""),"",IFERROR(INDEX(МНОЖНИКИ,MATCH($A11,МНОЖ_КАТ,0),$W$2),""))</f>
        <v>1.05</v>
      </c>
      <c r="E11" s="61" t="n">
        <f aca="false">IF(OR($W$2=0,$A11=""),"",IFERROR(INDEX(МНОЖНИКИ,MATCH($A11,МНОЖ_КАТ,0),$W$2+1),""))</f>
        <v>1.08</v>
      </c>
      <c r="F11" s="45" t="n">
        <f aca="false">IF(OR($C11="",$D11=""),"",ROUND($C11*$D11/ОКРУГЛЕННЯ,0)*ОКРУГЛЕННЯ)</f>
        <v>6909</v>
      </c>
      <c r="G11" s="45" t="n">
        <f aca="false">IF(OR($C11="",$D11="",$E11=""),"",ROUND($C11*$D11*$E11/ОКРУГЛЕННЯ,0)*ОКРУГЛЕННЯ)</f>
        <v>7462</v>
      </c>
      <c r="H11" s="49" t="n">
        <v>1.05</v>
      </c>
      <c r="I11" s="49" t="n">
        <v>1.08</v>
      </c>
      <c r="J11" s="45" t="n">
        <f aca="false">IF(OR($C11="",H11=""),"",ROUND($C11*H11/ОКРУГЛЕННЯ,0)*ОКРУГЛЕННЯ)</f>
        <v>6909</v>
      </c>
      <c r="K11" s="45" t="n">
        <f aca="false">IF(OR($C11="",H11="",I11=""),"",ROUND($C11*H11*I11/ОКРУГЛЕННЯ,0)*ОКРУГЛЕННЯ)</f>
        <v>7462</v>
      </c>
      <c r="L11" s="45" t="n">
        <f aca="false">IF(OR(J11="",$F11=""),"",J11-$F11)</f>
        <v>0</v>
      </c>
      <c r="M11" s="47" t="n">
        <f aca="false">IF(OR(J11="",$F11="",$F11=0),"",J11/$F11-1)</f>
        <v>0</v>
      </c>
      <c r="N11" s="59" t="n">
        <v>1.05</v>
      </c>
      <c r="O11" s="59" t="n">
        <v>1.08</v>
      </c>
      <c r="P11" s="45" t="n">
        <f aca="false">IF(OR($C11="",N11=""),"",ROUND($C11*N11/ОКРУГЛЕННЯ,0)*ОКРУГЛЕННЯ)</f>
        <v>6909</v>
      </c>
      <c r="Q11" s="45" t="n">
        <f aca="false">IF(OR($C11="",N11="",O11=""),"",ROUND($C11*N11*O11/ОКРУГЛЕННЯ,0)*ОКРУГЛЕННЯ)</f>
        <v>7462</v>
      </c>
      <c r="R11" s="45" t="n">
        <f aca="false">IF(OR(P11="",$F11=""),"",P11-$F11)</f>
        <v>0</v>
      </c>
      <c r="S11" s="47" t="n">
        <f aca="false">IF(OR(P11="",$F11="",$F11=0),"",P11/$F11-1)</f>
        <v>0</v>
      </c>
      <c r="T11" s="45" t="n">
        <f aca="false">IF(OR(P11="",J11=""),"",P11-J11)</f>
        <v>0</v>
      </c>
      <c r="U11" s="47" t="n">
        <f aca="false">IF(OR(P11="",J11="",J11=0),"",P11/J11-1)</f>
        <v>0</v>
      </c>
    </row>
    <row r="12" customFormat="false" ht="15" hidden="false" customHeight="false" outlineLevel="0" collapsed="false">
      <c r="A12" s="13" t="str">
        <f aca="false">IF('Довідник категорій'!A9="","",'Довідник категорій'!A9)</f>
        <v>Шале преміум збільшене</v>
      </c>
      <c r="B12" s="46" t="str">
        <f aca="false">IF($A12="","",IFERROR(INDEX(ДОВ_ОПОРА,MATCH($A12,КАТЕГОРІЇ,0)),""))</f>
        <v>Котедж комфорт класу</v>
      </c>
      <c r="C12" s="33" t="n">
        <f aca="false">IF(OR($W$2=0,$A12=""),"",IFERROR(INDEX(БАЗА_RO,MATCH($B12,БАЗА_КАТ,0),$W$2),""))</f>
        <v>6580</v>
      </c>
      <c r="D12" s="30" t="n">
        <f aca="false">IF(OR($W$2=0,$A12=""),"",IFERROR(INDEX(МНОЖНИКИ,MATCH($A12,МНОЖ_КАТ,0),$W$2),""))</f>
        <v>1.1</v>
      </c>
      <c r="E12" s="30" t="n">
        <f aca="false">IF(OR($W$2=0,$A12=""),"",IFERROR(INDEX(МНОЖНИКИ,MATCH($A12,МНОЖ_КАТ,0),$W$2+1),""))</f>
        <v>1.07</v>
      </c>
      <c r="F12" s="33" t="n">
        <f aca="false">IF(OR($C12="",$D12=""),"",ROUND($C12*$D12/ОКРУГЛЕННЯ,0)*ОКРУГЛЕННЯ)</f>
        <v>7238</v>
      </c>
      <c r="G12" s="33" t="n">
        <f aca="false">IF(OR($C12="",$D12="",$E12=""),"",ROUND($C12*$D12*$E12/ОКРУГЛЕННЯ,0)*ОКРУГЛЕННЯ)</f>
        <v>7745</v>
      </c>
      <c r="H12" s="49" t="n">
        <v>1.1</v>
      </c>
      <c r="I12" s="49" t="n">
        <v>1.07</v>
      </c>
      <c r="J12" s="33" t="n">
        <f aca="false">IF(OR($C12="",H12=""),"",ROUND($C12*H12/ОКРУГЛЕННЯ,0)*ОКРУГЛЕННЯ)</f>
        <v>7238</v>
      </c>
      <c r="K12" s="33" t="n">
        <f aca="false">IF(OR($C12="",H12="",I12=""),"",ROUND($C12*H12*I12/ОКРУГЛЕННЯ,0)*ОКРУГЛЕННЯ)</f>
        <v>7745</v>
      </c>
      <c r="L12" s="33" t="n">
        <f aca="false">IF(OR(J12="",$F12=""),"",J12-$F12)</f>
        <v>0</v>
      </c>
      <c r="M12" s="55" t="n">
        <f aca="false">IF(OR(J12="",$F12="",$F12=0),"",J12/$F12-1)</f>
        <v>0</v>
      </c>
      <c r="N12" s="59" t="n">
        <v>1.1</v>
      </c>
      <c r="O12" s="59" t="n">
        <v>1.07</v>
      </c>
      <c r="P12" s="33" t="n">
        <f aca="false">IF(OR($C12="",N12=""),"",ROUND($C12*N12/ОКРУГЛЕННЯ,0)*ОКРУГЛЕННЯ)</f>
        <v>7238</v>
      </c>
      <c r="Q12" s="33" t="n">
        <f aca="false">IF(OR($C12="",N12="",O12=""),"",ROUND($C12*N12*O12/ОКРУГЛЕННЯ,0)*ОКРУГЛЕННЯ)</f>
        <v>7745</v>
      </c>
      <c r="R12" s="33" t="n">
        <f aca="false">IF(OR(P12="",$F12=""),"",P12-$F12)</f>
        <v>0</v>
      </c>
      <c r="S12" s="55" t="n">
        <f aca="false">IF(OR(P12="",$F12="",$F12=0),"",P12/$F12-1)</f>
        <v>0</v>
      </c>
      <c r="T12" s="33" t="n">
        <f aca="false">IF(OR(P12="",J12=""),"",P12-J12)</f>
        <v>0</v>
      </c>
      <c r="U12" s="55" t="n">
        <f aca="false">IF(OR(P12="",J12="",J12=0),"",P12/J12-1)</f>
        <v>0</v>
      </c>
    </row>
    <row r="13" customFormat="false" ht="15" hidden="false" customHeight="false" outlineLevel="0" collapsed="false">
      <c r="A13" s="19" t="str">
        <f aca="false">IF('Довідник категорій'!A10="","",'Довідник категорій'!A10)</f>
        <v>Шале преміум збільшене East Hill</v>
      </c>
      <c r="B13" s="60" t="str">
        <f aca="false">IF($A13="","",IFERROR(INDEX(ДОВ_ОПОРА,MATCH($A13,КАТЕГОРІЇ,0)),""))</f>
        <v>Котедж комфорт класу</v>
      </c>
      <c r="C13" s="45" t="n">
        <f aca="false">IF(OR($W$2=0,$A13=""),"",IFERROR(INDEX(БАЗА_RO,MATCH($B13,БАЗА_КАТ,0),$W$2),""))</f>
        <v>6580</v>
      </c>
      <c r="D13" s="61" t="n">
        <f aca="false">IF(OR($W$2=0,$A13=""),"",IFERROR(INDEX(МНОЖНИКИ,MATCH($A13,МНОЖ_КАТ,0),$W$2),""))</f>
        <v>1.15</v>
      </c>
      <c r="E13" s="61" t="n">
        <f aca="false">IF(OR($W$2=0,$A13=""),"",IFERROR(INDEX(МНОЖНИКИ,MATCH($A13,МНОЖ_КАТ,0),$W$2+1),""))</f>
        <v>1.06</v>
      </c>
      <c r="F13" s="45" t="n">
        <f aca="false">IF(OR($C13="",$D13=""),"",ROUND($C13*$D13/ОКРУГЛЕННЯ,0)*ОКРУГЛЕННЯ)</f>
        <v>7567</v>
      </c>
      <c r="G13" s="45" t="n">
        <f aca="false">IF(OR($C13="",$D13="",$E13=""),"",ROUND($C13*$D13*$E13/ОКРУГЛЕННЯ,0)*ОКРУГЛЕННЯ)</f>
        <v>8021</v>
      </c>
      <c r="H13" s="49" t="n">
        <v>1.15</v>
      </c>
      <c r="I13" s="49" t="n">
        <v>1.06</v>
      </c>
      <c r="J13" s="45" t="n">
        <f aca="false">IF(OR($C13="",H13=""),"",ROUND($C13*H13/ОКРУГЛЕННЯ,0)*ОКРУГЛЕННЯ)</f>
        <v>7567</v>
      </c>
      <c r="K13" s="45" t="n">
        <f aca="false">IF(OR($C13="",H13="",I13=""),"",ROUND($C13*H13*I13/ОКРУГЛЕННЯ,0)*ОКРУГЛЕННЯ)</f>
        <v>8021</v>
      </c>
      <c r="L13" s="45" t="n">
        <f aca="false">IF(OR(J13="",$F13=""),"",J13-$F13)</f>
        <v>0</v>
      </c>
      <c r="M13" s="47" t="n">
        <f aca="false">IF(OR(J13="",$F13="",$F13=0),"",J13/$F13-1)</f>
        <v>0</v>
      </c>
      <c r="N13" s="59" t="n">
        <v>1.15</v>
      </c>
      <c r="O13" s="59" t="n">
        <v>1.06</v>
      </c>
      <c r="P13" s="45" t="n">
        <f aca="false">IF(OR($C13="",N13=""),"",ROUND($C13*N13/ОКРУГЛЕННЯ,0)*ОКРУГЛЕННЯ)</f>
        <v>7567</v>
      </c>
      <c r="Q13" s="45" t="n">
        <f aca="false">IF(OR($C13="",N13="",O13=""),"",ROUND($C13*N13*O13/ОКРУГЛЕННЯ,0)*ОКРУГЛЕННЯ)</f>
        <v>8021</v>
      </c>
      <c r="R13" s="45" t="n">
        <f aca="false">IF(OR(P13="",$F13=""),"",P13-$F13)</f>
        <v>0</v>
      </c>
      <c r="S13" s="47" t="n">
        <f aca="false">IF(OR(P13="",$F13="",$F13=0),"",P13/$F13-1)</f>
        <v>0</v>
      </c>
      <c r="T13" s="45" t="n">
        <f aca="false">IF(OR(P13="",J13=""),"",P13-J13)</f>
        <v>0</v>
      </c>
      <c r="U13" s="47" t="n">
        <f aca="false">IF(OR(P13="",J13="",J13=0),"",P13/J13-1)</f>
        <v>0</v>
      </c>
    </row>
    <row r="14" customFormat="false" ht="15" hidden="false" customHeight="false" outlineLevel="0" collapsed="false">
      <c r="A14" s="13" t="str">
        <f aca="false">IF('Довідник категорій'!A11="","",'Довідник категорій'!A11)</f>
        <v>Президентське шале</v>
      </c>
      <c r="B14" s="46" t="str">
        <f aca="false">IF($A14="","",IFERROR(INDEX(ДОВ_ОПОРА,MATCH($A14,КАТЕГОРІЇ,0)),""))</f>
        <v>Котедж комфорт класу</v>
      </c>
      <c r="C14" s="33" t="n">
        <f aca="false">IF(OR($W$2=0,$A14=""),"",IFERROR(INDEX(БАЗА_RO,MATCH($B14,БАЗА_КАТ,0),$W$2),""))</f>
        <v>6580</v>
      </c>
      <c r="D14" s="30" t="n">
        <f aca="false">IF(OR($W$2=0,$A14=""),"",IFERROR(INDEX(МНОЖНИКИ,MATCH($A14,МНОЖ_КАТ,0),$W$2),""))</f>
        <v>1.5</v>
      </c>
      <c r="E14" s="30" t="n">
        <f aca="false">IF(OR($W$2=0,$A14=""),"",IFERROR(INDEX(МНОЖНИКИ,MATCH($A14,МНОЖ_КАТ,0),$W$2+1),""))</f>
        <v>1.04</v>
      </c>
      <c r="F14" s="33" t="n">
        <f aca="false">IF(OR($C14="",$D14=""),"",ROUND($C14*$D14/ОКРУГЛЕННЯ,0)*ОКРУГЛЕННЯ)</f>
        <v>9870</v>
      </c>
      <c r="G14" s="33" t="n">
        <f aca="false">IF(OR($C14="",$D14="",$E14=""),"",ROUND($C14*$D14*$E14/ОКРУГЛЕННЯ,0)*ОКРУГЛЕННЯ)</f>
        <v>10265</v>
      </c>
      <c r="H14" s="49" t="n">
        <v>1.5</v>
      </c>
      <c r="I14" s="49" t="n">
        <v>1.04</v>
      </c>
      <c r="J14" s="33" t="n">
        <f aca="false">IF(OR($C14="",H14=""),"",ROUND($C14*H14/ОКРУГЛЕННЯ,0)*ОКРУГЛЕННЯ)</f>
        <v>9870</v>
      </c>
      <c r="K14" s="33" t="n">
        <f aca="false">IF(OR($C14="",H14="",I14=""),"",ROUND($C14*H14*I14/ОКРУГЛЕННЯ,0)*ОКРУГЛЕННЯ)</f>
        <v>10265</v>
      </c>
      <c r="L14" s="33" t="n">
        <f aca="false">IF(OR(J14="",$F14=""),"",J14-$F14)</f>
        <v>0</v>
      </c>
      <c r="M14" s="55" t="n">
        <f aca="false">IF(OR(J14="",$F14="",$F14=0),"",J14/$F14-1)</f>
        <v>0</v>
      </c>
      <c r="N14" s="59" t="n">
        <v>1.5</v>
      </c>
      <c r="O14" s="59" t="n">
        <v>1.04</v>
      </c>
      <c r="P14" s="33" t="n">
        <f aca="false">IF(OR($C14="",N14=""),"",ROUND($C14*N14/ОКРУГЛЕННЯ,0)*ОКРУГЛЕННЯ)</f>
        <v>9870</v>
      </c>
      <c r="Q14" s="33" t="n">
        <f aca="false">IF(OR($C14="",N14="",O14=""),"",ROUND($C14*N14*O14/ОКРУГЛЕННЯ,0)*ОКРУГЛЕННЯ)</f>
        <v>10265</v>
      </c>
      <c r="R14" s="33" t="n">
        <f aca="false">IF(OR(P14="",$F14=""),"",P14-$F14)</f>
        <v>0</v>
      </c>
      <c r="S14" s="55" t="n">
        <f aca="false">IF(OR(P14="",$F14="",$F14=0),"",P14/$F14-1)</f>
        <v>0</v>
      </c>
      <c r="T14" s="33" t="n">
        <f aca="false">IF(OR(P14="",J14=""),"",P14-J14)</f>
        <v>0</v>
      </c>
      <c r="U14" s="55" t="n">
        <f aca="false">IF(OR(P14="",J14="",J14=0),"",P14/J14-1)</f>
        <v>0</v>
      </c>
    </row>
    <row r="15" customFormat="false" ht="15" hidden="false" customHeight="false" outlineLevel="0" collapsed="false">
      <c r="A15" s="19" t="str">
        <f aca="false">IF('Довідник категорій'!A12="","",'Довідник категорій'!A12)</f>
        <v>Апартаменти стандартні 20 м²</v>
      </c>
      <c r="B15" s="60" t="str">
        <f aca="false">IF($A15="","",IFERROR(INDEX(ДОВ_ОПОРА,MATCH($A15,КАТЕГОРІЇ,0)),""))</f>
        <v>Апартаменти стандартні 20 м²</v>
      </c>
      <c r="C15" s="45" t="n">
        <f aca="false">IF(OR($W$2=0,$A15=""),"",IFERROR(INDEX(БАЗА_RO,MATCH($B15,БАЗА_КАТ,0),$W$2),""))</f>
        <v>2370</v>
      </c>
      <c r="D15" s="61" t="n">
        <f aca="false">IF(OR($W$2=0,$A15=""),"",IFERROR(INDEX(МНОЖНИКИ,MATCH($A15,МНОЖ_КАТ,0),$W$2),""))</f>
        <v>1</v>
      </c>
      <c r="E15" s="61" t="n">
        <f aca="false">IF(OR($W$2=0,$A15=""),"",IFERROR(INDEX(МНОЖНИКИ,MATCH($A15,МНОЖ_КАТ,0),$W$2+1),""))</f>
        <v>1.1</v>
      </c>
      <c r="F15" s="45" t="n">
        <f aca="false">IF(OR($C15="",$D15=""),"",ROUND($C15*$D15/ОКРУГЛЕННЯ,0)*ОКРУГЛЕННЯ)</f>
        <v>2370</v>
      </c>
      <c r="G15" s="45" t="n">
        <f aca="false">IF(OR($C15="",$D15="",$E15=""),"",ROUND($C15*$D15*$E15/ОКРУГЛЕННЯ,0)*ОКРУГЛЕННЯ)</f>
        <v>2607</v>
      </c>
      <c r="H15" s="49" t="n">
        <v>1</v>
      </c>
      <c r="I15" s="49" t="n">
        <v>1.1</v>
      </c>
      <c r="J15" s="45" t="n">
        <f aca="false">IF(OR($C15="",H15=""),"",ROUND($C15*H15/ОКРУГЛЕННЯ,0)*ОКРУГЛЕННЯ)</f>
        <v>2370</v>
      </c>
      <c r="K15" s="45" t="n">
        <f aca="false">IF(OR($C15="",H15="",I15=""),"",ROUND($C15*H15*I15/ОКРУГЛЕННЯ,0)*ОКРУГЛЕННЯ)</f>
        <v>2607</v>
      </c>
      <c r="L15" s="45" t="n">
        <f aca="false">IF(OR(J15="",$F15=""),"",J15-$F15)</f>
        <v>0</v>
      </c>
      <c r="M15" s="47" t="n">
        <f aca="false">IF(OR(J15="",$F15="",$F15=0),"",J15/$F15-1)</f>
        <v>0</v>
      </c>
      <c r="N15" s="59" t="n">
        <v>1</v>
      </c>
      <c r="O15" s="59" t="n">
        <v>1.1</v>
      </c>
      <c r="P15" s="45" t="n">
        <f aca="false">IF(OR($C15="",N15=""),"",ROUND($C15*N15/ОКРУГЛЕННЯ,0)*ОКРУГЛЕННЯ)</f>
        <v>2370</v>
      </c>
      <c r="Q15" s="45" t="n">
        <f aca="false">IF(OR($C15="",N15="",O15=""),"",ROUND($C15*N15*O15/ОКРУГЛЕННЯ,0)*ОКРУГЛЕННЯ)</f>
        <v>2607</v>
      </c>
      <c r="R15" s="45" t="n">
        <f aca="false">IF(OR(P15="",$F15=""),"",P15-$F15)</f>
        <v>0</v>
      </c>
      <c r="S15" s="47" t="n">
        <f aca="false">IF(OR(P15="",$F15="",$F15=0),"",P15/$F15-1)</f>
        <v>0</v>
      </c>
      <c r="T15" s="45" t="n">
        <f aca="false">IF(OR(P15="",J15=""),"",P15-J15)</f>
        <v>0</v>
      </c>
      <c r="U15" s="47" t="n">
        <f aca="false">IF(OR(P15="",J15="",J15=0),"",P15/J15-1)</f>
        <v>0</v>
      </c>
    </row>
    <row r="16" customFormat="false" ht="15" hidden="false" customHeight="false" outlineLevel="0" collapsed="false">
      <c r="A16" s="13" t="str">
        <f aca="false">IF('Довідник категорій'!A13="","",'Довідник категорій'!A13)</f>
        <v>Апартаменти покращені 28 м²</v>
      </c>
      <c r="B16" s="46" t="str">
        <f aca="false">IF($A16="","",IFERROR(INDEX(ДОВ_ОПОРА,MATCH($A16,КАТЕГОРІЇ,0)),""))</f>
        <v>Апартаменти стандартні 20 м²</v>
      </c>
      <c r="C16" s="33" t="n">
        <f aca="false">IF(OR($W$2=0,$A16=""),"",IFERROR(INDEX(БАЗА_RO,MATCH($B16,БАЗА_КАТ,0),$W$2),""))</f>
        <v>2370</v>
      </c>
      <c r="D16" s="30" t="n">
        <f aca="false">IF(OR($W$2=0,$A16=""),"",IFERROR(INDEX(МНОЖНИКИ,MATCH($A16,МНОЖ_КАТ,0),$W$2),""))</f>
        <v>1.15</v>
      </c>
      <c r="E16" s="30" t="n">
        <f aca="false">IF(OR($W$2=0,$A16=""),"",IFERROR(INDEX(МНОЖНИКИ,MATCH($A16,МНОЖ_КАТ,0),$W$2+1),""))</f>
        <v>1.1</v>
      </c>
      <c r="F16" s="33" t="n">
        <f aca="false">IF(OR($C16="",$D16=""),"",ROUND($C16*$D16/ОКРУГЛЕННЯ,0)*ОКРУГЛЕННЯ)</f>
        <v>2726</v>
      </c>
      <c r="G16" s="33" t="n">
        <f aca="false">IF(OR($C16="",$D16="",$E16=""),"",ROUND($C16*$D16*$E16/ОКРУГЛЕННЯ,0)*ОКРУГЛЕННЯ)</f>
        <v>2998</v>
      </c>
      <c r="H16" s="49" t="n">
        <v>1.15</v>
      </c>
      <c r="I16" s="49" t="n">
        <v>1.1</v>
      </c>
      <c r="J16" s="33" t="n">
        <f aca="false">IF(OR($C16="",H16=""),"",ROUND($C16*H16/ОКРУГЛЕННЯ,0)*ОКРУГЛЕННЯ)</f>
        <v>2726</v>
      </c>
      <c r="K16" s="33" t="n">
        <f aca="false">IF(OR($C16="",H16="",I16=""),"",ROUND($C16*H16*I16/ОКРУГЛЕННЯ,0)*ОКРУГЛЕННЯ)</f>
        <v>2998</v>
      </c>
      <c r="L16" s="33" t="n">
        <f aca="false">IF(OR(J16="",$F16=""),"",J16-$F16)</f>
        <v>0</v>
      </c>
      <c r="M16" s="55" t="n">
        <f aca="false">IF(OR(J16="",$F16="",$F16=0),"",J16/$F16-1)</f>
        <v>0</v>
      </c>
      <c r="N16" s="59" t="n">
        <v>1.15</v>
      </c>
      <c r="O16" s="59" t="n">
        <v>1.1</v>
      </c>
      <c r="P16" s="33" t="n">
        <f aca="false">IF(OR($C16="",N16=""),"",ROUND($C16*N16/ОКРУГЛЕННЯ,0)*ОКРУГЛЕННЯ)</f>
        <v>2726</v>
      </c>
      <c r="Q16" s="33" t="n">
        <f aca="false">IF(OR($C16="",N16="",O16=""),"",ROUND($C16*N16*O16/ОКРУГЛЕННЯ,0)*ОКРУГЛЕННЯ)</f>
        <v>2998</v>
      </c>
      <c r="R16" s="33" t="n">
        <f aca="false">IF(OR(P16="",$F16=""),"",P16-$F16)</f>
        <v>0</v>
      </c>
      <c r="S16" s="55" t="n">
        <f aca="false">IF(OR(P16="",$F16="",$F16=0),"",P16/$F16-1)</f>
        <v>0</v>
      </c>
      <c r="T16" s="33" t="n">
        <f aca="false">IF(OR(P16="",J16=""),"",P16-J16)</f>
        <v>0</v>
      </c>
      <c r="U16" s="55" t="n">
        <f aca="false">IF(OR(P16="",J16="",J16=0),"",P16/J16-1)</f>
        <v>0</v>
      </c>
    </row>
    <row r="17" customFormat="false" ht="15" hidden="false" customHeight="false" outlineLevel="0" collapsed="false">
      <c r="A17" s="19" t="str">
        <f aca="false">IF('Довідник категорій'!A14="","",'Довідник категорій'!A14)</f>
        <v>Апартаменти Люкс 25 м²</v>
      </c>
      <c r="B17" s="60" t="str">
        <f aca="false">IF($A17="","",IFERROR(INDEX(ДОВ_ОПОРА,MATCH($A17,КАТЕГОРІЇ,0)),""))</f>
        <v>Апартаменти стандартні 20 м²</v>
      </c>
      <c r="C17" s="45" t="n">
        <f aca="false">IF(OR($W$2=0,$A17=""),"",IFERROR(INDEX(БАЗА_RO,MATCH($B17,БАЗА_КАТ,0),$W$2),""))</f>
        <v>2370</v>
      </c>
      <c r="D17" s="61" t="n">
        <f aca="false">IF(OR($W$2=0,$A17=""),"",IFERROR(INDEX(МНОЖНИКИ,MATCH($A17,МНОЖ_КАТ,0),$W$2),""))</f>
        <v>1.35</v>
      </c>
      <c r="E17" s="61" t="n">
        <f aca="false">IF(OR($W$2=0,$A17=""),"",IFERROR(INDEX(МНОЖНИКИ,MATCH($A17,МНОЖ_КАТ,0),$W$2+1),""))</f>
        <v>1.07</v>
      </c>
      <c r="F17" s="45" t="n">
        <f aca="false">IF(OR($C17="",$D17=""),"",ROUND($C17*$D17/ОКРУГЛЕННЯ,0)*ОКРУГЛЕННЯ)</f>
        <v>3200</v>
      </c>
      <c r="G17" s="45" t="n">
        <f aca="false">IF(OR($C17="",$D17="",$E17=""),"",ROUND($C17*$D17*$E17/ОКРУГЛЕННЯ,0)*ОКРУГЛЕННЯ)</f>
        <v>3423</v>
      </c>
      <c r="H17" s="49" t="n">
        <v>1.35</v>
      </c>
      <c r="I17" s="49" t="n">
        <v>1.07</v>
      </c>
      <c r="J17" s="45" t="n">
        <f aca="false">IF(OR($C17="",H17=""),"",ROUND($C17*H17/ОКРУГЛЕННЯ,0)*ОКРУГЛЕННЯ)</f>
        <v>3200</v>
      </c>
      <c r="K17" s="45" t="n">
        <f aca="false">IF(OR($C17="",H17="",I17=""),"",ROUND($C17*H17*I17/ОКРУГЛЕННЯ,0)*ОКРУГЛЕННЯ)</f>
        <v>3423</v>
      </c>
      <c r="L17" s="45" t="n">
        <f aca="false">IF(OR(J17="",$F17=""),"",J17-$F17)</f>
        <v>0</v>
      </c>
      <c r="M17" s="47" t="n">
        <f aca="false">IF(OR(J17="",$F17="",$F17=0),"",J17/$F17-1)</f>
        <v>0</v>
      </c>
      <c r="N17" s="59" t="n">
        <v>1.35</v>
      </c>
      <c r="O17" s="59" t="n">
        <v>1.07</v>
      </c>
      <c r="P17" s="45" t="n">
        <f aca="false">IF(OR($C17="",N17=""),"",ROUND($C17*N17/ОКРУГЛЕННЯ,0)*ОКРУГЛЕННЯ)</f>
        <v>3200</v>
      </c>
      <c r="Q17" s="45" t="n">
        <f aca="false">IF(OR($C17="",N17="",O17=""),"",ROUND($C17*N17*O17/ОКРУГЛЕННЯ,0)*ОКРУГЛЕННЯ)</f>
        <v>3423</v>
      </c>
      <c r="R17" s="45" t="n">
        <f aca="false">IF(OR(P17="",$F17=""),"",P17-$F17)</f>
        <v>0</v>
      </c>
      <c r="S17" s="47" t="n">
        <f aca="false">IF(OR(P17="",$F17="",$F17=0),"",P17/$F17-1)</f>
        <v>0</v>
      </c>
      <c r="T17" s="45" t="n">
        <f aca="false">IF(OR(P17="",J17=""),"",P17-J17)</f>
        <v>0</v>
      </c>
      <c r="U17" s="47" t="n">
        <f aca="false">IF(OR(P17="",J17="",J17=0),"",P17/J17-1)</f>
        <v>0</v>
      </c>
    </row>
    <row r="18" customFormat="false" ht="15" hidden="false" customHeight="false" outlineLevel="0" collapsed="false">
      <c r="A18" s="13" t="str">
        <f aca="false">IF('Довідник категорій'!A15="","",'Довідник категорій'!A15)</f>
        <v>Люкс зі спальнею та вітальнею</v>
      </c>
      <c r="B18" s="46" t="str">
        <f aca="false">IF($A18="","",IFERROR(INDEX(ДОВ_ОПОРА,MATCH($A18,КАТЕГОРІЇ,0)),""))</f>
        <v>Апартаменти стандартні 20 м²</v>
      </c>
      <c r="C18" s="33" t="n">
        <f aca="false">IF(OR($W$2=0,$A18=""),"",IFERROR(INDEX(БАЗА_RO,MATCH($B18,БАЗА_КАТ,0),$W$2),""))</f>
        <v>2370</v>
      </c>
      <c r="D18" s="30" t="n">
        <f aca="false">IF(OR($W$2=0,$A18=""),"",IFERROR(INDEX(МНОЖНИКИ,MATCH($A18,МНОЖ_КАТ,0),$W$2),""))</f>
        <v>1.6</v>
      </c>
      <c r="E18" s="30" t="n">
        <f aca="false">IF(OR($W$2=0,$A18=""),"",IFERROR(INDEX(МНОЖНИКИ,MATCH($A18,МНОЖ_КАТ,0),$W$2+1),""))</f>
        <v>1.0652</v>
      </c>
      <c r="F18" s="33" t="n">
        <f aca="false">IF(OR($C18="",$D18=""),"",ROUND($C18*$D18/ОКРУГЛЕННЯ,0)*ОКРУГЛЕННЯ)</f>
        <v>3792</v>
      </c>
      <c r="G18" s="33" t="n">
        <f aca="false">IF(OR($C18="",$D18="",$E18=""),"",ROUND($C18*$D18*$E18/ОКРУГЛЕННЯ,0)*ОКРУГЛЕННЯ)</f>
        <v>4039</v>
      </c>
      <c r="H18" s="49" t="n">
        <v>1.6</v>
      </c>
      <c r="I18" s="49" t="n">
        <v>1.0652</v>
      </c>
      <c r="J18" s="33" t="n">
        <f aca="false">IF(OR($C18="",H18=""),"",ROUND($C18*H18/ОКРУГЛЕННЯ,0)*ОКРУГЛЕННЯ)</f>
        <v>3792</v>
      </c>
      <c r="K18" s="33" t="n">
        <f aca="false">IF(OR($C18="",H18="",I18=""),"",ROUND($C18*H18*I18/ОКРУГЛЕННЯ,0)*ОКРУГЛЕННЯ)</f>
        <v>4039</v>
      </c>
      <c r="L18" s="33" t="n">
        <f aca="false">IF(OR(J18="",$F18=""),"",J18-$F18)</f>
        <v>0</v>
      </c>
      <c r="M18" s="55" t="n">
        <f aca="false">IF(OR(J18="",$F18="",$F18=0),"",J18/$F18-1)</f>
        <v>0</v>
      </c>
      <c r="N18" s="59" t="n">
        <v>1.6</v>
      </c>
      <c r="O18" s="59" t="n">
        <v>1.0652</v>
      </c>
      <c r="P18" s="33" t="n">
        <f aca="false">IF(OR($C18="",N18=""),"",ROUND($C18*N18/ОКРУГЛЕННЯ,0)*ОКРУГЛЕННЯ)</f>
        <v>3792</v>
      </c>
      <c r="Q18" s="33" t="n">
        <f aca="false">IF(OR($C18="",N18="",O18=""),"",ROUND($C18*N18*O18/ОКРУГЛЕННЯ,0)*ОКРУГЛЕННЯ)</f>
        <v>4039</v>
      </c>
      <c r="R18" s="33" t="n">
        <f aca="false">IF(OR(P18="",$F18=""),"",P18-$F18)</f>
        <v>0</v>
      </c>
      <c r="S18" s="55" t="n">
        <f aca="false">IF(OR(P18="",$F18="",$F18=0),"",P18/$F18-1)</f>
        <v>0</v>
      </c>
      <c r="T18" s="33" t="n">
        <f aca="false">IF(OR(P18="",J18=""),"",P18-J18)</f>
        <v>0</v>
      </c>
      <c r="U18" s="55" t="n">
        <f aca="false">IF(OR(P18="",J18="",J18=0),"",P18/J18-1)</f>
        <v>0</v>
      </c>
    </row>
    <row r="19" customFormat="false" ht="15" hidden="false" customHeight="false" outlineLevel="0" collapsed="false">
      <c r="A19" s="19" t="str">
        <f aca="false">IF('Довідник категорій'!A16="","",'Довідник категорій'!A16)</f>
        <v>Люкс з видом на гори (з 2-ма спальнями) 61 м²</v>
      </c>
      <c r="B19" s="60" t="str">
        <f aca="false">IF($A19="","",IFERROR(INDEX(ДОВ_ОПОРА,MATCH($A19,КАТЕГОРІЇ,0)),""))</f>
        <v>Апартаменти стандартні 20 м²</v>
      </c>
      <c r="C19" s="45" t="n">
        <f aca="false">IF(OR($W$2=0,$A19=""),"",IFERROR(INDEX(БАЗА_RO,MATCH($B19,БАЗА_КАТ,0),$W$2),""))</f>
        <v>2370</v>
      </c>
      <c r="D19" s="61" t="n">
        <f aca="false">IF(OR($W$2=0,$A19=""),"",IFERROR(INDEX(МНОЖНИКИ,MATCH($A19,МНОЖ_КАТ,0),$W$2),""))</f>
        <v>1.9</v>
      </c>
      <c r="E19" s="61" t="n">
        <f aca="false">IF(OR($W$2=0,$A19=""),"",IFERROR(INDEX(МНОЖНИКИ,MATCH($A19,МНОЖ_КАТ,0),$W$2+1),""))</f>
        <v>1.07</v>
      </c>
      <c r="F19" s="45" t="n">
        <f aca="false">IF(OR($C19="",$D19=""),"",ROUND($C19*$D19/ОКРУГЛЕННЯ,0)*ОКРУГЛЕННЯ)</f>
        <v>4503</v>
      </c>
      <c r="G19" s="45" t="n">
        <f aca="false">IF(OR($C19="",$D19="",$E19=""),"",ROUND($C19*$D19*$E19/ОКРУГЛЕННЯ,0)*ОКРУГЛЕННЯ)</f>
        <v>4818</v>
      </c>
      <c r="H19" s="49" t="n">
        <v>1.9</v>
      </c>
      <c r="I19" s="49" t="n">
        <v>1.07</v>
      </c>
      <c r="J19" s="45" t="n">
        <f aca="false">IF(OR($C19="",H19=""),"",ROUND($C19*H19/ОКРУГЛЕННЯ,0)*ОКРУГЛЕННЯ)</f>
        <v>4503</v>
      </c>
      <c r="K19" s="45" t="n">
        <f aca="false">IF(OR($C19="",H19="",I19=""),"",ROUND($C19*H19*I19/ОКРУГЛЕННЯ,0)*ОКРУГЛЕННЯ)</f>
        <v>4818</v>
      </c>
      <c r="L19" s="45" t="n">
        <f aca="false">IF(OR(J19="",$F19=""),"",J19-$F19)</f>
        <v>0</v>
      </c>
      <c r="M19" s="47" t="n">
        <f aca="false">IF(OR(J19="",$F19="",$F19=0),"",J19/$F19-1)</f>
        <v>0</v>
      </c>
      <c r="N19" s="59" t="n">
        <v>1.9</v>
      </c>
      <c r="O19" s="59" t="n">
        <v>1.07</v>
      </c>
      <c r="P19" s="45" t="n">
        <f aca="false">IF(OR($C19="",N19=""),"",ROUND($C19*N19/ОКРУГЛЕННЯ,0)*ОКРУГЛЕННЯ)</f>
        <v>4503</v>
      </c>
      <c r="Q19" s="45" t="n">
        <f aca="false">IF(OR($C19="",N19="",O19=""),"",ROUND($C19*N19*O19/ОКРУГЛЕННЯ,0)*ОКРУГЛЕННЯ)</f>
        <v>4818</v>
      </c>
      <c r="R19" s="45" t="n">
        <f aca="false">IF(OR(P19="",$F19=""),"",P19-$F19)</f>
        <v>0</v>
      </c>
      <c r="S19" s="47" t="n">
        <f aca="false">IF(OR(P19="",$F19="",$F19=0),"",P19/$F19-1)</f>
        <v>0</v>
      </c>
      <c r="T19" s="45" t="n">
        <f aca="false">IF(OR(P19="",J19=""),"",P19-J19)</f>
        <v>0</v>
      </c>
      <c r="U19" s="47" t="n">
        <f aca="false">IF(OR(P19="",J19="",J19=0),"",P19/J19-1)</f>
        <v>0</v>
      </c>
    </row>
    <row r="20" customFormat="false" ht="15" hidden="false" customHeight="false" outlineLevel="0" collapsed="false">
      <c r="A20" s="13" t="str">
        <f aca="false">IF('Довідник категорій'!A17="","",'Довідник категорій'!A17)</f>
        <v>Апартаменти 1-й поверх 45 м²</v>
      </c>
      <c r="B20" s="46" t="str">
        <f aca="false">IF($A20="","",IFERROR(INDEX(ДОВ_ОПОРА,MATCH($A20,КАТЕГОРІЇ,0)),""))</f>
        <v>Апартаменти 1-й поверх 45 м²</v>
      </c>
      <c r="C20" s="33" t="n">
        <f aca="false">IF(OR($W$2=0,$A20=""),"",IFERROR(INDEX(БАЗА_RO,MATCH($B20,БАЗА_КАТ,0),$W$2),""))</f>
        <v>2930</v>
      </c>
      <c r="D20" s="30" t="n">
        <f aca="false">IF(OR($W$2=0,$A20=""),"",IFERROR(INDEX(МНОЖНИКИ,MATCH($A20,МНОЖ_КАТ,0),$W$2),""))</f>
        <v>1</v>
      </c>
      <c r="E20" s="30" t="n">
        <f aca="false">IF(OR($W$2=0,$A20=""),"",IFERROR(INDEX(МНОЖНИКИ,MATCH($A20,МНОЖ_КАТ,0),$W$2+1),""))</f>
        <v>1.07</v>
      </c>
      <c r="F20" s="33" t="n">
        <f aca="false">IF(OR($C20="",$D20=""),"",ROUND($C20*$D20/ОКРУГЛЕННЯ,0)*ОКРУГЛЕННЯ)</f>
        <v>2930</v>
      </c>
      <c r="G20" s="33" t="n">
        <f aca="false">IF(OR($C20="",$D20="",$E20=""),"",ROUND($C20*$D20*$E20/ОКРУГЛЕННЯ,0)*ОКРУГЛЕННЯ)</f>
        <v>3135</v>
      </c>
      <c r="H20" s="49" t="n">
        <v>1</v>
      </c>
      <c r="I20" s="49" t="n">
        <v>1.07</v>
      </c>
      <c r="J20" s="33" t="n">
        <f aca="false">IF(OR($C20="",H20=""),"",ROUND($C20*H20/ОКРУГЛЕННЯ,0)*ОКРУГЛЕННЯ)</f>
        <v>2930</v>
      </c>
      <c r="K20" s="33" t="n">
        <f aca="false">IF(OR($C20="",H20="",I20=""),"",ROUND($C20*H20*I20/ОКРУГЛЕННЯ,0)*ОКРУГЛЕННЯ)</f>
        <v>3135</v>
      </c>
      <c r="L20" s="33" t="n">
        <f aca="false">IF(OR(J20="",$F20=""),"",J20-$F20)</f>
        <v>0</v>
      </c>
      <c r="M20" s="55" t="n">
        <f aca="false">IF(OR(J20="",$F20="",$F20=0),"",J20/$F20-1)</f>
        <v>0</v>
      </c>
      <c r="N20" s="59" t="n">
        <v>1</v>
      </c>
      <c r="O20" s="59" t="n">
        <v>1.07</v>
      </c>
      <c r="P20" s="33" t="n">
        <f aca="false">IF(OR($C20="",N20=""),"",ROUND($C20*N20/ОКРУГЛЕННЯ,0)*ОКРУГЛЕННЯ)</f>
        <v>2930</v>
      </c>
      <c r="Q20" s="33" t="n">
        <f aca="false">IF(OR($C20="",N20="",O20=""),"",ROUND($C20*N20*O20/ОКРУГЛЕННЯ,0)*ОКРУГЛЕННЯ)</f>
        <v>3135</v>
      </c>
      <c r="R20" s="33" t="n">
        <f aca="false">IF(OR(P20="",$F20=""),"",P20-$F20)</f>
        <v>0</v>
      </c>
      <c r="S20" s="55" t="n">
        <f aca="false">IF(OR(P20="",$F20="",$F20=0),"",P20/$F20-1)</f>
        <v>0</v>
      </c>
      <c r="T20" s="33" t="n">
        <f aca="false">IF(OR(P20="",J20=""),"",P20-J20)</f>
        <v>0</v>
      </c>
      <c r="U20" s="55" t="n">
        <f aca="false">IF(OR(P20="",J20="",J20=0),"",P20/J20-1)</f>
        <v>0</v>
      </c>
    </row>
    <row r="21" customFormat="false" ht="15" hidden="false" customHeight="false" outlineLevel="0" collapsed="false">
      <c r="A21" s="19" t="str">
        <f aca="false">IF('Довідник категорій'!A18="","",'Довідник категорій'!A18)</f>
        <v>Апартаменти 2-кімнатні 1-й поверх</v>
      </c>
      <c r="B21" s="60" t="str">
        <f aca="false">IF($A21="","",IFERROR(INDEX(ДОВ_ОПОРА,MATCH($A21,КАТЕГОРІЇ,0)),""))</f>
        <v>Апартаменти 1-й поверх 45 м²</v>
      </c>
      <c r="C21" s="45" t="n">
        <f aca="false">IF(OR($W$2=0,$A21=""),"",IFERROR(INDEX(БАЗА_RO,MATCH($B21,БАЗА_КАТ,0),$W$2),""))</f>
        <v>2930</v>
      </c>
      <c r="D21" s="61" t="n">
        <f aca="false">IF(OR($W$2=0,$A21=""),"",IFERROR(INDEX(МНОЖНИКИ,MATCH($A21,МНОЖ_КАТ,0),$W$2),""))</f>
        <v>1.09</v>
      </c>
      <c r="E21" s="61" t="n">
        <f aca="false">IF(OR($W$2=0,$A21=""),"",IFERROR(INDEX(МНОЖНИКИ,MATCH($A21,МНОЖ_КАТ,0),$W$2+1),""))</f>
        <v>1.0652</v>
      </c>
      <c r="F21" s="45" t="n">
        <f aca="false">IF(OR($C21="",$D21=""),"",ROUND($C21*$D21/ОКРУГЛЕННЯ,0)*ОКРУГЛЕННЯ)</f>
        <v>3194</v>
      </c>
      <c r="G21" s="45" t="n">
        <f aca="false">IF(OR($C21="",$D21="",$E21=""),"",ROUND($C21*$D21*$E21/ОКРУГЛЕННЯ,0)*ОКРУГЛЕННЯ)</f>
        <v>3402</v>
      </c>
      <c r="H21" s="49" t="n">
        <v>1.09</v>
      </c>
      <c r="I21" s="49" t="n">
        <v>1.0652</v>
      </c>
      <c r="J21" s="45" t="n">
        <f aca="false">IF(OR($C21="",H21=""),"",ROUND($C21*H21/ОКРУГЛЕННЯ,0)*ОКРУГЛЕННЯ)</f>
        <v>3194</v>
      </c>
      <c r="K21" s="45" t="n">
        <f aca="false">IF(OR($C21="",H21="",I21=""),"",ROUND($C21*H21*I21/ОКРУГЛЕННЯ,0)*ОКРУГЛЕННЯ)</f>
        <v>3402</v>
      </c>
      <c r="L21" s="45" t="n">
        <f aca="false">IF(OR(J21="",$F21=""),"",J21-$F21)</f>
        <v>0</v>
      </c>
      <c r="M21" s="47" t="n">
        <f aca="false">IF(OR(J21="",$F21="",$F21=0),"",J21/$F21-1)</f>
        <v>0</v>
      </c>
      <c r="N21" s="59" t="n">
        <v>1.09</v>
      </c>
      <c r="O21" s="59" t="n">
        <v>1.0652</v>
      </c>
      <c r="P21" s="45" t="n">
        <f aca="false">IF(OR($C21="",N21=""),"",ROUND($C21*N21/ОКРУГЛЕННЯ,0)*ОКРУГЛЕННЯ)</f>
        <v>3194</v>
      </c>
      <c r="Q21" s="45" t="n">
        <f aca="false">IF(OR($C21="",N21="",O21=""),"",ROUND($C21*N21*O21/ОКРУГЛЕННЯ,0)*ОКРУГЛЕННЯ)</f>
        <v>3402</v>
      </c>
      <c r="R21" s="45" t="n">
        <f aca="false">IF(OR(P21="",$F21=""),"",P21-$F21)</f>
        <v>0</v>
      </c>
      <c r="S21" s="47" t="n">
        <f aca="false">IF(OR(P21="",$F21="",$F21=0),"",P21/$F21-1)</f>
        <v>0</v>
      </c>
      <c r="T21" s="45" t="n">
        <f aca="false">IF(OR(P21="",J21=""),"",P21-J21)</f>
        <v>0</v>
      </c>
      <c r="U21" s="47" t="n">
        <f aca="false">IF(OR(P21="",J21="",J21=0),"",P21/J21-1)</f>
        <v>0</v>
      </c>
    </row>
    <row r="22" customFormat="false" ht="15" hidden="false" customHeight="false" outlineLevel="0" collapsed="false">
      <c r="A22" s="13" t="str">
        <f aca="false">IF('Довідник категорій'!A19="","",'Довідник категорій'!A19)</f>
        <v>Апартаменти з ванною 2-й поверх</v>
      </c>
      <c r="B22" s="46" t="str">
        <f aca="false">IF($A22="","",IFERROR(INDEX(ДОВ_ОПОРА,MATCH($A22,КАТЕГОРІЇ,0)),""))</f>
        <v>Апартаменти 1-й поверх 45 м²</v>
      </c>
      <c r="C22" s="33" t="n">
        <f aca="false">IF(OR($W$2=0,$A22=""),"",IFERROR(INDEX(БАЗА_RO,MATCH($B22,БАЗА_КАТ,0),$W$2),""))</f>
        <v>2930</v>
      </c>
      <c r="D22" s="30" t="n">
        <f aca="false">IF(OR($W$2=0,$A22=""),"",IFERROR(INDEX(МНОЖНИКИ,MATCH($A22,МНОЖ_КАТ,0),$W$2),""))</f>
        <v>1.09</v>
      </c>
      <c r="E22" s="30" t="n">
        <f aca="false">IF(OR($W$2=0,$A22=""),"",IFERROR(INDEX(МНОЖНИКИ,MATCH($A22,МНОЖ_КАТ,0),$W$2+1),""))</f>
        <v>1.0652</v>
      </c>
      <c r="F22" s="33" t="n">
        <f aca="false">IF(OR($C22="",$D22=""),"",ROUND($C22*$D22/ОКРУГЛЕННЯ,0)*ОКРУГЛЕННЯ)</f>
        <v>3194</v>
      </c>
      <c r="G22" s="33" t="n">
        <f aca="false">IF(OR($C22="",$D22="",$E22=""),"",ROUND($C22*$D22*$E22/ОКРУГЛЕННЯ,0)*ОКРУГЛЕННЯ)</f>
        <v>3402</v>
      </c>
      <c r="H22" s="49" t="n">
        <v>1.09</v>
      </c>
      <c r="I22" s="49" t="n">
        <v>1.0652</v>
      </c>
      <c r="J22" s="33" t="n">
        <f aca="false">IF(OR($C22="",H22=""),"",ROUND($C22*H22/ОКРУГЛЕННЯ,0)*ОКРУГЛЕННЯ)</f>
        <v>3194</v>
      </c>
      <c r="K22" s="33" t="n">
        <f aca="false">IF(OR($C22="",H22="",I22=""),"",ROUND($C22*H22*I22/ОКРУГЛЕННЯ,0)*ОКРУГЛЕННЯ)</f>
        <v>3402</v>
      </c>
      <c r="L22" s="33" t="n">
        <f aca="false">IF(OR(J22="",$F22=""),"",J22-$F22)</f>
        <v>0</v>
      </c>
      <c r="M22" s="55" t="n">
        <f aca="false">IF(OR(J22="",$F22="",$F22=0),"",J22/$F22-1)</f>
        <v>0</v>
      </c>
      <c r="N22" s="59" t="n">
        <v>1.09</v>
      </c>
      <c r="O22" s="59" t="n">
        <v>1.0652</v>
      </c>
      <c r="P22" s="33" t="n">
        <f aca="false">IF(OR($C22="",N22=""),"",ROUND($C22*N22/ОКРУГЛЕННЯ,0)*ОКРУГЛЕННЯ)</f>
        <v>3194</v>
      </c>
      <c r="Q22" s="33" t="n">
        <f aca="false">IF(OR($C22="",N22="",O22=""),"",ROUND($C22*N22*O22/ОКРУГЛЕННЯ,0)*ОКРУГЛЕННЯ)</f>
        <v>3402</v>
      </c>
      <c r="R22" s="33" t="n">
        <f aca="false">IF(OR(P22="",$F22=""),"",P22-$F22)</f>
        <v>0</v>
      </c>
      <c r="S22" s="55" t="n">
        <f aca="false">IF(OR(P22="",$F22="",$F22=0),"",P22/$F22-1)</f>
        <v>0</v>
      </c>
      <c r="T22" s="33" t="n">
        <f aca="false">IF(OR(P22="",J22=""),"",P22-J22)</f>
        <v>0</v>
      </c>
      <c r="U22" s="55" t="n">
        <f aca="false">IF(OR(P22="",J22="",J22=0),"",P22/J22-1)</f>
        <v>0</v>
      </c>
    </row>
    <row r="23" customFormat="false" ht="15" hidden="false" customHeight="false" outlineLevel="0" collapsed="false">
      <c r="A23" s="19" t="str">
        <f aca="false">IF('Довідник категорій'!A20="","",'Довідник категорій'!A20)</f>
        <v>Апартаменти 2-х місні стандартні</v>
      </c>
      <c r="B23" s="60" t="str">
        <f aca="false">IF($A23="","",IFERROR(INDEX(ДОВ_ОПОРА,MATCH($A23,КАТЕГОРІЇ,0)),""))</f>
        <v>Апартаменти 1-й поверх 45 м²</v>
      </c>
      <c r="C23" s="45" t="n">
        <f aca="false">IF(OR($W$2=0,$A23=""),"",IFERROR(INDEX(БАЗА_RO,MATCH($B23,БАЗА_КАТ,0),$W$2),""))</f>
        <v>2930</v>
      </c>
      <c r="D23" s="61" t="n">
        <f aca="false">IF(OR($W$2=0,$A23=""),"",IFERROR(INDEX(МНОЖНИКИ,MATCH($A23,МНОЖ_КАТ,0),$W$2),""))</f>
        <v>1.09</v>
      </c>
      <c r="E23" s="61" t="n">
        <f aca="false">IF(OR($W$2=0,$A23=""),"",IFERROR(INDEX(МНОЖНИКИ,MATCH($A23,МНОЖ_КАТ,0),$W$2+1),""))</f>
        <v>1.0652</v>
      </c>
      <c r="F23" s="45" t="n">
        <f aca="false">IF(OR($C23="",$D23=""),"",ROUND($C23*$D23/ОКРУГЛЕННЯ,0)*ОКРУГЛЕННЯ)</f>
        <v>3194</v>
      </c>
      <c r="G23" s="45" t="n">
        <f aca="false">IF(OR($C23="",$D23="",$E23=""),"",ROUND($C23*$D23*$E23/ОКРУГЛЕННЯ,0)*ОКРУГЛЕННЯ)</f>
        <v>3402</v>
      </c>
      <c r="H23" s="49" t="n">
        <v>1.09</v>
      </c>
      <c r="I23" s="49" t="n">
        <v>1.0652</v>
      </c>
      <c r="J23" s="45" t="n">
        <f aca="false">IF(OR($C23="",H23=""),"",ROUND($C23*H23/ОКРУГЛЕННЯ,0)*ОКРУГЛЕННЯ)</f>
        <v>3194</v>
      </c>
      <c r="K23" s="45" t="n">
        <f aca="false">IF(OR($C23="",H23="",I23=""),"",ROUND($C23*H23*I23/ОКРУГЛЕННЯ,0)*ОКРУГЛЕННЯ)</f>
        <v>3402</v>
      </c>
      <c r="L23" s="45" t="n">
        <f aca="false">IF(OR(J23="",$F23=""),"",J23-$F23)</f>
        <v>0</v>
      </c>
      <c r="M23" s="47" t="n">
        <f aca="false">IF(OR(J23="",$F23="",$F23=0),"",J23/$F23-1)</f>
        <v>0</v>
      </c>
      <c r="N23" s="59" t="n">
        <v>1.09</v>
      </c>
      <c r="O23" s="59" t="n">
        <v>1.0652</v>
      </c>
      <c r="P23" s="45" t="n">
        <f aca="false">IF(OR($C23="",N23=""),"",ROUND($C23*N23/ОКРУГЛЕННЯ,0)*ОКРУГЛЕННЯ)</f>
        <v>3194</v>
      </c>
      <c r="Q23" s="45" t="n">
        <f aca="false">IF(OR($C23="",N23="",O23=""),"",ROUND($C23*N23*O23/ОКРУГЛЕННЯ,0)*ОКРУГЛЕННЯ)</f>
        <v>3402</v>
      </c>
      <c r="R23" s="45" t="n">
        <f aca="false">IF(OR(P23="",$F23=""),"",P23-$F23)</f>
        <v>0</v>
      </c>
      <c r="S23" s="47" t="n">
        <f aca="false">IF(OR(P23="",$F23="",$F23=0),"",P23/$F23-1)</f>
        <v>0</v>
      </c>
      <c r="T23" s="45" t="n">
        <f aca="false">IF(OR(P23="",J23=""),"",P23-J23)</f>
        <v>0</v>
      </c>
      <c r="U23" s="47" t="n">
        <f aca="false">IF(OR(P23="",J23="",J23=0),"",P23/J23-1)</f>
        <v>0</v>
      </c>
    </row>
    <row r="24" customFormat="false" ht="15" hidden="false" customHeight="false" outlineLevel="0" collapsed="false">
      <c r="A24" s="13" t="str">
        <f aca="false">IF('Довідник категорій'!A21="","",'Довідник категорій'!A21)</f>
        <v>Апартаменти 3-й поверх</v>
      </c>
      <c r="B24" s="46" t="str">
        <f aca="false">IF($A24="","",IFERROR(INDEX(ДОВ_ОПОРА,MATCH($A24,КАТЕГОРІЇ,0)),""))</f>
        <v>Апартаменти 1-й поверх 45 м²</v>
      </c>
      <c r="C24" s="33" t="n">
        <f aca="false">IF(OR($W$2=0,$A24=""),"",IFERROR(INDEX(БАЗА_RO,MATCH($B24,БАЗА_КАТ,0),$W$2),""))</f>
        <v>2930</v>
      </c>
      <c r="D24" s="30" t="n">
        <f aca="false">IF(OR($W$2=0,$A24=""),"",IFERROR(INDEX(МНОЖНИКИ,MATCH($A24,МНОЖ_КАТ,0),$W$2),""))</f>
        <v>1.09</v>
      </c>
      <c r="E24" s="30" t="n">
        <f aca="false">IF(OR($W$2=0,$A24=""),"",IFERROR(INDEX(МНОЖНИКИ,MATCH($A24,МНОЖ_КАТ,0),$W$2+1),""))</f>
        <v>1.0652</v>
      </c>
      <c r="F24" s="33" t="n">
        <f aca="false">IF(OR($C24="",$D24=""),"",ROUND($C24*$D24/ОКРУГЛЕННЯ,0)*ОКРУГЛЕННЯ)</f>
        <v>3194</v>
      </c>
      <c r="G24" s="33" t="n">
        <f aca="false">IF(OR($C24="",$D24="",$E24=""),"",ROUND($C24*$D24*$E24/ОКРУГЛЕННЯ,0)*ОКРУГЛЕННЯ)</f>
        <v>3402</v>
      </c>
      <c r="H24" s="49" t="n">
        <v>1.09</v>
      </c>
      <c r="I24" s="49" t="n">
        <v>1.0652</v>
      </c>
      <c r="J24" s="33" t="n">
        <f aca="false">IF(OR($C24="",H24=""),"",ROUND($C24*H24/ОКРУГЛЕННЯ,0)*ОКРУГЛЕННЯ)</f>
        <v>3194</v>
      </c>
      <c r="K24" s="33" t="n">
        <f aca="false">IF(OR($C24="",H24="",I24=""),"",ROUND($C24*H24*I24/ОКРУГЛЕННЯ,0)*ОКРУГЛЕННЯ)</f>
        <v>3402</v>
      </c>
      <c r="L24" s="33" t="n">
        <f aca="false">IF(OR(J24="",$F24=""),"",J24-$F24)</f>
        <v>0</v>
      </c>
      <c r="M24" s="55" t="n">
        <f aca="false">IF(OR(J24="",$F24="",$F24=0),"",J24/$F24-1)</f>
        <v>0</v>
      </c>
      <c r="N24" s="59" t="n">
        <v>1.09</v>
      </c>
      <c r="O24" s="59" t="n">
        <v>1.0652</v>
      </c>
      <c r="P24" s="33" t="n">
        <f aca="false">IF(OR($C24="",N24=""),"",ROUND($C24*N24/ОКРУГЛЕННЯ,0)*ОКРУГЛЕННЯ)</f>
        <v>3194</v>
      </c>
      <c r="Q24" s="33" t="n">
        <f aca="false">IF(OR($C24="",N24="",O24=""),"",ROUND($C24*N24*O24/ОКРУГЛЕННЯ,0)*ОКРУГЛЕННЯ)</f>
        <v>3402</v>
      </c>
      <c r="R24" s="33" t="n">
        <f aca="false">IF(OR(P24="",$F24=""),"",P24-$F24)</f>
        <v>0</v>
      </c>
      <c r="S24" s="55" t="n">
        <f aca="false">IF(OR(P24="",$F24="",$F24=0),"",P24/$F24-1)</f>
        <v>0</v>
      </c>
      <c r="T24" s="33" t="n">
        <f aca="false">IF(OR(P24="",J24=""),"",P24-J24)</f>
        <v>0</v>
      </c>
      <c r="U24" s="55" t="n">
        <f aca="false">IF(OR(P24="",J24="",J24=0),"",P24/J24-1)</f>
        <v>0</v>
      </c>
    </row>
    <row r="25" customFormat="false" ht="15" hidden="false" customHeight="false" outlineLevel="0" collapsed="false">
      <c r="A25" s="19" t="str">
        <f aca="false">IF('Довідник категорій'!A22="","",'Довідник категорій'!A22)</f>
        <v>Апартаменти президентські</v>
      </c>
      <c r="B25" s="60" t="str">
        <f aca="false">IF($A25="","",IFERROR(INDEX(ДОВ_ОПОРА,MATCH($A25,КАТЕГОРІЇ,0)),""))</f>
        <v>Апартаменти 1-й поверх 45 м²</v>
      </c>
      <c r="C25" s="45" t="n">
        <f aca="false">IF(OR($W$2=0,$A25=""),"",IFERROR(INDEX(БАЗА_RO,MATCH($B25,БАЗА_КАТ,0),$W$2),""))</f>
        <v>2930</v>
      </c>
      <c r="D25" s="61" t="n">
        <f aca="false">IF(OR($W$2=0,$A25=""),"",IFERROR(INDEX(МНОЖНИКИ,MATCH($A25,МНОЖ_КАТ,0),$W$2),""))</f>
        <v>1.57</v>
      </c>
      <c r="E25" s="61" t="n">
        <f aca="false">IF(OR($W$2=0,$A25=""),"",IFERROR(INDEX(МНОЖНИКИ,MATCH($A25,МНОЖ_КАТ,0),$W$2+1),""))</f>
        <v>1.06</v>
      </c>
      <c r="F25" s="45" t="n">
        <f aca="false">IF(OR($C25="",$D25=""),"",ROUND($C25*$D25/ОКРУГЛЕННЯ,0)*ОКРУГЛЕННЯ)</f>
        <v>4600</v>
      </c>
      <c r="G25" s="45" t="n">
        <f aca="false">IF(OR($C25="",$D25="",$E25=""),"",ROUND($C25*$D25*$E25/ОКРУГЛЕННЯ,0)*ОКРУГЛЕННЯ)</f>
        <v>4876</v>
      </c>
      <c r="H25" s="49" t="n">
        <v>1.57</v>
      </c>
      <c r="I25" s="49" t="n">
        <v>1.06</v>
      </c>
      <c r="J25" s="45" t="n">
        <f aca="false">IF(OR($C25="",H25=""),"",ROUND($C25*H25/ОКРУГЛЕННЯ,0)*ОКРУГЛЕННЯ)</f>
        <v>4600</v>
      </c>
      <c r="K25" s="45" t="n">
        <f aca="false">IF(OR($C25="",H25="",I25=""),"",ROUND($C25*H25*I25/ОКРУГЛЕННЯ,0)*ОКРУГЛЕННЯ)</f>
        <v>4876</v>
      </c>
      <c r="L25" s="45" t="n">
        <f aca="false">IF(OR(J25="",$F25=""),"",J25-$F25)</f>
        <v>0</v>
      </c>
      <c r="M25" s="47" t="n">
        <f aca="false">IF(OR(J25="",$F25="",$F25=0),"",J25/$F25-1)</f>
        <v>0</v>
      </c>
      <c r="N25" s="59" t="n">
        <v>1.57</v>
      </c>
      <c r="O25" s="59" t="n">
        <v>1.06</v>
      </c>
      <c r="P25" s="45" t="n">
        <f aca="false">IF(OR($C25="",N25=""),"",ROUND($C25*N25/ОКРУГЛЕННЯ,0)*ОКРУГЛЕННЯ)</f>
        <v>4600</v>
      </c>
      <c r="Q25" s="45" t="n">
        <f aca="false">IF(OR($C25="",N25="",O25=""),"",ROUND($C25*N25*O25/ОКРУГЛЕННЯ,0)*ОКРУГЛЕННЯ)</f>
        <v>4876</v>
      </c>
      <c r="R25" s="45" t="n">
        <f aca="false">IF(OR(P25="",$F25=""),"",P25-$F25)</f>
        <v>0</v>
      </c>
      <c r="S25" s="47" t="n">
        <f aca="false">IF(OR(P25="",$F25="",$F25=0),"",P25/$F25-1)</f>
        <v>0</v>
      </c>
      <c r="T25" s="45" t="n">
        <f aca="false">IF(OR(P25="",J25=""),"",P25-J25)</f>
        <v>0</v>
      </c>
      <c r="U25" s="47" t="n">
        <f aca="false">IF(OR(P25="",J25="",J25=0),"",P25/J25-1)</f>
        <v>0</v>
      </c>
    </row>
    <row r="27" customFormat="false" ht="15" hidden="false" customHeight="false" outlineLevel="0" collapsed="false">
      <c r="A27" s="3" t="s">
        <v>204</v>
      </c>
      <c r="M27" s="62" t="n">
        <f aca="false">IFERROR(AVERAGE(M8:M25),"")</f>
        <v>0</v>
      </c>
      <c r="S27" s="62" t="n">
        <f aca="false">IFERROR(AVERAGE(S8:S25),"")</f>
        <v>0</v>
      </c>
      <c r="U27" s="62" t="n">
        <f aca="false">IFERROR(AVERAGE(U8:U25),"")</f>
        <v>0</v>
      </c>
    </row>
  </sheetData>
  <sheetProtection sheet="true"/>
  <mergeCells count="6">
    <mergeCell ref="A1:U1"/>
    <mergeCell ref="A4:U4"/>
    <mergeCell ref="D6:G6"/>
    <mergeCell ref="H6:M6"/>
    <mergeCell ref="N6:S6"/>
    <mergeCell ref="T6:U6"/>
  </mergeCells>
  <conditionalFormatting sqref="L8:L25">
    <cfRule type="cellIs" priority="2" operator="lessThan" aboveAverage="0" equalAverage="0" bottom="0" percent="0" rank="0" text="" dxfId="4">
      <formula>0</formula>
    </cfRule>
  </conditionalFormatting>
  <conditionalFormatting sqref="M8:M25">
    <cfRule type="cellIs" priority="3" operator="lessThan" aboveAverage="0" equalAverage="0" bottom="0" percent="0" rank="0" text="" dxfId="4">
      <formula>0</formula>
    </cfRule>
  </conditionalFormatting>
  <conditionalFormatting sqref="R8:R25">
    <cfRule type="cellIs" priority="4" operator="lessThan" aboveAverage="0" equalAverage="0" bottom="0" percent="0" rank="0" text="" dxfId="4">
      <formula>0</formula>
    </cfRule>
  </conditionalFormatting>
  <conditionalFormatting sqref="S8:S25">
    <cfRule type="cellIs" priority="5" operator="lessThan" aboveAverage="0" equalAverage="0" bottom="0" percent="0" rank="0" text="" dxfId="4">
      <formula>0</formula>
    </cfRule>
  </conditionalFormatting>
  <conditionalFormatting sqref="T8:T25">
    <cfRule type="cellIs" priority="6" operator="lessThan" aboveAverage="0" equalAverage="0" bottom="0" percent="0" rank="0" text="" dxfId="4">
      <formula>0</formula>
    </cfRule>
  </conditionalFormatting>
  <conditionalFormatting sqref="U8:U25">
    <cfRule type="cellIs" priority="7" operator="lessThan" aboveAverage="0" equalAverage="0" bottom="0" percent="0" rank="0" text="" dxfId="4">
      <formula>0</formula>
    </cfRule>
  </conditionalFormatting>
  <conditionalFormatting sqref="A8:C25">
    <cfRule type="expression" priority="8" aboveAverage="0" equalAverage="0" bottom="0" percent="0" rank="0" text="" dxfId="1">
      <formula>IFERROR(INDEX(ДОВ_РОЛЬ,MATCH($A8,КАТЕГОРІЇ,0))="Базова",0)</formula>
    </cfRule>
  </conditionalFormatting>
  <dataValidations count="2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true" error="Множник має бути числом від 0 до 10." errorStyle="stop" errorTitle="Множник" operator="between" showDropDown="false" showErrorMessage="true" showInputMessage="false" sqref="H8:I25 N8:O25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true" outlineLevel="0" max="10" min="10" style="0" width="13"/>
  </cols>
  <sheetData>
    <row r="1" customFormat="false" ht="27.7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  <c r="J1" s="2" t="s">
        <v>189</v>
      </c>
    </row>
    <row r="2" customFormat="false" ht="15" hidden="false" customHeight="false" outlineLevel="0" collapsed="false">
      <c r="J2" s="6" t="n">
        <f aca="false">IFERROR(MATCH(Прайс!$B$3,ПЛ_РЯДОК,0),0)</f>
        <v>5</v>
      </c>
    </row>
    <row r="3" customFormat="false" ht="15" hidden="false" customHeight="false" outlineLevel="0" collapsed="false">
      <c r="A3" s="3" t="s">
        <v>1</v>
      </c>
      <c r="B3" s="63" t="str">
        <f aca="false">Прайс!$B$3</f>
        <v>Осінь 2026 (00-10%)</v>
      </c>
    </row>
    <row r="4" customFormat="false" ht="33.75" hidden="false" customHeight="true" outlineLevel="0" collapsed="false">
      <c r="A4" s="8" t="s">
        <v>206</v>
      </c>
      <c r="B4" s="8"/>
      <c r="C4" s="8"/>
      <c r="D4" s="8"/>
      <c r="E4" s="8"/>
      <c r="F4" s="8"/>
      <c r="G4" s="8"/>
      <c r="H4" s="8"/>
    </row>
    <row r="6" customFormat="false" ht="31.5" hidden="false" customHeight="true" outlineLevel="0" collapsed="false">
      <c r="A6" s="11" t="s">
        <v>14</v>
      </c>
      <c r="B6" s="11" t="s">
        <v>207</v>
      </c>
      <c r="C6" s="11" t="s">
        <v>39</v>
      </c>
      <c r="D6" s="11" t="s">
        <v>41</v>
      </c>
      <c r="E6" s="11" t="s">
        <v>208</v>
      </c>
      <c r="F6" s="11" t="s">
        <v>209</v>
      </c>
      <c r="G6" s="11" t="s">
        <v>210</v>
      </c>
      <c r="H6" s="11" t="s">
        <v>211</v>
      </c>
    </row>
    <row r="7" customFormat="false" ht="15" hidden="false" customHeight="false" outlineLevel="0" collapsed="false">
      <c r="A7" s="13" t="str">
        <f aca="false">IF('Довідник категорій'!A5="","",'Довідник категорій'!A5)</f>
        <v>Міні-котедж</v>
      </c>
      <c r="B7" s="46" t="str">
        <f aca="false">IF($A7="","",IFERROR(INDEX(ДОВ_ОПОРА,MATCH($A7,КАТЕГОРІЇ,0)),""))</f>
        <v>Міні-котедж</v>
      </c>
      <c r="C7" s="30" t="n">
        <f aca="false">IF(OR($J$2=0,$A7=""),"",IFERROR(INDEX(МНОЖНИКИ,MATCH($A7,МНОЖ_КАТ,0),$J$2),""))</f>
        <v>1</v>
      </c>
      <c r="D7" s="30" t="n">
        <f aca="false">IF(OR($J$2=0,$A7=""),"",IFERROR(INDEX(МНОЖНИКИ,MATCH($A7,МНОЖ_КАТ,0),$J$2+1),""))</f>
        <v>1.1</v>
      </c>
      <c r="E7" s="33" t="n">
        <f aca="false">IF(OR($J$2=0,$A7="",$C7=""),"",IFERROR(ROUND(INDEX(БАЗА_RO,MATCH($B7,БАЗА_КАТ,0),$J$2)*$C7/ОКРУГЛЕННЯ,0)*ОКРУГЛЕННЯ,""))</f>
        <v>4998</v>
      </c>
      <c r="F7" s="33" t="n">
        <f aca="false">IF(OR($J$2=0,$A7="",$C7="",$D7=""),"",IFERROR(ROUND(INDEX(БАЗА_RO,MATCH($B7,БАЗА_КАТ,0),$J$2)*$C7*$D7/ОКРУГЛЕННЯ,0)*ОКРУГЛЕННЯ,""))</f>
        <v>5498</v>
      </c>
      <c r="G7" s="33"/>
      <c r="H7" s="33" t="n">
        <f aca="false">IF(OR($E7="",$F7=""),"",$F7-$E7)</f>
        <v>500</v>
      </c>
    </row>
    <row r="8" customFormat="false" ht="15" hidden="false" customHeight="false" outlineLevel="0" collapsed="false">
      <c r="A8" s="19" t="str">
        <f aca="false">IF('Довідник категорій'!A6="","",'Довідник категорій'!A6)</f>
        <v>Міні-котедж East Hill</v>
      </c>
      <c r="B8" s="60" t="str">
        <f aca="false">IF($A8="","",IFERROR(INDEX(ДОВ_ОПОРА,MATCH($A8,КАТЕГОРІЇ,0)),""))</f>
        <v>Міні-котедж</v>
      </c>
      <c r="C8" s="61" t="n">
        <f aca="false">IF(OR($J$2=0,$A8=""),"",IFERROR(INDEX(МНОЖНИКИ,MATCH($A8,МНОЖ_КАТ,0),$J$2),""))</f>
        <v>1.05</v>
      </c>
      <c r="D8" s="61" t="n">
        <f aca="false">IF(OR($J$2=0,$A8=""),"",IFERROR(INDEX(МНОЖНИКИ,MATCH($A8,МНОЖ_КАТ,0),$J$2+1),""))</f>
        <v>1.09</v>
      </c>
      <c r="E8" s="45" t="n">
        <f aca="false">IF(OR($J$2=0,$A8="",$C8=""),"",IFERROR(ROUND(INDEX(БАЗА_RO,MATCH($B8,БАЗА_КАТ,0),$J$2)*$C8/ОКРУГЛЕННЯ,0)*ОКРУГЛЕННЯ,""))</f>
        <v>5248</v>
      </c>
      <c r="F8" s="45" t="n">
        <f aca="false">IF(OR($J$2=0,$A8="",$C8="",$D8=""),"",IFERROR(ROUND(INDEX(БАЗА_RO,MATCH($B8,БАЗА_КАТ,0),$J$2)*$C8*$D8/ОКРУГЛЕННЯ,0)*ОКРУГЛЕННЯ,""))</f>
        <v>5720</v>
      </c>
      <c r="G8" s="45" t="n">
        <f aca="false">IF(OR($E8="",$E7="",$B8&lt;&gt;$B7),"",$E8-$E7)</f>
        <v>250</v>
      </c>
      <c r="H8" s="45" t="n">
        <f aca="false">IF(OR($E8="",$F8=""),"",$F8-$E8)</f>
        <v>472</v>
      </c>
    </row>
    <row r="9" customFormat="false" ht="15" hidden="false" customHeight="false" outlineLevel="0" collapsed="false">
      <c r="A9" s="13" t="str">
        <f aca="false">IF('Довідник категорій'!A7="","",'Довідник категорій'!A7)</f>
        <v>Котедж комфорт класу</v>
      </c>
      <c r="B9" s="46" t="str">
        <f aca="false">IF($A9="","",IFERROR(INDEX(ДОВ_ОПОРА,MATCH($A9,КАТЕГОРІЇ,0)),""))</f>
        <v>Котедж комфорт класу</v>
      </c>
      <c r="C9" s="30" t="n">
        <f aca="false">IF(OR($J$2=0,$A9=""),"",IFERROR(INDEX(МНОЖНИКИ,MATCH($A9,МНОЖ_КАТ,0),$J$2),""))</f>
        <v>1</v>
      </c>
      <c r="D9" s="30" t="n">
        <f aca="false">IF(OR($J$2=0,$A9=""),"",IFERROR(INDEX(МНОЖНИКИ,MATCH($A9,МНОЖ_КАТ,0),$J$2+1),""))</f>
        <v>1.1</v>
      </c>
      <c r="E9" s="33" t="n">
        <f aca="false">IF(OR($J$2=0,$A9="",$C9=""),"",IFERROR(ROUND(INDEX(БАЗА_RO,MATCH($B9,БАЗА_КАТ,0),$J$2)*$C9/ОКРУГЛЕННЯ,0)*ОКРУГЛЕННЯ,""))</f>
        <v>6580</v>
      </c>
      <c r="F9" s="33" t="n">
        <f aca="false">IF(OR($J$2=0,$A9="",$C9="",$D9=""),"",IFERROR(ROUND(INDEX(БАЗА_RO,MATCH($B9,БАЗА_КАТ,0),$J$2)*$C9*$D9/ОКРУГЛЕННЯ,0)*ОКРУГЛЕННЯ,""))</f>
        <v>7238</v>
      </c>
      <c r="G9" s="33" t="str">
        <f aca="false">IF(OR($E9="",$E8="",$B9&lt;&gt;$B8),"",$E9-$E8)</f>
        <v/>
      </c>
      <c r="H9" s="33" t="n">
        <f aca="false">IF(OR($E9="",$F9=""),"",$F9-$E9)</f>
        <v>658</v>
      </c>
    </row>
    <row r="10" customFormat="false" ht="15" hidden="false" customHeight="false" outlineLevel="0" collapsed="false">
      <c r="A10" s="19" t="str">
        <f aca="false">IF('Довідник категорій'!A8="","",'Довідник категорій'!A8)</f>
        <v>Шале преміум</v>
      </c>
      <c r="B10" s="60" t="str">
        <f aca="false">IF($A10="","",IFERROR(INDEX(ДОВ_ОПОРА,MATCH($A10,КАТЕГОРІЇ,0)),""))</f>
        <v>Котедж комфорт класу</v>
      </c>
      <c r="C10" s="61" t="n">
        <f aca="false">IF(OR($J$2=0,$A10=""),"",IFERROR(INDEX(МНОЖНИКИ,MATCH($A10,МНОЖ_КАТ,0),$J$2),""))</f>
        <v>1.05</v>
      </c>
      <c r="D10" s="61" t="n">
        <f aca="false">IF(OR($J$2=0,$A10=""),"",IFERROR(INDEX(МНОЖНИКИ,MATCH($A10,МНОЖ_КАТ,0),$J$2+1),""))</f>
        <v>1.08</v>
      </c>
      <c r="E10" s="45" t="n">
        <f aca="false">IF(OR($J$2=0,$A10="",$C10=""),"",IFERROR(ROUND(INDEX(БАЗА_RO,MATCH($B10,БАЗА_КАТ,0),$J$2)*$C10/ОКРУГЛЕННЯ,0)*ОКРУГЛЕННЯ,""))</f>
        <v>6909</v>
      </c>
      <c r="F10" s="45" t="n">
        <f aca="false">IF(OR($J$2=0,$A10="",$C10="",$D10=""),"",IFERROR(ROUND(INDEX(БАЗА_RO,MATCH($B10,БАЗА_КАТ,0),$J$2)*$C10*$D10/ОКРУГЛЕННЯ,0)*ОКРУГЛЕННЯ,""))</f>
        <v>7462</v>
      </c>
      <c r="G10" s="45" t="n">
        <f aca="false">IF(OR($E10="",$E9="",$B10&lt;&gt;$B9),"",$E10-$E9)</f>
        <v>329</v>
      </c>
      <c r="H10" s="45" t="n">
        <f aca="false">IF(OR($E10="",$F10=""),"",$F10-$E10)</f>
        <v>553</v>
      </c>
    </row>
    <row r="11" customFormat="false" ht="15" hidden="false" customHeight="false" outlineLevel="0" collapsed="false">
      <c r="A11" s="13" t="str">
        <f aca="false">IF('Довідник категорій'!A9="","",'Довідник категорій'!A9)</f>
        <v>Шале преміум збільшене</v>
      </c>
      <c r="B11" s="46" t="str">
        <f aca="false">IF($A11="","",IFERROR(INDEX(ДОВ_ОПОРА,MATCH($A11,КАТЕГОРІЇ,0)),""))</f>
        <v>Котедж комфорт класу</v>
      </c>
      <c r="C11" s="30" t="n">
        <f aca="false">IF(OR($J$2=0,$A11=""),"",IFERROR(INDEX(МНОЖНИКИ,MATCH($A11,МНОЖ_КАТ,0),$J$2),""))</f>
        <v>1.1</v>
      </c>
      <c r="D11" s="30" t="n">
        <f aca="false">IF(OR($J$2=0,$A11=""),"",IFERROR(INDEX(МНОЖНИКИ,MATCH($A11,МНОЖ_КАТ,0),$J$2+1),""))</f>
        <v>1.07</v>
      </c>
      <c r="E11" s="33" t="n">
        <f aca="false">IF(OR($J$2=0,$A11="",$C11=""),"",IFERROR(ROUND(INDEX(БАЗА_RO,MATCH($B11,БАЗА_КАТ,0),$J$2)*$C11/ОКРУГЛЕННЯ,0)*ОКРУГЛЕННЯ,""))</f>
        <v>7238</v>
      </c>
      <c r="F11" s="33" t="n">
        <f aca="false">IF(OR($J$2=0,$A11="",$C11="",$D11=""),"",IFERROR(ROUND(INDEX(БАЗА_RO,MATCH($B11,БАЗА_КАТ,0),$J$2)*$C11*$D11/ОКРУГЛЕННЯ,0)*ОКРУГЛЕННЯ,""))</f>
        <v>7745</v>
      </c>
      <c r="G11" s="33" t="n">
        <f aca="false">IF(OR($E11="",$E10="",$B11&lt;&gt;$B10),"",$E11-$E10)</f>
        <v>329</v>
      </c>
      <c r="H11" s="33" t="n">
        <f aca="false">IF(OR($E11="",$F11=""),"",$F11-$E11)</f>
        <v>507</v>
      </c>
    </row>
    <row r="12" customFormat="false" ht="15" hidden="false" customHeight="false" outlineLevel="0" collapsed="false">
      <c r="A12" s="19" t="str">
        <f aca="false">IF('Довідник категорій'!A10="","",'Довідник категорій'!A10)</f>
        <v>Шале преміум збільшене East Hill</v>
      </c>
      <c r="B12" s="60" t="str">
        <f aca="false">IF($A12="","",IFERROR(INDEX(ДОВ_ОПОРА,MATCH($A12,КАТЕГОРІЇ,0)),""))</f>
        <v>Котедж комфорт класу</v>
      </c>
      <c r="C12" s="61" t="n">
        <f aca="false">IF(OR($J$2=0,$A12=""),"",IFERROR(INDEX(МНОЖНИКИ,MATCH($A12,МНОЖ_КАТ,0),$J$2),""))</f>
        <v>1.15</v>
      </c>
      <c r="D12" s="61" t="n">
        <f aca="false">IF(OR($J$2=0,$A12=""),"",IFERROR(INDEX(МНОЖНИКИ,MATCH($A12,МНОЖ_КАТ,0),$J$2+1),""))</f>
        <v>1.06</v>
      </c>
      <c r="E12" s="45" t="n">
        <f aca="false">IF(OR($J$2=0,$A12="",$C12=""),"",IFERROR(ROUND(INDEX(БАЗА_RO,MATCH($B12,БАЗА_КАТ,0),$J$2)*$C12/ОКРУГЛЕННЯ,0)*ОКРУГЛЕННЯ,""))</f>
        <v>7567</v>
      </c>
      <c r="F12" s="45" t="n">
        <f aca="false">IF(OR($J$2=0,$A12="",$C12="",$D12=""),"",IFERROR(ROUND(INDEX(БАЗА_RO,MATCH($B12,БАЗА_КАТ,0),$J$2)*$C12*$D12/ОКРУГЛЕННЯ,0)*ОКРУГЛЕННЯ,""))</f>
        <v>8021</v>
      </c>
      <c r="G12" s="45" t="n">
        <f aca="false">IF(OR($E12="",$E11="",$B12&lt;&gt;$B11),"",$E12-$E11)</f>
        <v>329</v>
      </c>
      <c r="H12" s="45" t="n">
        <f aca="false">IF(OR($E12="",$F12=""),"",$F12-$E12)</f>
        <v>454</v>
      </c>
    </row>
    <row r="13" customFormat="false" ht="15" hidden="false" customHeight="false" outlineLevel="0" collapsed="false">
      <c r="A13" s="13" t="str">
        <f aca="false">IF('Довідник категорій'!A11="","",'Довідник категорій'!A11)</f>
        <v>Президентське шале</v>
      </c>
      <c r="B13" s="46" t="str">
        <f aca="false">IF($A13="","",IFERROR(INDEX(ДОВ_ОПОРА,MATCH($A13,КАТЕГОРІЇ,0)),""))</f>
        <v>Котедж комфорт класу</v>
      </c>
      <c r="C13" s="30" t="n">
        <f aca="false">IF(OR($J$2=0,$A13=""),"",IFERROR(INDEX(МНОЖНИКИ,MATCH($A13,МНОЖ_КАТ,0),$J$2),""))</f>
        <v>1.5</v>
      </c>
      <c r="D13" s="30" t="n">
        <f aca="false">IF(OR($J$2=0,$A13=""),"",IFERROR(INDEX(МНОЖНИКИ,MATCH($A13,МНОЖ_КАТ,0),$J$2+1),""))</f>
        <v>1.04</v>
      </c>
      <c r="E13" s="33" t="n">
        <f aca="false">IF(OR($J$2=0,$A13="",$C13=""),"",IFERROR(ROUND(INDEX(БАЗА_RO,MATCH($B13,БАЗА_КАТ,0),$J$2)*$C13/ОКРУГЛЕННЯ,0)*ОКРУГЛЕННЯ,""))</f>
        <v>9870</v>
      </c>
      <c r="F13" s="33" t="n">
        <f aca="false">IF(OR($J$2=0,$A13="",$C13="",$D13=""),"",IFERROR(ROUND(INDEX(БАЗА_RO,MATCH($B13,БАЗА_КАТ,0),$J$2)*$C13*$D13/ОКРУГЛЕННЯ,0)*ОКРУГЛЕННЯ,""))</f>
        <v>10265</v>
      </c>
      <c r="G13" s="33" t="n">
        <f aca="false">IF(OR($E13="",$E12="",$B13&lt;&gt;$B12),"",$E13-$E12)</f>
        <v>2303</v>
      </c>
      <c r="H13" s="33" t="n">
        <f aca="false">IF(OR($E13="",$F13=""),"",$F13-$E13)</f>
        <v>395</v>
      </c>
    </row>
    <row r="14" customFormat="false" ht="15" hidden="false" customHeight="false" outlineLevel="0" collapsed="false">
      <c r="A14" s="19" t="str">
        <f aca="false">IF('Довідник категорій'!A12="","",'Довідник категорій'!A12)</f>
        <v>Апартаменти стандартні 20 м²</v>
      </c>
      <c r="B14" s="60" t="str">
        <f aca="false">IF($A14="","",IFERROR(INDEX(ДОВ_ОПОРА,MATCH($A14,КАТЕГОРІЇ,0)),""))</f>
        <v>Апартаменти стандартні 20 м²</v>
      </c>
      <c r="C14" s="61" t="n">
        <f aca="false">IF(OR($J$2=0,$A14=""),"",IFERROR(INDEX(МНОЖНИКИ,MATCH($A14,МНОЖ_КАТ,0),$J$2),""))</f>
        <v>1</v>
      </c>
      <c r="D14" s="61" t="n">
        <f aca="false">IF(OR($J$2=0,$A14=""),"",IFERROR(INDEX(МНОЖНИКИ,MATCH($A14,МНОЖ_КАТ,0),$J$2+1),""))</f>
        <v>1.1</v>
      </c>
      <c r="E14" s="45" t="n">
        <f aca="false">IF(OR($J$2=0,$A14="",$C14=""),"",IFERROR(ROUND(INDEX(БАЗА_RO,MATCH($B14,БАЗА_КАТ,0),$J$2)*$C14/ОКРУГЛЕННЯ,0)*ОКРУГЛЕННЯ,""))</f>
        <v>2370</v>
      </c>
      <c r="F14" s="45" t="n">
        <f aca="false">IF(OR($J$2=0,$A14="",$C14="",$D14=""),"",IFERROR(ROUND(INDEX(БАЗА_RO,MATCH($B14,БАЗА_КАТ,0),$J$2)*$C14*$D14/ОКРУГЛЕННЯ,0)*ОКРУГЛЕННЯ,""))</f>
        <v>2607</v>
      </c>
      <c r="G14" s="45" t="str">
        <f aca="false">IF(OR($E14="",$E13="",$B14&lt;&gt;$B13),"",$E14-$E13)</f>
        <v/>
      </c>
      <c r="H14" s="45" t="n">
        <f aca="false">IF(OR($E14="",$F14=""),"",$F14-$E14)</f>
        <v>237</v>
      </c>
    </row>
    <row r="15" customFormat="false" ht="15" hidden="false" customHeight="false" outlineLevel="0" collapsed="false">
      <c r="A15" s="13" t="str">
        <f aca="false">IF('Довідник категорій'!A13="","",'Довідник категорій'!A13)</f>
        <v>Апартаменти покращені 28 м²</v>
      </c>
      <c r="B15" s="46" t="str">
        <f aca="false">IF($A15="","",IFERROR(INDEX(ДОВ_ОПОРА,MATCH($A15,КАТЕГОРІЇ,0)),""))</f>
        <v>Апартаменти стандартні 20 м²</v>
      </c>
      <c r="C15" s="30" t="n">
        <f aca="false">IF(OR($J$2=0,$A15=""),"",IFERROR(INDEX(МНОЖНИКИ,MATCH($A15,МНОЖ_КАТ,0),$J$2),""))</f>
        <v>1.15</v>
      </c>
      <c r="D15" s="30" t="n">
        <f aca="false">IF(OR($J$2=0,$A15=""),"",IFERROR(INDEX(МНОЖНИКИ,MATCH($A15,МНОЖ_КАТ,0),$J$2+1),""))</f>
        <v>1.1</v>
      </c>
      <c r="E15" s="33" t="n">
        <f aca="false">IF(OR($J$2=0,$A15="",$C15=""),"",IFERROR(ROUND(INDEX(БАЗА_RO,MATCH($B15,БАЗА_КАТ,0),$J$2)*$C15/ОКРУГЛЕННЯ,0)*ОКРУГЛЕННЯ,""))</f>
        <v>2726</v>
      </c>
      <c r="F15" s="33" t="n">
        <f aca="false">IF(OR($J$2=0,$A15="",$C15="",$D15=""),"",IFERROR(ROUND(INDEX(БАЗА_RO,MATCH($B15,БАЗА_КАТ,0),$J$2)*$C15*$D15/ОКРУГЛЕННЯ,0)*ОКРУГЛЕННЯ,""))</f>
        <v>2998</v>
      </c>
      <c r="G15" s="33" t="n">
        <f aca="false">IF(OR($E15="",$E14="",$B15&lt;&gt;$B14),"",$E15-$E14)</f>
        <v>356</v>
      </c>
      <c r="H15" s="33" t="n">
        <f aca="false">IF(OR($E15="",$F15=""),"",$F15-$E15)</f>
        <v>272</v>
      </c>
    </row>
    <row r="16" customFormat="false" ht="15" hidden="false" customHeight="false" outlineLevel="0" collapsed="false">
      <c r="A16" s="19" t="str">
        <f aca="false">IF('Довідник категорій'!A14="","",'Довідник категорій'!A14)</f>
        <v>Апартаменти Люкс 25 м²</v>
      </c>
      <c r="B16" s="60" t="str">
        <f aca="false">IF($A16="","",IFERROR(INDEX(ДОВ_ОПОРА,MATCH($A16,КАТЕГОРІЇ,0)),""))</f>
        <v>Апартаменти стандартні 20 м²</v>
      </c>
      <c r="C16" s="61" t="n">
        <f aca="false">IF(OR($J$2=0,$A16=""),"",IFERROR(INDEX(МНОЖНИКИ,MATCH($A16,МНОЖ_КАТ,0),$J$2),""))</f>
        <v>1.35</v>
      </c>
      <c r="D16" s="61" t="n">
        <f aca="false">IF(OR($J$2=0,$A16=""),"",IFERROR(INDEX(МНОЖНИКИ,MATCH($A16,МНОЖ_КАТ,0),$J$2+1),""))</f>
        <v>1.07</v>
      </c>
      <c r="E16" s="45" t="n">
        <f aca="false">IF(OR($J$2=0,$A16="",$C16=""),"",IFERROR(ROUND(INDEX(БАЗА_RO,MATCH($B16,БАЗА_КАТ,0),$J$2)*$C16/ОКРУГЛЕННЯ,0)*ОКРУГЛЕННЯ,""))</f>
        <v>3200</v>
      </c>
      <c r="F16" s="45" t="n">
        <f aca="false">IF(OR($J$2=0,$A16="",$C16="",$D16=""),"",IFERROR(ROUND(INDEX(БАЗА_RO,MATCH($B16,БАЗА_КАТ,0),$J$2)*$C16*$D16/ОКРУГЛЕННЯ,0)*ОКРУГЛЕННЯ,""))</f>
        <v>3423</v>
      </c>
      <c r="G16" s="45" t="n">
        <f aca="false">IF(OR($E16="",$E15="",$B16&lt;&gt;$B15),"",$E16-$E15)</f>
        <v>474</v>
      </c>
      <c r="H16" s="45" t="n">
        <f aca="false">IF(OR($E16="",$F16=""),"",$F16-$E16)</f>
        <v>223</v>
      </c>
    </row>
    <row r="17" customFormat="false" ht="15" hidden="false" customHeight="false" outlineLevel="0" collapsed="false">
      <c r="A17" s="13" t="str">
        <f aca="false">IF('Довідник категорій'!A15="","",'Довідник категорій'!A15)</f>
        <v>Люкс зі спальнею та вітальнею</v>
      </c>
      <c r="B17" s="46" t="str">
        <f aca="false">IF($A17="","",IFERROR(INDEX(ДОВ_ОПОРА,MATCH($A17,КАТЕГОРІЇ,0)),""))</f>
        <v>Апартаменти стандартні 20 м²</v>
      </c>
      <c r="C17" s="30" t="n">
        <f aca="false">IF(OR($J$2=0,$A17=""),"",IFERROR(INDEX(МНОЖНИКИ,MATCH($A17,МНОЖ_КАТ,0),$J$2),""))</f>
        <v>1.6</v>
      </c>
      <c r="D17" s="30" t="n">
        <f aca="false">IF(OR($J$2=0,$A17=""),"",IFERROR(INDEX(МНОЖНИКИ,MATCH($A17,МНОЖ_КАТ,0),$J$2+1),""))</f>
        <v>1.0652</v>
      </c>
      <c r="E17" s="33" t="n">
        <f aca="false">IF(OR($J$2=0,$A17="",$C17=""),"",IFERROR(ROUND(INDEX(БАЗА_RO,MATCH($B17,БАЗА_КАТ,0),$J$2)*$C17/ОКРУГЛЕННЯ,0)*ОКРУГЛЕННЯ,""))</f>
        <v>3792</v>
      </c>
      <c r="F17" s="33" t="n">
        <f aca="false">IF(OR($J$2=0,$A17="",$C17="",$D17=""),"",IFERROR(ROUND(INDEX(БАЗА_RO,MATCH($B17,БАЗА_КАТ,0),$J$2)*$C17*$D17/ОКРУГЛЕННЯ,0)*ОКРУГЛЕННЯ,""))</f>
        <v>4039</v>
      </c>
      <c r="G17" s="33" t="n">
        <f aca="false">IF(OR($E17="",$E16="",$B17&lt;&gt;$B16),"",$E17-$E16)</f>
        <v>592</v>
      </c>
      <c r="H17" s="33" t="n">
        <f aca="false">IF(OR($E17="",$F17=""),"",$F17-$E17)</f>
        <v>247</v>
      </c>
    </row>
    <row r="18" customFormat="false" ht="15" hidden="false" customHeight="false" outlineLevel="0" collapsed="false">
      <c r="A18" s="19" t="str">
        <f aca="false">IF('Довідник категорій'!A16="","",'Довідник категорій'!A16)</f>
        <v>Люкс з видом на гори (з 2-ма спальнями) 61 м²</v>
      </c>
      <c r="B18" s="60" t="str">
        <f aca="false">IF($A18="","",IFERROR(INDEX(ДОВ_ОПОРА,MATCH($A18,КАТЕГОРІЇ,0)),""))</f>
        <v>Апартаменти стандартні 20 м²</v>
      </c>
      <c r="C18" s="61" t="n">
        <f aca="false">IF(OR($J$2=0,$A18=""),"",IFERROR(INDEX(МНОЖНИКИ,MATCH($A18,МНОЖ_КАТ,0),$J$2),""))</f>
        <v>1.9</v>
      </c>
      <c r="D18" s="61" t="n">
        <f aca="false">IF(OR($J$2=0,$A18=""),"",IFERROR(INDEX(МНОЖНИКИ,MATCH($A18,МНОЖ_КАТ,0),$J$2+1),""))</f>
        <v>1.07</v>
      </c>
      <c r="E18" s="45" t="n">
        <f aca="false">IF(OR($J$2=0,$A18="",$C18=""),"",IFERROR(ROUND(INDEX(БАЗА_RO,MATCH($B18,БАЗА_КАТ,0),$J$2)*$C18/ОКРУГЛЕННЯ,0)*ОКРУГЛЕННЯ,""))</f>
        <v>4503</v>
      </c>
      <c r="F18" s="45" t="n">
        <f aca="false">IF(OR($J$2=0,$A18="",$C18="",$D18=""),"",IFERROR(ROUND(INDEX(БАЗА_RO,MATCH($B18,БАЗА_КАТ,0),$J$2)*$C18*$D18/ОКРУГЛЕННЯ,0)*ОКРУГЛЕННЯ,""))</f>
        <v>4818</v>
      </c>
      <c r="G18" s="45" t="n">
        <f aca="false">IF(OR($E18="",$E17="",$B18&lt;&gt;$B17),"",$E18-$E17)</f>
        <v>711</v>
      </c>
      <c r="H18" s="45" t="n">
        <f aca="false">IF(OR($E18="",$F18=""),"",$F18-$E18)</f>
        <v>315</v>
      </c>
    </row>
    <row r="19" customFormat="false" ht="15" hidden="false" customHeight="false" outlineLevel="0" collapsed="false">
      <c r="A19" s="13" t="str">
        <f aca="false">IF('Довідник категорій'!A17="","",'Довідник категорій'!A17)</f>
        <v>Апартаменти 1-й поверх 45 м²</v>
      </c>
      <c r="B19" s="46" t="str">
        <f aca="false">IF($A19="","",IFERROR(INDEX(ДОВ_ОПОРА,MATCH($A19,КАТЕГОРІЇ,0)),""))</f>
        <v>Апартаменти 1-й поверх 45 м²</v>
      </c>
      <c r="C19" s="30" t="n">
        <f aca="false">IF(OR($J$2=0,$A19=""),"",IFERROR(INDEX(МНОЖНИКИ,MATCH($A19,МНОЖ_КАТ,0),$J$2),""))</f>
        <v>1</v>
      </c>
      <c r="D19" s="30" t="n">
        <f aca="false">IF(OR($J$2=0,$A19=""),"",IFERROR(INDEX(МНОЖНИКИ,MATCH($A19,МНОЖ_КАТ,0),$J$2+1),""))</f>
        <v>1.07</v>
      </c>
      <c r="E19" s="33" t="n">
        <f aca="false">IF(OR($J$2=0,$A19="",$C19=""),"",IFERROR(ROUND(INDEX(БАЗА_RO,MATCH($B19,БАЗА_КАТ,0),$J$2)*$C19/ОКРУГЛЕННЯ,0)*ОКРУГЛЕННЯ,""))</f>
        <v>2930</v>
      </c>
      <c r="F19" s="33" t="n">
        <f aca="false">IF(OR($J$2=0,$A19="",$C19="",$D19=""),"",IFERROR(ROUND(INDEX(БАЗА_RO,MATCH($B19,БАЗА_КАТ,0),$J$2)*$C19*$D19/ОКРУГЛЕННЯ,0)*ОКРУГЛЕННЯ,""))</f>
        <v>3135</v>
      </c>
      <c r="G19" s="33" t="str">
        <f aca="false">IF(OR($E19="",$E18="",$B19&lt;&gt;$B18),"",$E19-$E18)</f>
        <v/>
      </c>
      <c r="H19" s="33" t="n">
        <f aca="false">IF(OR($E19="",$F19=""),"",$F19-$E19)</f>
        <v>205</v>
      </c>
    </row>
    <row r="20" customFormat="false" ht="15" hidden="false" customHeight="false" outlineLevel="0" collapsed="false">
      <c r="A20" s="19" t="str">
        <f aca="false">IF('Довідник категорій'!A18="","",'Довідник категорій'!A18)</f>
        <v>Апартаменти 2-кімнатні 1-й поверх</v>
      </c>
      <c r="B20" s="60" t="str">
        <f aca="false">IF($A20="","",IFERROR(INDEX(ДОВ_ОПОРА,MATCH($A20,КАТЕГОРІЇ,0)),""))</f>
        <v>Апартаменти 1-й поверх 45 м²</v>
      </c>
      <c r="C20" s="61" t="n">
        <f aca="false">IF(OR($J$2=0,$A20=""),"",IFERROR(INDEX(МНОЖНИКИ,MATCH($A20,МНОЖ_КАТ,0),$J$2),""))</f>
        <v>1.09</v>
      </c>
      <c r="D20" s="61" t="n">
        <f aca="false">IF(OR($J$2=0,$A20=""),"",IFERROR(INDEX(МНОЖНИКИ,MATCH($A20,МНОЖ_КАТ,0),$J$2+1),""))</f>
        <v>1.0652</v>
      </c>
      <c r="E20" s="45" t="n">
        <f aca="false">IF(OR($J$2=0,$A20="",$C20=""),"",IFERROR(ROUND(INDEX(БАЗА_RO,MATCH($B20,БАЗА_КАТ,0),$J$2)*$C20/ОКРУГЛЕННЯ,0)*ОКРУГЛЕННЯ,""))</f>
        <v>3194</v>
      </c>
      <c r="F20" s="45" t="n">
        <f aca="false">IF(OR($J$2=0,$A20="",$C20="",$D20=""),"",IFERROR(ROUND(INDEX(БАЗА_RO,MATCH($B20,БАЗА_КАТ,0),$J$2)*$C20*$D20/ОКРУГЛЕННЯ,0)*ОКРУГЛЕННЯ,""))</f>
        <v>3402</v>
      </c>
      <c r="G20" s="45" t="n">
        <f aca="false">IF(OR($E20="",$E19="",$B20&lt;&gt;$B19),"",$E20-$E19)</f>
        <v>264</v>
      </c>
      <c r="H20" s="45" t="n">
        <f aca="false">IF(OR($E20="",$F20=""),"",$F20-$E20)</f>
        <v>208</v>
      </c>
    </row>
    <row r="21" customFormat="false" ht="15" hidden="false" customHeight="false" outlineLevel="0" collapsed="false">
      <c r="A21" s="13" t="str">
        <f aca="false">IF('Довідник категорій'!A19="","",'Довідник категорій'!A19)</f>
        <v>Апартаменти з ванною 2-й поверх</v>
      </c>
      <c r="B21" s="46" t="str">
        <f aca="false">IF($A21="","",IFERROR(INDEX(ДОВ_ОПОРА,MATCH($A21,КАТЕГОРІЇ,0)),""))</f>
        <v>Апартаменти 1-й поверх 45 м²</v>
      </c>
      <c r="C21" s="30" t="n">
        <f aca="false">IF(OR($J$2=0,$A21=""),"",IFERROR(INDEX(МНОЖНИКИ,MATCH($A21,МНОЖ_КАТ,0),$J$2),""))</f>
        <v>1.09</v>
      </c>
      <c r="D21" s="30" t="n">
        <f aca="false">IF(OR($J$2=0,$A21=""),"",IFERROR(INDEX(МНОЖНИКИ,MATCH($A21,МНОЖ_КАТ,0),$J$2+1),""))</f>
        <v>1.0652</v>
      </c>
      <c r="E21" s="33" t="n">
        <f aca="false">IF(OR($J$2=0,$A21="",$C21=""),"",IFERROR(ROUND(INDEX(БАЗА_RO,MATCH($B21,БАЗА_КАТ,0),$J$2)*$C21/ОКРУГЛЕННЯ,0)*ОКРУГЛЕННЯ,""))</f>
        <v>3194</v>
      </c>
      <c r="F21" s="33" t="n">
        <f aca="false">IF(OR($J$2=0,$A21="",$C21="",$D21=""),"",IFERROR(ROUND(INDEX(БАЗА_RO,MATCH($B21,БАЗА_КАТ,0),$J$2)*$C21*$D21/ОКРУГЛЕННЯ,0)*ОКРУГЛЕННЯ,""))</f>
        <v>3402</v>
      </c>
      <c r="G21" s="33" t="n">
        <f aca="false">IF(OR($E21="",$E20="",$B21&lt;&gt;$B20),"",$E21-$E20)</f>
        <v>0</v>
      </c>
      <c r="H21" s="33" t="n">
        <f aca="false">IF(OR($E21="",$F21=""),"",$F21-$E21)</f>
        <v>208</v>
      </c>
    </row>
    <row r="22" customFormat="false" ht="15" hidden="false" customHeight="false" outlineLevel="0" collapsed="false">
      <c r="A22" s="19" t="str">
        <f aca="false">IF('Довідник категорій'!A20="","",'Довідник категорій'!A20)</f>
        <v>Апартаменти 2-х місні стандартні</v>
      </c>
      <c r="B22" s="60" t="str">
        <f aca="false">IF($A22="","",IFERROR(INDEX(ДОВ_ОПОРА,MATCH($A22,КАТЕГОРІЇ,0)),""))</f>
        <v>Апартаменти 1-й поверх 45 м²</v>
      </c>
      <c r="C22" s="61" t="n">
        <f aca="false">IF(OR($J$2=0,$A22=""),"",IFERROR(INDEX(МНОЖНИКИ,MATCH($A22,МНОЖ_КАТ,0),$J$2),""))</f>
        <v>1.09</v>
      </c>
      <c r="D22" s="61" t="n">
        <f aca="false">IF(OR($J$2=0,$A22=""),"",IFERROR(INDEX(МНОЖНИКИ,MATCH($A22,МНОЖ_КАТ,0),$J$2+1),""))</f>
        <v>1.0652</v>
      </c>
      <c r="E22" s="45" t="n">
        <f aca="false">IF(OR($J$2=0,$A22="",$C22=""),"",IFERROR(ROUND(INDEX(БАЗА_RO,MATCH($B22,БАЗА_КАТ,0),$J$2)*$C22/ОКРУГЛЕННЯ,0)*ОКРУГЛЕННЯ,""))</f>
        <v>3194</v>
      </c>
      <c r="F22" s="45" t="n">
        <f aca="false">IF(OR($J$2=0,$A22="",$C22="",$D22=""),"",IFERROR(ROUND(INDEX(БАЗА_RO,MATCH($B22,БАЗА_КАТ,0),$J$2)*$C22*$D22/ОКРУГЛЕННЯ,0)*ОКРУГЛЕННЯ,""))</f>
        <v>3402</v>
      </c>
      <c r="G22" s="45" t="n">
        <f aca="false">IF(OR($E22="",$E21="",$B22&lt;&gt;$B21),"",$E22-$E21)</f>
        <v>0</v>
      </c>
      <c r="H22" s="45" t="n">
        <f aca="false">IF(OR($E22="",$F22=""),"",$F22-$E22)</f>
        <v>208</v>
      </c>
    </row>
    <row r="23" customFormat="false" ht="15" hidden="false" customHeight="false" outlineLevel="0" collapsed="false">
      <c r="A23" s="13" t="str">
        <f aca="false">IF('Довідник категорій'!A21="","",'Довідник категорій'!A21)</f>
        <v>Апартаменти 3-й поверх</v>
      </c>
      <c r="B23" s="46" t="str">
        <f aca="false">IF($A23="","",IFERROR(INDEX(ДОВ_ОПОРА,MATCH($A23,КАТЕГОРІЇ,0)),""))</f>
        <v>Апартаменти 1-й поверх 45 м²</v>
      </c>
      <c r="C23" s="30" t="n">
        <f aca="false">IF(OR($J$2=0,$A23=""),"",IFERROR(INDEX(МНОЖНИКИ,MATCH($A23,МНОЖ_КАТ,0),$J$2),""))</f>
        <v>1.09</v>
      </c>
      <c r="D23" s="30" t="n">
        <f aca="false">IF(OR($J$2=0,$A23=""),"",IFERROR(INDEX(МНОЖНИКИ,MATCH($A23,МНОЖ_КАТ,0),$J$2+1),""))</f>
        <v>1.0652</v>
      </c>
      <c r="E23" s="33" t="n">
        <f aca="false">IF(OR($J$2=0,$A23="",$C23=""),"",IFERROR(ROUND(INDEX(БАЗА_RO,MATCH($B23,БАЗА_КАТ,0),$J$2)*$C23/ОКРУГЛЕННЯ,0)*ОКРУГЛЕННЯ,""))</f>
        <v>3194</v>
      </c>
      <c r="F23" s="33" t="n">
        <f aca="false">IF(OR($J$2=0,$A23="",$C23="",$D23=""),"",IFERROR(ROUND(INDEX(БАЗА_RO,MATCH($B23,БАЗА_КАТ,0),$J$2)*$C23*$D23/ОКРУГЛЕННЯ,0)*ОКРУГЛЕННЯ,""))</f>
        <v>3402</v>
      </c>
      <c r="G23" s="33" t="n">
        <f aca="false">IF(OR($E23="",$E22="",$B23&lt;&gt;$B22),"",$E23-$E22)</f>
        <v>0</v>
      </c>
      <c r="H23" s="33" t="n">
        <f aca="false">IF(OR($E23="",$F23=""),"",$F23-$E23)</f>
        <v>208</v>
      </c>
    </row>
    <row r="24" customFormat="false" ht="15" hidden="false" customHeight="false" outlineLevel="0" collapsed="false">
      <c r="A24" s="19" t="str">
        <f aca="false">IF('Довідник категорій'!A22="","",'Довідник категорій'!A22)</f>
        <v>Апартаменти президентські</v>
      </c>
      <c r="B24" s="60" t="str">
        <f aca="false">IF($A24="","",IFERROR(INDEX(ДОВ_ОПОРА,MATCH($A24,КАТЕГОРІЇ,0)),""))</f>
        <v>Апартаменти 1-й поверх 45 м²</v>
      </c>
      <c r="C24" s="61" t="n">
        <f aca="false">IF(OR($J$2=0,$A24=""),"",IFERROR(INDEX(МНОЖНИКИ,MATCH($A24,МНОЖ_КАТ,0),$J$2),""))</f>
        <v>1.57</v>
      </c>
      <c r="D24" s="61" t="n">
        <f aca="false">IF(OR($J$2=0,$A24=""),"",IFERROR(INDEX(МНОЖНИКИ,MATCH($A24,МНОЖ_КАТ,0),$J$2+1),""))</f>
        <v>1.06</v>
      </c>
      <c r="E24" s="45" t="n">
        <f aca="false">IF(OR($J$2=0,$A24="",$C24=""),"",IFERROR(ROUND(INDEX(БАЗА_RO,MATCH($B24,БАЗА_КАТ,0),$J$2)*$C24/ОКРУГЛЕННЯ,0)*ОКРУГЛЕННЯ,""))</f>
        <v>4600</v>
      </c>
      <c r="F24" s="45" t="n">
        <f aca="false">IF(OR($J$2=0,$A24="",$C24="",$D24=""),"",IFERROR(ROUND(INDEX(БАЗА_RO,MATCH($B24,БАЗА_КАТ,0),$J$2)*$C24*$D24/ОКРУГЛЕННЯ,0)*ОКРУГЛЕННЯ,""))</f>
        <v>4876</v>
      </c>
      <c r="G24" s="45" t="n">
        <f aca="false">IF(OR($E24="",$E23="",$B24&lt;&gt;$B23),"",$E24-$E23)</f>
        <v>1406</v>
      </c>
      <c r="H24" s="45" t="n">
        <f aca="false">IF(OR($E24="",$F24=""),"",$F24-$E24)</f>
        <v>276</v>
      </c>
    </row>
  </sheetData>
  <sheetProtection sheet="true"/>
  <mergeCells count="2">
    <mergeCell ref="A1:H1"/>
    <mergeCell ref="A4:H4"/>
  </mergeCells>
  <conditionalFormatting sqref="A7:B24">
    <cfRule type="expression" priority="2" aboveAverage="0" equalAverage="0" bottom="0" percent="0" rank="0" text="" dxfId="3">
      <formula>IFERROR(INDEX(ДОВ_РОЛЬ,MATCH($A7,КАТЕГОРІЇ,0))="Базова",0)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true" outlineLevel="0" max="7" min="7" style="0" width="13"/>
  </cols>
  <sheetData>
    <row r="1" customFormat="false" ht="27.75" hidden="false" customHeight="true" outlineLevel="0" collapsed="false">
      <c r="A1" s="1" t="s">
        <v>212</v>
      </c>
      <c r="B1" s="1"/>
      <c r="C1" s="1"/>
      <c r="D1" s="1"/>
      <c r="E1" s="1"/>
    </row>
    <row r="2" customFormat="false" ht="15" hidden="false" customHeight="false" outlineLevel="0" collapsed="false">
      <c r="G2" s="6" t="n">
        <f aca="false">IFERROR(MATCH(Прайс!$B$3,ПЛ_РЯДОК,0),0)</f>
        <v>5</v>
      </c>
    </row>
    <row r="3" customFormat="false" ht="15" hidden="false" customHeight="false" outlineLevel="0" collapsed="false">
      <c r="A3" s="3" t="s">
        <v>1</v>
      </c>
      <c r="B3" s="63" t="str">
        <f aca="false">Прайс!$B$3</f>
        <v>Осінь 2026 (00-10%)</v>
      </c>
    </row>
    <row r="4" customFormat="false" ht="25.5" hidden="false" customHeight="true" outlineLevel="0" collapsed="false">
      <c r="A4" s="8" t="s">
        <v>213</v>
      </c>
      <c r="B4" s="8"/>
      <c r="C4" s="8"/>
      <c r="D4" s="8"/>
      <c r="E4" s="8"/>
    </row>
    <row r="6" customFormat="false" ht="28.35" hidden="false" customHeight="false" outlineLevel="0" collapsed="false">
      <c r="A6" s="11" t="s">
        <v>85</v>
      </c>
      <c r="B6" s="11" t="s">
        <v>214</v>
      </c>
      <c r="C6" s="11" t="s">
        <v>41</v>
      </c>
      <c r="D6" s="11" t="s">
        <v>215</v>
      </c>
      <c r="E6" s="11" t="s">
        <v>27</v>
      </c>
    </row>
    <row r="7" customFormat="false" ht="15" hidden="false" customHeight="false" outlineLevel="0" collapsed="false">
      <c r="A7" s="13" t="s">
        <v>90</v>
      </c>
      <c r="B7" s="33" t="n">
        <f aca="false">IF($G$2=0,"",IFERROR(INDEX(БАЗА_RO,MATCH($A7,БАЗА_КАТ,0),$G$2),""))</f>
        <v>4998</v>
      </c>
      <c r="C7" s="30" t="n">
        <f aca="false">IF($G$2=0,"",IFERROR(INDEX(МНОЖНИКИ,MATCH($A7,МНОЖ_КАТ,0),$G$2+1),""))</f>
        <v>1.1</v>
      </c>
      <c r="D7" s="33" t="n">
        <f aca="false">IF(OR($B7="",$C7=""),"",ROUND($B7*$C7/ОКРУГЛЕННЯ,0)*ОКРУГЛЕННЯ)</f>
        <v>5498</v>
      </c>
      <c r="E7" s="15" t="str">
        <f aca="false">IF($B7="","ПЕРЕВІРИТИ","OK")</f>
        <v>OK</v>
      </c>
    </row>
    <row r="8" customFormat="false" ht="15" hidden="false" customHeight="false" outlineLevel="0" collapsed="false">
      <c r="A8" s="13" t="s">
        <v>94</v>
      </c>
      <c r="B8" s="33" t="n">
        <f aca="false">IF($G$2=0,"",IFERROR(INDEX(БАЗА_RO,MATCH($A8,БАЗА_КАТ,0),$G$2),""))</f>
        <v>6580</v>
      </c>
      <c r="C8" s="30" t="n">
        <f aca="false">IF($G$2=0,"",IFERROR(INDEX(МНОЖНИКИ,MATCH($A8,МНОЖ_КАТ,0),$G$2+1),""))</f>
        <v>1.1</v>
      </c>
      <c r="D8" s="33" t="n">
        <f aca="false">IF(OR($B8="",$C8=""),"",ROUND($B8*$C8/ОКРУГЛЕННЯ,0)*ОКРУГЛЕННЯ)</f>
        <v>7238</v>
      </c>
      <c r="E8" s="15" t="str">
        <f aca="false">IF($B8="","ПЕРЕВІРИТИ","OK")</f>
        <v>OK</v>
      </c>
    </row>
    <row r="9" customFormat="false" ht="15" hidden="false" customHeight="false" outlineLevel="0" collapsed="false">
      <c r="A9" s="13" t="s">
        <v>96</v>
      </c>
      <c r="B9" s="33" t="n">
        <f aca="false">IF($G$2=0,"",IFERROR(INDEX(БАЗА_RO,MATCH($A9,БАЗА_КАТ,0),$G$2),""))</f>
        <v>2370</v>
      </c>
      <c r="C9" s="30" t="n">
        <f aca="false">IF($G$2=0,"",IFERROR(INDEX(МНОЖНИКИ,MATCH($A9,МНОЖ_КАТ,0),$G$2+1),""))</f>
        <v>1.1</v>
      </c>
      <c r="D9" s="33" t="n">
        <f aca="false">IF(OR($B9="",$C9=""),"",ROUND($B9*$C9/ОКРУГЛЕННЯ,0)*ОКРУГЛЕННЯ)</f>
        <v>2607</v>
      </c>
      <c r="E9" s="15" t="str">
        <f aca="false">IF($B9="","ПЕРЕВІРИТИ","OK")</f>
        <v>OK</v>
      </c>
    </row>
    <row r="10" customFormat="false" ht="15" hidden="false" customHeight="false" outlineLevel="0" collapsed="false">
      <c r="A10" s="13" t="s">
        <v>99</v>
      </c>
      <c r="B10" s="33" t="n">
        <f aca="false">IF($G$2=0,"",IFERROR(INDEX(БАЗА_RO,MATCH($A10,БАЗА_КАТ,0),$G$2),""))</f>
        <v>2930</v>
      </c>
      <c r="C10" s="30" t="n">
        <f aca="false">IF($G$2=0,"",IFERROR(INDEX(МНОЖНИКИ,MATCH($A10,МНОЖ_КАТ,0),$G$2+1),""))</f>
        <v>1.07</v>
      </c>
      <c r="D10" s="33" t="n">
        <f aca="false">IF(OR($B10="",$C10=""),"",ROUND($B10*$C10/ОКРУГЛЕННЯ,0)*ОКРУГЛЕННЯ)</f>
        <v>3135</v>
      </c>
      <c r="E10" s="15" t="str">
        <f aca="false">IF($B10="","ПЕРЕВІРИТИ","OK")</f>
        <v>OK</v>
      </c>
    </row>
  </sheetData>
  <sheetProtection sheet="true"/>
  <mergeCells count="2">
    <mergeCell ref="A1:E1"/>
    <mergeCell ref="A4:E4"/>
  </mergeCells>
  <conditionalFormatting sqref="E7:E10">
    <cfRule type="expression" priority="2" aboveAverage="0" equalAverage="0" bottom="0" percent="0" rank="0" text="" dxfId="3">
      <formula>$E7="ПЕРЕВІРИТИ"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8" t="s">
        <v>217</v>
      </c>
      <c r="B2" s="8"/>
      <c r="C2" s="8"/>
      <c r="D2" s="8"/>
      <c r="E2" s="8"/>
      <c r="F2" s="8"/>
      <c r="G2" s="8"/>
      <c r="H2" s="8"/>
      <c r="I2" s="8"/>
    </row>
    <row r="4" customFormat="false" ht="31.5" hidden="false" customHeight="true" outlineLevel="0" collapsed="false">
      <c r="A4" s="11" t="s">
        <v>14</v>
      </c>
      <c r="B4" s="11" t="s">
        <v>15</v>
      </c>
      <c r="C4" s="11" t="s">
        <v>16</v>
      </c>
      <c r="D4" s="11" t="s">
        <v>207</v>
      </c>
      <c r="E4" s="11" t="s">
        <v>30</v>
      </c>
      <c r="F4" s="11" t="s">
        <v>218</v>
      </c>
      <c r="G4" s="11" t="s">
        <v>35</v>
      </c>
      <c r="H4" s="11" t="s">
        <v>219</v>
      </c>
      <c r="I4" s="11" t="s">
        <v>220</v>
      </c>
    </row>
    <row r="5" customFormat="false" ht="15" hidden="false" customHeight="false" outlineLevel="0" collapsed="false">
      <c r="A5" s="19" t="s">
        <v>90</v>
      </c>
      <c r="B5" s="20" t="s">
        <v>221</v>
      </c>
      <c r="C5" s="20" t="s">
        <v>222</v>
      </c>
      <c r="D5" s="20" t="s">
        <v>90</v>
      </c>
      <c r="E5" s="51" t="n">
        <v>1</v>
      </c>
      <c r="F5" s="51" t="n">
        <v>2</v>
      </c>
      <c r="G5" s="51" t="n">
        <v>3</v>
      </c>
      <c r="H5" s="20" t="s">
        <v>223</v>
      </c>
      <c r="I5" s="20" t="s">
        <v>151</v>
      </c>
    </row>
    <row r="6" customFormat="false" ht="15" hidden="false" customHeight="false" outlineLevel="0" collapsed="false">
      <c r="A6" s="13" t="s">
        <v>124</v>
      </c>
      <c r="B6" s="14" t="s">
        <v>221</v>
      </c>
      <c r="C6" s="14" t="s">
        <v>222</v>
      </c>
      <c r="D6" s="14" t="s">
        <v>90</v>
      </c>
      <c r="E6" s="51" t="n">
        <v>1</v>
      </c>
      <c r="F6" s="51" t="n">
        <v>2</v>
      </c>
      <c r="G6" s="51" t="n">
        <v>3</v>
      </c>
      <c r="H6" s="14" t="s">
        <v>224</v>
      </c>
      <c r="I6" s="14" t="s">
        <v>151</v>
      </c>
    </row>
    <row r="7" customFormat="false" ht="15" hidden="false" customHeight="false" outlineLevel="0" collapsed="false">
      <c r="A7" s="19" t="s">
        <v>94</v>
      </c>
      <c r="B7" s="20" t="s">
        <v>225</v>
      </c>
      <c r="C7" s="20" t="s">
        <v>226</v>
      </c>
      <c r="D7" s="20" t="s">
        <v>94</v>
      </c>
      <c r="E7" s="51" t="n">
        <v>1</v>
      </c>
      <c r="F7" s="51" t="n">
        <v>2</v>
      </c>
      <c r="G7" s="51" t="n">
        <v>6</v>
      </c>
      <c r="H7" s="20" t="s">
        <v>223</v>
      </c>
      <c r="I7" s="20" t="s">
        <v>152</v>
      </c>
    </row>
    <row r="8" customFormat="false" ht="15" hidden="false" customHeight="false" outlineLevel="0" collapsed="false">
      <c r="A8" s="13" t="s">
        <v>29</v>
      </c>
      <c r="B8" s="14" t="s">
        <v>227</v>
      </c>
      <c r="C8" s="14" t="s">
        <v>226</v>
      </c>
      <c r="D8" s="14" t="s">
        <v>94</v>
      </c>
      <c r="E8" s="51" t="n">
        <v>1</v>
      </c>
      <c r="F8" s="51" t="n">
        <v>2</v>
      </c>
      <c r="G8" s="51" t="n">
        <v>6</v>
      </c>
      <c r="H8" s="14" t="s">
        <v>224</v>
      </c>
      <c r="I8" s="14" t="s">
        <v>152</v>
      </c>
    </row>
    <row r="9" customFormat="false" ht="15" hidden="false" customHeight="false" outlineLevel="0" collapsed="false">
      <c r="A9" s="19" t="s">
        <v>126</v>
      </c>
      <c r="B9" s="20" t="s">
        <v>228</v>
      </c>
      <c r="C9" s="20" t="s">
        <v>226</v>
      </c>
      <c r="D9" s="20" t="s">
        <v>94</v>
      </c>
      <c r="E9" s="51" t="n">
        <v>1</v>
      </c>
      <c r="F9" s="51" t="n">
        <v>2</v>
      </c>
      <c r="G9" s="51" t="n">
        <v>6</v>
      </c>
      <c r="H9" s="20" t="s">
        <v>224</v>
      </c>
      <c r="I9" s="20" t="s">
        <v>152</v>
      </c>
    </row>
    <row r="10" customFormat="false" ht="15" hidden="false" customHeight="false" outlineLevel="0" collapsed="false">
      <c r="A10" s="13" t="s">
        <v>128</v>
      </c>
      <c r="B10" s="14" t="s">
        <v>228</v>
      </c>
      <c r="C10" s="14" t="s">
        <v>226</v>
      </c>
      <c r="D10" s="14" t="s">
        <v>94</v>
      </c>
      <c r="E10" s="51" t="n">
        <v>1</v>
      </c>
      <c r="F10" s="51" t="n">
        <v>2</v>
      </c>
      <c r="G10" s="51" t="n">
        <v>6</v>
      </c>
      <c r="H10" s="14" t="s">
        <v>224</v>
      </c>
      <c r="I10" s="14" t="s">
        <v>152</v>
      </c>
    </row>
    <row r="11" customFormat="false" ht="15" hidden="false" customHeight="false" outlineLevel="0" collapsed="false">
      <c r="A11" s="19" t="s">
        <v>129</v>
      </c>
      <c r="B11" s="20" t="s">
        <v>229</v>
      </c>
      <c r="C11" s="20" t="s">
        <v>226</v>
      </c>
      <c r="D11" s="20" t="s">
        <v>94</v>
      </c>
      <c r="E11" s="51" t="n">
        <v>1</v>
      </c>
      <c r="F11" s="51" t="n">
        <v>2</v>
      </c>
      <c r="G11" s="51" t="n">
        <v>8</v>
      </c>
      <c r="H11" s="20" t="s">
        <v>224</v>
      </c>
      <c r="I11" s="20" t="s">
        <v>152</v>
      </c>
    </row>
    <row r="12" customFormat="false" ht="15" hidden="false" customHeight="false" outlineLevel="0" collapsed="false">
      <c r="A12" s="13" t="s">
        <v>96</v>
      </c>
      <c r="B12" s="14" t="s">
        <v>96</v>
      </c>
      <c r="C12" s="14" t="s">
        <v>230</v>
      </c>
      <c r="D12" s="14" t="s">
        <v>96</v>
      </c>
      <c r="E12" s="51" t="n">
        <v>1</v>
      </c>
      <c r="F12" s="51" t="n">
        <v>2</v>
      </c>
      <c r="G12" s="51" t="n">
        <v>2</v>
      </c>
      <c r="H12" s="14" t="s">
        <v>223</v>
      </c>
      <c r="I12" s="14" t="s">
        <v>151</v>
      </c>
    </row>
    <row r="13" customFormat="false" ht="15" hidden="false" customHeight="false" outlineLevel="0" collapsed="false">
      <c r="A13" s="19" t="s">
        <v>130</v>
      </c>
      <c r="B13" s="20" t="s">
        <v>130</v>
      </c>
      <c r="C13" s="20" t="s">
        <v>230</v>
      </c>
      <c r="D13" s="20" t="s">
        <v>96</v>
      </c>
      <c r="E13" s="51" t="n">
        <v>1</v>
      </c>
      <c r="F13" s="51" t="n">
        <v>2</v>
      </c>
      <c r="G13" s="51" t="n">
        <v>2</v>
      </c>
      <c r="H13" s="20" t="s">
        <v>224</v>
      </c>
      <c r="I13" s="20" t="s">
        <v>151</v>
      </c>
    </row>
    <row r="14" customFormat="false" ht="15" hidden="false" customHeight="false" outlineLevel="0" collapsed="false">
      <c r="A14" s="13" t="s">
        <v>131</v>
      </c>
      <c r="B14" s="14" t="s">
        <v>131</v>
      </c>
      <c r="C14" s="14" t="s">
        <v>230</v>
      </c>
      <c r="D14" s="14" t="s">
        <v>96</v>
      </c>
      <c r="E14" s="51" t="n">
        <v>1</v>
      </c>
      <c r="F14" s="51" t="n">
        <v>2</v>
      </c>
      <c r="G14" s="51" t="n">
        <v>2</v>
      </c>
      <c r="H14" s="14" t="s">
        <v>224</v>
      </c>
      <c r="I14" s="14" t="s">
        <v>151</v>
      </c>
    </row>
    <row r="15" customFormat="false" ht="15" hidden="false" customHeight="false" outlineLevel="0" collapsed="false">
      <c r="A15" s="19" t="s">
        <v>132</v>
      </c>
      <c r="B15" s="20" t="s">
        <v>231</v>
      </c>
      <c r="C15" s="20" t="s">
        <v>230</v>
      </c>
      <c r="D15" s="20" t="s">
        <v>96</v>
      </c>
      <c r="E15" s="51" t="n">
        <v>1</v>
      </c>
      <c r="F15" s="51" t="n">
        <v>2</v>
      </c>
      <c r="G15" s="51" t="n">
        <v>3</v>
      </c>
      <c r="H15" s="20" t="s">
        <v>224</v>
      </c>
      <c r="I15" s="20" t="s">
        <v>151</v>
      </c>
    </row>
    <row r="16" customFormat="false" ht="15" hidden="false" customHeight="false" outlineLevel="0" collapsed="false">
      <c r="A16" s="13" t="s">
        <v>133</v>
      </c>
      <c r="B16" s="14" t="s">
        <v>133</v>
      </c>
      <c r="C16" s="14" t="s">
        <v>230</v>
      </c>
      <c r="D16" s="14" t="s">
        <v>96</v>
      </c>
      <c r="E16" s="51" t="n">
        <v>1</v>
      </c>
      <c r="F16" s="51" t="n">
        <v>2</v>
      </c>
      <c r="G16" s="51" t="n">
        <v>5</v>
      </c>
      <c r="H16" s="14" t="s">
        <v>224</v>
      </c>
      <c r="I16" s="14" t="s">
        <v>151</v>
      </c>
    </row>
    <row r="17" customFormat="false" ht="15" hidden="false" customHeight="false" outlineLevel="0" collapsed="false">
      <c r="A17" s="19" t="s">
        <v>99</v>
      </c>
      <c r="B17" s="20" t="s">
        <v>99</v>
      </c>
      <c r="C17" s="20" t="s">
        <v>232</v>
      </c>
      <c r="D17" s="20" t="s">
        <v>99</v>
      </c>
      <c r="E17" s="51" t="n">
        <v>1</v>
      </c>
      <c r="F17" s="51" t="n">
        <v>2</v>
      </c>
      <c r="G17" s="51" t="n">
        <v>3</v>
      </c>
      <c r="H17" s="20" t="s">
        <v>223</v>
      </c>
      <c r="I17" s="20" t="s">
        <v>151</v>
      </c>
    </row>
    <row r="18" customFormat="false" ht="15" hidden="false" customHeight="false" outlineLevel="0" collapsed="false">
      <c r="A18" s="13" t="s">
        <v>134</v>
      </c>
      <c r="B18" s="14" t="s">
        <v>233</v>
      </c>
      <c r="C18" s="14" t="s">
        <v>232</v>
      </c>
      <c r="D18" s="14" t="s">
        <v>99</v>
      </c>
      <c r="E18" s="51" t="n">
        <v>1</v>
      </c>
      <c r="F18" s="51" t="n">
        <v>2</v>
      </c>
      <c r="G18" s="51" t="n">
        <v>3</v>
      </c>
      <c r="H18" s="14" t="s">
        <v>224</v>
      </c>
      <c r="I18" s="14" t="s">
        <v>151</v>
      </c>
    </row>
    <row r="19" customFormat="false" ht="15" hidden="false" customHeight="false" outlineLevel="0" collapsed="false">
      <c r="A19" s="19" t="s">
        <v>135</v>
      </c>
      <c r="B19" s="20" t="s">
        <v>234</v>
      </c>
      <c r="C19" s="20" t="s">
        <v>232</v>
      </c>
      <c r="D19" s="20" t="s">
        <v>99</v>
      </c>
      <c r="E19" s="51" t="n">
        <v>1</v>
      </c>
      <c r="F19" s="51" t="n">
        <v>2</v>
      </c>
      <c r="G19" s="51" t="n">
        <v>3</v>
      </c>
      <c r="H19" s="20" t="s">
        <v>224</v>
      </c>
      <c r="I19" s="20" t="s">
        <v>151</v>
      </c>
    </row>
    <row r="20" customFormat="false" ht="15" hidden="false" customHeight="false" outlineLevel="0" collapsed="false">
      <c r="A20" s="13" t="s">
        <v>136</v>
      </c>
      <c r="B20" s="14" t="s">
        <v>235</v>
      </c>
      <c r="C20" s="14" t="s">
        <v>232</v>
      </c>
      <c r="D20" s="14" t="s">
        <v>99</v>
      </c>
      <c r="E20" s="51" t="n">
        <v>1</v>
      </c>
      <c r="F20" s="51" t="n">
        <v>2</v>
      </c>
      <c r="G20" s="51" t="n">
        <v>3</v>
      </c>
      <c r="H20" s="14" t="s">
        <v>224</v>
      </c>
      <c r="I20" s="14" t="s">
        <v>151</v>
      </c>
    </row>
    <row r="21" customFormat="false" ht="15" hidden="false" customHeight="false" outlineLevel="0" collapsed="false">
      <c r="A21" s="19" t="s">
        <v>137</v>
      </c>
      <c r="B21" s="20" t="s">
        <v>236</v>
      </c>
      <c r="C21" s="20" t="s">
        <v>232</v>
      </c>
      <c r="D21" s="20" t="s">
        <v>99</v>
      </c>
      <c r="E21" s="51" t="n">
        <v>1</v>
      </c>
      <c r="F21" s="51" t="n">
        <v>2</v>
      </c>
      <c r="G21" s="51" t="n">
        <v>3</v>
      </c>
      <c r="H21" s="20" t="s">
        <v>224</v>
      </c>
      <c r="I21" s="20" t="s">
        <v>151</v>
      </c>
    </row>
    <row r="22" customFormat="false" ht="15" hidden="false" customHeight="false" outlineLevel="0" collapsed="false">
      <c r="A22" s="13" t="s">
        <v>138</v>
      </c>
      <c r="B22" s="14" t="s">
        <v>237</v>
      </c>
      <c r="C22" s="14" t="s">
        <v>232</v>
      </c>
      <c r="D22" s="14" t="s">
        <v>99</v>
      </c>
      <c r="E22" s="51" t="n">
        <v>1</v>
      </c>
      <c r="F22" s="51" t="n">
        <v>2</v>
      </c>
      <c r="G22" s="51" t="n">
        <v>3</v>
      </c>
      <c r="H22" s="14" t="s">
        <v>224</v>
      </c>
      <c r="I22" s="14" t="s">
        <v>151</v>
      </c>
    </row>
  </sheetData>
  <sheetProtection sheet="true"/>
  <mergeCells count="2">
    <mergeCell ref="A1:I1"/>
    <mergeCell ref="A2:I2"/>
  </mergeCells>
  <dataValidations count="4">
    <dataValidation allowBlank="true" errorStyle="stop" operator="between" showDropDown="false" showErrorMessage="false" showInputMessage="false" sqref="H5:H22" type="list">
      <formula1>"Базова,За матрицею"</formula1>
      <formula2>0</formula2>
    </dataValidation>
    <dataValidation allowBlank="true" errorStyle="stop" operator="between" showDropDown="false" showErrorMessage="false" showInputMessage="false" sqref="I5:I22" type="list">
      <formula1>SPA_РОЛЬ</formula1>
      <formula2>0</formula2>
    </dataValidation>
    <dataValidation allowBlank="true" errorStyle="stop" operator="between" showDropDown="false" showErrorMessage="false" showInputMessage="false" sqref="D5:D22" type="list">
      <formula1>БАЗА_КАТ</formula1>
      <formula2>0</formula2>
    </dataValidation>
    <dataValidation allowBlank="true" error="Введіть ціле число від 0 до 20." errorStyle="stop" errorTitle="Некоректна місткість" operator="between" showDropDown="false" showErrorMessage="true" showInputMessage="false" sqref="E5:G22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238</v>
      </c>
      <c r="B1" s="1"/>
      <c r="C1" s="1"/>
      <c r="D1" s="1"/>
      <c r="E1" s="1"/>
    </row>
    <row r="2" customFormat="false" ht="39.75" hidden="false" customHeight="true" outlineLevel="0" collapsed="false">
      <c r="A2" s="8" t="s">
        <v>239</v>
      </c>
      <c r="B2" s="8"/>
      <c r="C2" s="8"/>
      <c r="D2" s="8"/>
      <c r="E2" s="8"/>
    </row>
    <row r="4" customFormat="false" ht="15" hidden="false" customHeight="false" outlineLevel="0" collapsed="false">
      <c r="A4" s="64" t="s">
        <v>240</v>
      </c>
      <c r="B4" s="64" t="s">
        <v>241</v>
      </c>
    </row>
    <row r="5" customFormat="false" ht="15" hidden="false" customHeight="false" outlineLevel="0" collapsed="false">
      <c r="A5" s="64" t="s">
        <v>242</v>
      </c>
      <c r="B5" s="64" t="s">
        <v>243</v>
      </c>
    </row>
    <row r="6" customFormat="false" ht="15" hidden="false" customHeight="false" outlineLevel="0" collapsed="false">
      <c r="A6" s="64" t="s">
        <v>244</v>
      </c>
      <c r="B6" s="64" t="s">
        <v>245</v>
      </c>
    </row>
    <row r="7" customFormat="false" ht="15" hidden="false" customHeight="false" outlineLevel="0" collapsed="false">
      <c r="A7" s="64" t="s">
        <v>246</v>
      </c>
      <c r="B7" s="64" t="s">
        <v>247</v>
      </c>
    </row>
    <row r="9" customFormat="false" ht="15" hidden="false" customHeight="false" outlineLevel="0" collapsed="false">
      <c r="A9" s="23" t="s">
        <v>248</v>
      </c>
      <c r="B9" s="23"/>
      <c r="C9" s="23"/>
      <c r="D9" s="23"/>
      <c r="E9" s="23"/>
    </row>
    <row r="10" customFormat="false" ht="15" hidden="false" customHeight="false" outlineLevel="0" collapsed="false">
      <c r="A10" s="23" t="s">
        <v>249</v>
      </c>
      <c r="B10" s="23"/>
      <c r="C10" s="23"/>
      <c r="D10" s="23"/>
      <c r="E10" s="23"/>
    </row>
    <row r="11" customFormat="false" ht="28.35" hidden="false" customHeight="false" outlineLevel="0" collapsed="false">
      <c r="A11" s="11" t="s">
        <v>250</v>
      </c>
      <c r="B11" s="11" t="s">
        <v>251</v>
      </c>
      <c r="C11" s="11" t="s">
        <v>252</v>
      </c>
      <c r="D11" s="11" t="s">
        <v>253</v>
      </c>
      <c r="E11" s="11" t="s">
        <v>254</v>
      </c>
    </row>
    <row r="12" customFormat="false" ht="15" hidden="false" customHeight="false" outlineLevel="0" collapsed="false">
      <c r="A12" s="64" t="s">
        <v>255</v>
      </c>
      <c r="B12" s="65" t="n">
        <v>600</v>
      </c>
      <c r="C12" s="65" t="n">
        <v>420</v>
      </c>
      <c r="D12" s="65" t="n">
        <v>350</v>
      </c>
    </row>
    <row r="13" customFormat="false" ht="15" hidden="false" customHeight="false" outlineLevel="0" collapsed="false">
      <c r="A13" s="64" t="s">
        <v>256</v>
      </c>
      <c r="B13" s="65" t="n">
        <v>350</v>
      </c>
      <c r="C13" s="65" t="n">
        <v>250</v>
      </c>
      <c r="D13" s="65" t="n">
        <v>250</v>
      </c>
    </row>
    <row r="15" customFormat="false" ht="15" hidden="false" customHeight="false" outlineLevel="0" collapsed="false">
      <c r="A15" s="64" t="s">
        <v>257</v>
      </c>
      <c r="B15" s="65" t="n">
        <v>800</v>
      </c>
      <c r="C15" s="65" t="n">
        <v>500</v>
      </c>
      <c r="D15" s="65" t="n">
        <v>500</v>
      </c>
    </row>
    <row r="16" customFormat="false" ht="15" hidden="false" customHeight="false" outlineLevel="0" collapsed="false">
      <c r="A16" s="64" t="s">
        <v>258</v>
      </c>
      <c r="B16" s="65" t="n">
        <v>400</v>
      </c>
      <c r="C16" s="65" t="n">
        <v>400</v>
      </c>
      <c r="D16" s="65" t="n">
        <v>400</v>
      </c>
    </row>
    <row r="17" customFormat="false" ht="15" hidden="false" customHeight="false" outlineLevel="0" collapsed="false">
      <c r="A17" s="64" t="s">
        <v>259</v>
      </c>
    </row>
    <row r="19" customFormat="false" ht="15" hidden="false" customHeight="false" outlineLevel="0" collapsed="false">
      <c r="A19" s="23" t="s">
        <v>260</v>
      </c>
      <c r="B19" s="23"/>
      <c r="C19" s="23"/>
      <c r="D19" s="23"/>
      <c r="E19" s="23"/>
    </row>
    <row r="20" customFormat="false" ht="28.35" hidden="false" customHeight="false" outlineLevel="0" collapsed="false">
      <c r="A20" s="11" t="s">
        <v>250</v>
      </c>
      <c r="B20" s="11" t="s">
        <v>261</v>
      </c>
      <c r="C20" s="11" t="s">
        <v>252</v>
      </c>
      <c r="D20" s="11" t="s">
        <v>262</v>
      </c>
      <c r="E20" s="11" t="s">
        <v>254</v>
      </c>
    </row>
    <row r="21" customFormat="false" ht="15" hidden="false" customHeight="false" outlineLevel="0" collapsed="false">
      <c r="A21" s="64" t="s">
        <v>255</v>
      </c>
      <c r="B21" s="65" t="n">
        <v>600</v>
      </c>
      <c r="C21" s="65" t="n">
        <v>500</v>
      </c>
      <c r="D21" s="65" t="n">
        <v>450</v>
      </c>
      <c r="E21" s="65" t="n">
        <v>1.07</v>
      </c>
    </row>
    <row r="22" customFormat="false" ht="15" hidden="false" customHeight="false" outlineLevel="0" collapsed="false">
      <c r="A22" s="64" t="s">
        <v>256</v>
      </c>
      <c r="B22" s="65" t="n">
        <v>350</v>
      </c>
      <c r="C22" s="65" t="n">
        <v>270</v>
      </c>
      <c r="D22" s="65" t="n">
        <v>250</v>
      </c>
      <c r="E22" s="65" t="n">
        <v>1.07</v>
      </c>
    </row>
    <row r="23" customFormat="false" ht="15" hidden="false" customHeight="false" outlineLevel="0" collapsed="false">
      <c r="A23" s="23" t="s">
        <v>119</v>
      </c>
      <c r="B23" s="23"/>
      <c r="C23" s="23"/>
      <c r="D23" s="23"/>
      <c r="E23" s="23"/>
    </row>
    <row r="24" customFormat="false" ht="15" hidden="false" customHeight="false" outlineLevel="0" collapsed="false">
      <c r="A24" s="64" t="s">
        <v>255</v>
      </c>
      <c r="B24" s="65" t="n">
        <v>600</v>
      </c>
      <c r="C24" s="65" t="n">
        <v>550</v>
      </c>
      <c r="D24" s="65" t="n">
        <v>450</v>
      </c>
      <c r="E24" s="65" t="n">
        <v>1.07</v>
      </c>
    </row>
    <row r="25" customFormat="false" ht="15" hidden="false" customHeight="false" outlineLevel="0" collapsed="false">
      <c r="A25" s="64" t="s">
        <v>256</v>
      </c>
      <c r="B25" s="65" t="n">
        <v>350</v>
      </c>
      <c r="C25" s="65" t="n">
        <v>270</v>
      </c>
      <c r="D25" s="65" t="n">
        <v>250</v>
      </c>
      <c r="E25" s="65" t="n">
        <v>1.07</v>
      </c>
    </row>
    <row r="26" customFormat="false" ht="15" hidden="false" customHeight="false" outlineLevel="0" collapsed="false">
      <c r="A26" s="23" t="s">
        <v>119</v>
      </c>
      <c r="B26" s="23"/>
      <c r="C26" s="23"/>
      <c r="D26" s="23"/>
      <c r="E26" s="23"/>
    </row>
    <row r="27" customFormat="false" ht="15" hidden="false" customHeight="false" outlineLevel="0" collapsed="false">
      <c r="A27" s="64" t="s">
        <v>257</v>
      </c>
      <c r="B27" s="65" t="n">
        <v>1000</v>
      </c>
      <c r="C27" s="65" t="n">
        <v>750</v>
      </c>
      <c r="D27" s="65" t="n">
        <v>700</v>
      </c>
      <c r="E27" s="64" t="s">
        <v>263</v>
      </c>
    </row>
    <row r="28" customFormat="false" ht="15" hidden="false" customHeight="false" outlineLevel="0" collapsed="false">
      <c r="A28" s="64" t="s">
        <v>258</v>
      </c>
      <c r="B28" s="65" t="n">
        <v>500</v>
      </c>
      <c r="C28" s="65" t="n">
        <v>450</v>
      </c>
      <c r="D28" s="65" t="n">
        <v>400</v>
      </c>
      <c r="E28" s="64" t="s">
        <v>263</v>
      </c>
    </row>
    <row r="29" customFormat="false" ht="15" hidden="false" customHeight="false" outlineLevel="0" collapsed="false">
      <c r="A29" s="64" t="s">
        <v>264</v>
      </c>
    </row>
    <row r="31" customFormat="false" ht="15" hidden="false" customHeight="false" outlineLevel="0" collapsed="false">
      <c r="A31" s="23" t="s">
        <v>265</v>
      </c>
      <c r="B31" s="23"/>
      <c r="C31" s="23"/>
      <c r="D31" s="23"/>
      <c r="E31" s="23"/>
    </row>
    <row r="32" customFormat="false" ht="28.35" hidden="false" customHeight="false" outlineLevel="0" collapsed="false">
      <c r="A32" s="11" t="s">
        <v>250</v>
      </c>
      <c r="B32" s="11" t="s">
        <v>261</v>
      </c>
      <c r="C32" s="11" t="s">
        <v>252</v>
      </c>
      <c r="D32" s="11" t="s">
        <v>262</v>
      </c>
      <c r="E32" s="11" t="s">
        <v>254</v>
      </c>
    </row>
    <row r="33" customFormat="false" ht="15" hidden="false" customHeight="false" outlineLevel="0" collapsed="false">
      <c r="A33" s="64" t="s">
        <v>255</v>
      </c>
      <c r="B33" s="65" t="n">
        <v>700</v>
      </c>
      <c r="C33" s="65" t="n">
        <v>600</v>
      </c>
      <c r="D33" s="65" t="n">
        <v>450</v>
      </c>
      <c r="E33" s="65" t="n">
        <v>1.07</v>
      </c>
    </row>
    <row r="34" customFormat="false" ht="15" hidden="false" customHeight="false" outlineLevel="0" collapsed="false">
      <c r="A34" s="64" t="s">
        <v>256</v>
      </c>
      <c r="B34" s="65" t="n">
        <v>350</v>
      </c>
      <c r="C34" s="65" t="n">
        <v>350</v>
      </c>
      <c r="D34" s="65" t="n">
        <v>250</v>
      </c>
      <c r="E34" s="65" t="n">
        <v>1.07</v>
      </c>
    </row>
    <row r="36" customFormat="false" ht="15" hidden="false" customHeight="false" outlineLevel="0" collapsed="false">
      <c r="A36" s="64" t="s">
        <v>257</v>
      </c>
      <c r="B36" s="65" t="n">
        <v>1000</v>
      </c>
      <c r="C36" s="64" t="s">
        <v>263</v>
      </c>
      <c r="D36" s="64" t="s">
        <v>263</v>
      </c>
      <c r="E36" s="64" t="s">
        <v>263</v>
      </c>
    </row>
    <row r="37" customFormat="false" ht="15" hidden="false" customHeight="false" outlineLevel="0" collapsed="false">
      <c r="A37" s="64" t="s">
        <v>258</v>
      </c>
      <c r="B37" s="65" t="n">
        <v>500</v>
      </c>
      <c r="C37" s="64" t="s">
        <v>263</v>
      </c>
      <c r="D37" s="64" t="s">
        <v>263</v>
      </c>
      <c r="E37" s="64" t="s">
        <v>263</v>
      </c>
    </row>
    <row r="38" customFormat="false" ht="15" hidden="false" customHeight="false" outlineLevel="0" collapsed="false">
      <c r="A38" s="64" t="s">
        <v>266</v>
      </c>
    </row>
  </sheetData>
  <sheetProtection sheet="true"/>
  <mergeCells count="8">
    <mergeCell ref="A1:E1"/>
    <mergeCell ref="A2:E2"/>
    <mergeCell ref="A9:E9"/>
    <mergeCell ref="A10:E10"/>
    <mergeCell ref="A19:E19"/>
    <mergeCell ref="A23:E23"/>
    <mergeCell ref="A26:E26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" t="s">
        <v>267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8" t="s">
        <v>268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11" t="s">
        <v>269</v>
      </c>
      <c r="B4" s="11" t="s">
        <v>270</v>
      </c>
      <c r="C4" s="11" t="s">
        <v>271</v>
      </c>
      <c r="D4" s="11" t="s">
        <v>272</v>
      </c>
      <c r="E4" s="11" t="s">
        <v>273</v>
      </c>
      <c r="F4" s="11" t="s">
        <v>274</v>
      </c>
    </row>
    <row r="5" customFormat="false" ht="15" hidden="false" customHeight="false" outlineLevel="0" collapsed="false">
      <c r="A5" s="66" t="n">
        <v>46280</v>
      </c>
      <c r="B5" s="67" t="s">
        <v>275</v>
      </c>
      <c r="C5" s="67" t="s">
        <v>276</v>
      </c>
      <c r="D5" s="67" t="s">
        <v>277</v>
      </c>
      <c r="E5" s="67" t="s">
        <v>278</v>
      </c>
      <c r="F5" s="67" t="s">
        <v>279</v>
      </c>
    </row>
    <row r="6" customFormat="false" ht="28.35" hidden="false" customHeight="false" outlineLevel="0" collapsed="false">
      <c r="A6" s="68" t="n">
        <v>46280</v>
      </c>
      <c r="B6" s="69" t="s">
        <v>275</v>
      </c>
      <c r="C6" s="69" t="s">
        <v>280</v>
      </c>
      <c r="D6" s="69" t="s">
        <v>281</v>
      </c>
      <c r="E6" s="69" t="s">
        <v>150</v>
      </c>
      <c r="F6" s="69" t="s">
        <v>282</v>
      </c>
    </row>
    <row r="7" customFormat="false" ht="28.35" hidden="false" customHeight="false" outlineLevel="0" collapsed="false">
      <c r="A7" s="66" t="n">
        <v>46280</v>
      </c>
      <c r="B7" s="67" t="s">
        <v>275</v>
      </c>
      <c r="C7" s="67" t="s">
        <v>283</v>
      </c>
      <c r="D7" s="67" t="s">
        <v>284</v>
      </c>
      <c r="E7" s="67" t="s">
        <v>285</v>
      </c>
      <c r="F7" s="67" t="s">
        <v>286</v>
      </c>
    </row>
    <row r="8" customFormat="false" ht="15" hidden="false" customHeight="false" outlineLevel="0" collapsed="false">
      <c r="A8" s="31"/>
      <c r="B8" s="4"/>
      <c r="C8" s="4"/>
      <c r="D8" s="4"/>
      <c r="E8" s="4"/>
      <c r="F8" s="4"/>
    </row>
    <row r="9" customFormat="false" ht="15" hidden="false" customHeight="false" outlineLevel="0" collapsed="false">
      <c r="A9" s="31"/>
      <c r="B9" s="4"/>
      <c r="C9" s="4"/>
      <c r="D9" s="4"/>
      <c r="E9" s="4"/>
      <c r="F9" s="4"/>
    </row>
    <row r="10" customFormat="false" ht="15" hidden="false" customHeight="false" outlineLevel="0" collapsed="false">
      <c r="A10" s="31"/>
      <c r="B10" s="4"/>
      <c r="C10" s="4"/>
      <c r="D10" s="4"/>
      <c r="E10" s="4"/>
      <c r="F10" s="4"/>
    </row>
    <row r="11" customFormat="false" ht="15" hidden="false" customHeight="false" outlineLevel="0" collapsed="false">
      <c r="A11" s="31"/>
      <c r="B11" s="4"/>
      <c r="C11" s="4"/>
      <c r="D11" s="4"/>
      <c r="E11" s="4"/>
      <c r="F11" s="4"/>
    </row>
    <row r="12" customFormat="false" ht="15" hidden="false" customHeight="false" outlineLevel="0" collapsed="false">
      <c r="A12" s="31"/>
      <c r="B12" s="4"/>
      <c r="C12" s="4"/>
      <c r="D12" s="4"/>
      <c r="E12" s="4"/>
      <c r="F12" s="4"/>
    </row>
    <row r="13" customFormat="false" ht="15" hidden="false" customHeight="false" outlineLevel="0" collapsed="false">
      <c r="A13" s="31"/>
      <c r="B13" s="4"/>
      <c r="C13" s="4"/>
      <c r="D13" s="4"/>
      <c r="E13" s="4"/>
      <c r="F13" s="4"/>
    </row>
    <row r="14" customFormat="false" ht="15" hidden="false" customHeight="false" outlineLevel="0" collapsed="false">
      <c r="A14" s="31"/>
      <c r="B14" s="4"/>
      <c r="C14" s="4"/>
      <c r="D14" s="4"/>
      <c r="E14" s="4"/>
      <c r="F14" s="4"/>
    </row>
    <row r="15" customFormat="false" ht="15" hidden="false" customHeight="false" outlineLevel="0" collapsed="false">
      <c r="A15" s="31"/>
      <c r="B15" s="4"/>
      <c r="C15" s="4"/>
      <c r="D15" s="4"/>
      <c r="E15" s="4"/>
      <c r="F15" s="4"/>
    </row>
    <row r="16" customFormat="false" ht="15" hidden="false" customHeight="false" outlineLevel="0" collapsed="false">
      <c r="A16" s="31"/>
      <c r="B16" s="4"/>
      <c r="C16" s="4"/>
      <c r="D16" s="4"/>
      <c r="E16" s="4"/>
      <c r="F16" s="4"/>
    </row>
    <row r="17" customFormat="false" ht="15" hidden="false" customHeight="false" outlineLevel="0" collapsed="false">
      <c r="A17" s="31"/>
      <c r="B17" s="4"/>
      <c r="C17" s="4"/>
      <c r="D17" s="4"/>
      <c r="E17" s="4"/>
      <c r="F17" s="4"/>
    </row>
    <row r="18" customFormat="false" ht="15" hidden="false" customHeight="false" outlineLevel="0" collapsed="false">
      <c r="A18" s="31"/>
      <c r="B18" s="4"/>
      <c r="C18" s="4"/>
      <c r="D18" s="4"/>
      <c r="E18" s="4"/>
      <c r="F18" s="4"/>
    </row>
    <row r="19" customFormat="false" ht="15" hidden="false" customHeight="false" outlineLevel="0" collapsed="false">
      <c r="A19" s="31"/>
      <c r="B19" s="4"/>
      <c r="C19" s="4"/>
      <c r="D19" s="4"/>
      <c r="E19" s="4"/>
      <c r="F19" s="4"/>
    </row>
    <row r="20" customFormat="false" ht="15" hidden="false" customHeight="false" outlineLevel="0" collapsed="false">
      <c r="A20" s="31"/>
      <c r="B20" s="4"/>
      <c r="C20" s="4"/>
      <c r="D20" s="4"/>
      <c r="E20" s="4"/>
      <c r="F20" s="4"/>
    </row>
    <row r="21" customFormat="false" ht="15" hidden="false" customHeight="false" outlineLevel="0" collapsed="false">
      <c r="A21" s="31"/>
      <c r="B21" s="4"/>
      <c r="C21" s="4"/>
      <c r="D21" s="4"/>
      <c r="E21" s="4"/>
      <c r="F21" s="4"/>
    </row>
    <row r="22" customFormat="false" ht="15" hidden="false" customHeight="false" outlineLevel="0" collapsed="false">
      <c r="A22" s="31"/>
      <c r="B22" s="4"/>
      <c r="C22" s="4"/>
      <c r="D22" s="4"/>
      <c r="E22" s="4"/>
      <c r="F22" s="4"/>
    </row>
    <row r="23" customFormat="false" ht="15" hidden="false" customHeight="false" outlineLevel="0" collapsed="false">
      <c r="A23" s="31"/>
      <c r="B23" s="4"/>
      <c r="C23" s="4"/>
      <c r="D23" s="4"/>
      <c r="E23" s="4"/>
      <c r="F23" s="4"/>
    </row>
    <row r="24" customFormat="false" ht="15" hidden="false" customHeight="false" outlineLevel="0" collapsed="false">
      <c r="A24" s="31"/>
      <c r="B24" s="4"/>
      <c r="C24" s="4"/>
      <c r="D24" s="4"/>
      <c r="E24" s="4"/>
      <c r="F24" s="4"/>
    </row>
    <row r="25" customFormat="false" ht="15" hidden="false" customHeight="false" outlineLevel="0" collapsed="false">
      <c r="A25" s="31"/>
      <c r="B25" s="4"/>
      <c r="C25" s="4"/>
      <c r="D25" s="4"/>
      <c r="E25" s="4"/>
      <c r="F25" s="4"/>
    </row>
    <row r="26" customFormat="false" ht="15" hidden="false" customHeight="false" outlineLevel="0" collapsed="false">
      <c r="A26" s="31"/>
      <c r="B26" s="4"/>
      <c r="C26" s="4"/>
      <c r="D26" s="4"/>
      <c r="E26" s="4"/>
      <c r="F26" s="4"/>
    </row>
    <row r="27" customFormat="false" ht="15" hidden="false" customHeight="false" outlineLevel="0" collapsed="false">
      <c r="A27" s="31"/>
      <c r="B27" s="4"/>
      <c r="C27" s="4"/>
      <c r="D27" s="4"/>
      <c r="E27" s="4"/>
      <c r="F27" s="4"/>
    </row>
    <row r="28" customFormat="false" ht="15" hidden="false" customHeight="false" outlineLevel="0" collapsed="false">
      <c r="A28" s="31"/>
      <c r="B28" s="4"/>
      <c r="C28" s="4"/>
      <c r="D28" s="4"/>
      <c r="E28" s="4"/>
      <c r="F28" s="4"/>
    </row>
    <row r="29" customFormat="false" ht="15" hidden="false" customHeight="false" outlineLevel="0" collapsed="false">
      <c r="A29" s="31"/>
      <c r="B29" s="4"/>
      <c r="C29" s="4"/>
      <c r="D29" s="4"/>
      <c r="E29" s="4"/>
      <c r="F29" s="4"/>
    </row>
    <row r="30" customFormat="false" ht="15" hidden="false" customHeight="false" outlineLevel="0" collapsed="false">
      <c r="A30" s="31"/>
      <c r="B30" s="4"/>
      <c r="C30" s="4"/>
      <c r="D30" s="4"/>
      <c r="E30" s="4"/>
      <c r="F30" s="4"/>
    </row>
    <row r="31" customFormat="false" ht="15" hidden="false" customHeight="false" outlineLevel="0" collapsed="false">
      <c r="A31" s="31"/>
      <c r="B31" s="4"/>
      <c r="C31" s="4"/>
      <c r="D31" s="4"/>
      <c r="E31" s="4"/>
      <c r="F31" s="4"/>
    </row>
    <row r="32" customFormat="false" ht="15" hidden="false" customHeight="false" outlineLevel="0" collapsed="false">
      <c r="A32" s="31"/>
      <c r="B32" s="4"/>
      <c r="C32" s="4"/>
      <c r="D32" s="4"/>
      <c r="E32" s="4"/>
      <c r="F32" s="4"/>
    </row>
    <row r="33" customFormat="false" ht="15" hidden="false" customHeight="false" outlineLevel="0" collapsed="false">
      <c r="A33" s="31"/>
      <c r="B33" s="4"/>
      <c r="C33" s="4"/>
      <c r="D33" s="4"/>
      <c r="E33" s="4"/>
      <c r="F33" s="4"/>
    </row>
    <row r="34" customFormat="false" ht="15" hidden="false" customHeight="false" outlineLevel="0" collapsed="false">
      <c r="A34" s="31"/>
      <c r="B34" s="4"/>
      <c r="C34" s="4"/>
      <c r="D34" s="4"/>
      <c r="E34" s="4"/>
      <c r="F34" s="4"/>
    </row>
    <row r="35" customFormat="false" ht="15" hidden="false" customHeight="false" outlineLevel="0" collapsed="false">
      <c r="A35" s="31"/>
      <c r="B35" s="4"/>
      <c r="C35" s="4"/>
      <c r="D35" s="4"/>
      <c r="E35" s="4"/>
      <c r="F35" s="4"/>
    </row>
    <row r="36" customFormat="false" ht="15" hidden="false" customHeight="false" outlineLevel="0" collapsed="false">
      <c r="A36" s="31"/>
      <c r="B36" s="4"/>
      <c r="C36" s="4"/>
      <c r="D36" s="4"/>
      <c r="E36" s="4"/>
      <c r="F36" s="4"/>
    </row>
    <row r="37" customFormat="false" ht="15" hidden="false" customHeight="false" outlineLevel="0" collapsed="false">
      <c r="A37" s="31"/>
      <c r="B37" s="4"/>
      <c r="C37" s="4"/>
      <c r="D37" s="4"/>
      <c r="E37" s="4"/>
      <c r="F37" s="4"/>
    </row>
    <row r="38" customFormat="false" ht="15" hidden="false" customHeight="false" outlineLevel="0" collapsed="false">
      <c r="A38" s="31"/>
      <c r="B38" s="4"/>
      <c r="C38" s="4"/>
      <c r="D38" s="4"/>
      <c r="E38" s="4"/>
      <c r="F38" s="4"/>
    </row>
    <row r="39" customFormat="false" ht="15" hidden="false" customHeight="false" outlineLevel="0" collapsed="false">
      <c r="A39" s="31"/>
      <c r="B39" s="4"/>
      <c r="C39" s="4"/>
      <c r="D39" s="4"/>
      <c r="E39" s="4"/>
      <c r="F39" s="4"/>
    </row>
    <row r="40" customFormat="false" ht="15" hidden="false" customHeight="false" outlineLevel="0" collapsed="false">
      <c r="A40" s="31"/>
      <c r="B40" s="4"/>
      <c r="C40" s="4"/>
      <c r="D40" s="4"/>
      <c r="E40" s="4"/>
      <c r="F40" s="4"/>
    </row>
    <row r="41" customFormat="false" ht="15" hidden="false" customHeight="false" outlineLevel="0" collapsed="false">
      <c r="A41" s="31"/>
      <c r="B41" s="4"/>
      <c r="C41" s="4"/>
      <c r="D41" s="4"/>
      <c r="E41" s="4"/>
      <c r="F41" s="4"/>
    </row>
    <row r="42" customFormat="false" ht="15" hidden="false" customHeight="false" outlineLevel="0" collapsed="false">
      <c r="A42" s="31"/>
      <c r="B42" s="4"/>
      <c r="C42" s="4"/>
      <c r="D42" s="4"/>
      <c r="E42" s="4"/>
      <c r="F42" s="4"/>
    </row>
    <row r="43" customFormat="false" ht="15" hidden="false" customHeight="false" outlineLevel="0" collapsed="false">
      <c r="A43" s="31"/>
      <c r="B43" s="4"/>
      <c r="C43" s="4"/>
      <c r="D43" s="4"/>
      <c r="E43" s="4"/>
      <c r="F43" s="4"/>
    </row>
    <row r="44" customFormat="false" ht="15" hidden="false" customHeight="false" outlineLevel="0" collapsed="false">
      <c r="A44" s="31"/>
      <c r="B44" s="4"/>
      <c r="C44" s="4"/>
      <c r="D44" s="4"/>
      <c r="E44" s="4"/>
      <c r="F44" s="4"/>
    </row>
    <row r="45" customFormat="false" ht="15" hidden="false" customHeight="false" outlineLevel="0" collapsed="false">
      <c r="A45" s="31"/>
      <c r="B45" s="4"/>
      <c r="C45" s="4"/>
      <c r="D45" s="4"/>
      <c r="E45" s="4"/>
      <c r="F45" s="4"/>
    </row>
    <row r="46" customFormat="false" ht="15" hidden="false" customHeight="false" outlineLevel="0" collapsed="false">
      <c r="A46" s="31"/>
      <c r="B46" s="4"/>
      <c r="C46" s="4"/>
      <c r="D46" s="4"/>
      <c r="E46" s="4"/>
      <c r="F46" s="4"/>
    </row>
    <row r="47" customFormat="false" ht="15" hidden="false" customHeight="false" outlineLevel="0" collapsed="false">
      <c r="A47" s="31"/>
      <c r="B47" s="4"/>
      <c r="C47" s="4"/>
      <c r="D47" s="4"/>
      <c r="E47" s="4"/>
      <c r="F47" s="4"/>
    </row>
    <row r="48" customFormat="false" ht="15" hidden="false" customHeight="false" outlineLevel="0" collapsed="false">
      <c r="A48" s="31"/>
      <c r="B48" s="4"/>
      <c r="C48" s="4"/>
      <c r="D48" s="4"/>
      <c r="E48" s="4"/>
      <c r="F48" s="4"/>
    </row>
    <row r="49" customFormat="false" ht="15" hidden="false" customHeight="false" outlineLevel="0" collapsed="false">
      <c r="A49" s="31"/>
      <c r="B49" s="4"/>
      <c r="C49" s="4"/>
      <c r="D49" s="4"/>
      <c r="E49" s="4"/>
      <c r="F49" s="4"/>
    </row>
    <row r="50" customFormat="false" ht="15" hidden="false" customHeight="false" outlineLevel="0" collapsed="false">
      <c r="A50" s="31"/>
      <c r="B50" s="4"/>
      <c r="C50" s="4"/>
      <c r="D50" s="4"/>
      <c r="E50" s="4"/>
      <c r="F50" s="4"/>
    </row>
    <row r="51" customFormat="false" ht="15" hidden="false" customHeight="false" outlineLevel="0" collapsed="false">
      <c r="A51" s="31"/>
      <c r="B51" s="4"/>
      <c r="C51" s="4"/>
      <c r="D51" s="4"/>
      <c r="E51" s="4"/>
      <c r="F51" s="4"/>
    </row>
    <row r="52" customFormat="false" ht="15" hidden="false" customHeight="false" outlineLevel="0" collapsed="false">
      <c r="A52" s="31"/>
      <c r="B52" s="4"/>
      <c r="C52" s="4"/>
      <c r="D52" s="4"/>
      <c r="E52" s="4"/>
      <c r="F52" s="4"/>
    </row>
    <row r="53" customFormat="false" ht="15" hidden="false" customHeight="false" outlineLevel="0" collapsed="false">
      <c r="A53" s="31"/>
      <c r="B53" s="4"/>
      <c r="C53" s="4"/>
      <c r="D53" s="4"/>
      <c r="E53" s="4"/>
      <c r="F53" s="4"/>
    </row>
    <row r="54" customFormat="false" ht="15" hidden="false" customHeight="false" outlineLevel="0" collapsed="false">
      <c r="A54" s="31"/>
      <c r="B54" s="4"/>
      <c r="C54" s="4"/>
      <c r="D54" s="4"/>
      <c r="E54" s="4"/>
      <c r="F54" s="4"/>
    </row>
    <row r="55" customFormat="false" ht="15" hidden="false" customHeight="false" outlineLevel="0" collapsed="false">
      <c r="A55" s="31"/>
      <c r="B55" s="4"/>
      <c r="C55" s="4"/>
      <c r="D55" s="4"/>
      <c r="E55" s="4"/>
      <c r="F55" s="4"/>
    </row>
    <row r="56" customFormat="false" ht="15" hidden="false" customHeight="false" outlineLevel="0" collapsed="false">
      <c r="A56" s="31"/>
      <c r="B56" s="4"/>
      <c r="C56" s="4"/>
      <c r="D56" s="4"/>
      <c r="E56" s="4"/>
      <c r="F56" s="4"/>
    </row>
    <row r="57" customFormat="false" ht="15" hidden="false" customHeight="false" outlineLevel="0" collapsed="false">
      <c r="A57" s="31"/>
      <c r="B57" s="4"/>
      <c r="C57" s="4"/>
      <c r="D57" s="4"/>
      <c r="E57" s="4"/>
      <c r="F57" s="4"/>
    </row>
    <row r="58" customFormat="false" ht="15" hidden="false" customHeight="false" outlineLevel="0" collapsed="false">
      <c r="A58" s="31"/>
      <c r="B58" s="4"/>
      <c r="C58" s="4"/>
      <c r="D58" s="4"/>
      <c r="E58" s="4"/>
      <c r="F58" s="4"/>
    </row>
    <row r="59" customFormat="false" ht="15" hidden="false" customHeight="false" outlineLevel="0" collapsed="false">
      <c r="A59" s="31"/>
      <c r="B59" s="4"/>
      <c r="C59" s="4"/>
      <c r="D59" s="4"/>
      <c r="E59" s="4"/>
      <c r="F5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2026-09-15T11:51:35Z</dcterms:created>
  <dc:creator>openpyxl</dc:creator>
  <dc:description/>
  <dc:language>en-US</dc:language>
  <cp:lastModifiedBy/>
  <dcterms:modified xsi:type="dcterms:W3CDTF">2026-09-15T11:51:36Z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