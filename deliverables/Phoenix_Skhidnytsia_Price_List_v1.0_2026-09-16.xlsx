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айс" sheetId="1" state="visible" r:id="rId3"/>
    <sheet name="Калькулятор" sheetId="2" state="visible" r:id="rId4"/>
    <sheet name="Керування прайсом" sheetId="3" state="visible" r:id="rId5"/>
    <sheet name="Контроль і порівняння" sheetId="4" state="visible" r:id="rId6"/>
    <sheet name="Моделювання" sheetId="5" state="visible" r:id="rId7"/>
    <sheet name="Базові ціни" sheetId="6" state="visible" r:id="rId8"/>
    <sheet name="Довідник категорій" sheetId="7" state="visible" r:id="rId9"/>
    <sheet name="Додаткові послуги" sheetId="8" state="visible" r:id="rId10"/>
    <sheet name="Журнал змін" sheetId="9" state="visible" r:id="rId11"/>
  </sheets>
  <definedNames>
    <definedName function="false" hidden="false" localSheetId="1" name="_xlnm.Print_Area" vbProcedure="false">Калькулятор!$A$1:$F$29</definedName>
    <definedName function="false" hidden="false" localSheetId="3" name="_xlnm.Print_Area" vbProcedure="false">'Контроль і порівняння'!$A$1:$I$18</definedName>
    <definedName function="false" hidden="false" localSheetId="3" name="_xlnm.Print_Titles" vbProcedure="false">'Контроль і порівняння'!$1:$6</definedName>
    <definedName function="false" hidden="false" localSheetId="0" name="_xlnm.Print_Area" vbProcedure="false">Прайс!$A$1:$T$20</definedName>
    <definedName function="false" hidden="false" localSheetId="0" name="_xlnm.Print_Titles" vbProcedure="false">Прайс!$1:$8</definedName>
    <definedName function="false" hidden="false" name="SPA_РІВЕНЬ" vbProcedure="false">'Керування прайсом'!$H$65:$H$66</definedName>
    <definedName function="false" hidden="false" name="SPA_ЦІНИ" vbProcedure="false">'Керування прайсом'!$I$65:$GZ$66</definedName>
    <definedName function="false" hidden="false" name="БАЗА_КАТ" vbProcedure="false">'Керування прайсом'!$H$12:$H$23</definedName>
    <definedName function="false" hidden="false" name="БАЗА_ЦІНИ" vbProcedure="false">'Керування прайсом'!$I$12:$GZ$23</definedName>
    <definedName function="false" hidden="false" name="ДОВ_BOOKING" vbProcedure="false">'Довідник категорій'!$C$5:$C$16</definedName>
    <definedName function="false" hidden="false" name="ДОВ_SPA" vbProcedure="false">'Довідник категорій'!$I$5:$I$16</definedName>
    <definedName function="false" hidden="false" name="ДОВ_ВКЛ" vbProcedure="false">'Довідник категорій'!$E$5:$E$16</definedName>
    <definedName function="false" hidden="false" name="ДОВ_ДОПЛ_ДІТ" vbProcedure="false">'Довідник категорій'!$H$5:$H$16</definedName>
    <definedName function="false" hidden="false" name="ДОВ_ДОПЛ_ДОР" vbProcedure="false">'Довідник категорій'!$G$5:$G$16</definedName>
    <definedName function="false" hidden="false" name="ДОВ_КОД" vbProcedure="false">'Довідник категорій'!$A$5:$A$16</definedName>
    <definedName function="false" hidden="false" name="ДОВ_МІН" vbProcedure="false">'Довідник категорій'!$D$5:$D$16</definedName>
    <definedName function="false" hidden="false" name="ДОВ_МАКС" vbProcedure="false">'Довідник категорій'!$F$5:$F$16</definedName>
    <definedName function="false" hidden="false" name="ЕТАЛОН_ПЛ" vbProcedure="false">'Керування прайсом'!$G$9</definedName>
    <definedName function="false" hidden="false" name="ЗНИЖКА_BBSPA" vbProcedure="false">'Керування прайсом'!$G$7</definedName>
    <definedName function="false" hidden="false" name="КАТЕГОРІЇ" vbProcedure="false">'Довідник категорій'!$B$5:$B$16</definedName>
    <definedName function="false" hidden="false" name="ОКРУГЛЕННЯ" vbProcedure="false">'Керування прайсом'!$G$6</definedName>
    <definedName function="false" hidden="false" name="ПАКЕТИ_КЛЮЧ" vbProcedure="false">'Керування прайсом'!$H$58:$H$61</definedName>
    <definedName function="false" hidden="false" name="ПАКЕТИ_ЦІНИ" vbProcedure="false">'Керування прайсом'!$I$58:$GZ$61</definedName>
    <definedName function="false" hidden="false" name="ПЕРЕМИКАЧІ" vbProcedure="false">'Керування прайсом'!$I$70:$GZ$72</definedName>
    <definedName function="false" hidden="false" name="ПЕРШИЙ_ВИХІДНИЙ" vbProcedure="false">'Керування прайсом'!$G$10</definedName>
    <definedName function="false" hidden="false" name="ПЛ_ДАТА_З" vbProcedure="false">'Керування прайсом'!$B$6:$B$105</definedName>
    <definedName function="false" hidden="false" name="ПЛ_ДАТА_ПО" vbProcedure="false">'Керування прайсом'!$C$6:$C$105</definedName>
    <definedName function="false" hidden="false" name="ПЛ_РЯДОК" vbProcedure="false">'Керування прайсом'!$I$2:$GZ$2</definedName>
    <definedName function="false" hidden="false" name="ПЛ_СТАТУС" vbProcedure="false">'Керування прайсом'!$D$6:$D$105</definedName>
    <definedName function="false" hidden="false" name="ПРАЙС_ЛИСТИ" vbProcedure="false">'Керування прайсом'!$A$6:$A$105</definedName>
    <definedName function="false" hidden="false" name="СПИСОК_SPA" vbProcedure="false">'Керування прайсом'!$H$65:$H$66</definedName>
    <definedName function="false" hidden="false" name="СПИСОК_ДНІВ" vbProcedure="false">'Керування прайсом'!$F$32:$F$33</definedName>
    <definedName function="false" hidden="false" name="СПИСОК_ПАКЕТІВ" vbProcedure="false">'Керування прайсом'!$F$25:$F$29</definedName>
    <definedName function="false" hidden="false" name="СПИСОК_СТАТУСІВ" vbProcedure="false">'Керування прайсом'!$F$36:$F$38</definedName>
    <definedName function="false" hidden="false" name="ТАРИФИ_ЗНИЖКИ" vbProcedure="false">'Керування прайсом'!$G$14:$G$21</definedName>
    <definedName function="false" hidden="false" name="ТАРИФИ_НАЗВИ" vbProcedure="false">'Керування прайсом'!$F$14:$F$21</definedName>
    <definedName function="false" hidden="false" name="ТВАРИНИ" vbProcedure="false">'Керування прайсом'!$G$8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<sst xmlns="http://schemas.openxmlformats.org/spreadsheetml/2006/main" count="1565" uniqueCount="245">
  <si>
    <t xml:space="preserve">ТЕХНІЧНІ ДАНІ — НЕ РЕДАГУВАТИ</t>
  </si>
  <si>
    <t xml:space="preserve">Активний прайс-лист</t>
  </si>
  <si>
    <t xml:space="preserve">0сінь 26 0-10%</t>
  </si>
  <si>
    <t xml:space="preserve">колонка прайс-листа</t>
  </si>
  <si>
    <t xml:space="preserve">Тариф (знижка)</t>
  </si>
  <si>
    <t xml:space="preserve">Rack Rate</t>
  </si>
  <si>
    <t xml:space="preserve">знижка тарифу</t>
  </si>
  <si>
    <t xml:space="preserve">Пакет</t>
  </si>
  <si>
    <t xml:space="preserve">RO</t>
  </si>
  <si>
    <t xml:space="preserve">знижка на проживання</t>
  </si>
  <si>
    <t xml:space="preserve">перемикач: пакет</t>
  </si>
  <si>
    <t xml:space="preserve">БУДНІ — кількість гостей</t>
  </si>
  <si>
    <t xml:space="preserve">ВИХІДНІ — кількість гостей</t>
  </si>
  <si>
    <t xml:space="preserve">перемикач: SPA</t>
  </si>
  <si>
    <t xml:space="preserve">Категорія</t>
  </si>
  <si>
    <t xml:space="preserve">Назва на Booking</t>
  </si>
  <si>
    <t xml:space="preserve">Код</t>
  </si>
  <si>
    <t xml:space="preserve">потрібен пакет</t>
  </si>
  <si>
    <t xml:space="preserve">потрібен SPA</t>
  </si>
  <si>
    <t xml:space="preserve">ключ пакета</t>
  </si>
  <si>
    <t xml:space="preserve">період (текст)</t>
  </si>
  <si>
    <t xml:space="preserve">рядок прайс-листа</t>
  </si>
  <si>
    <t xml:space="preserve">заповнених баз</t>
  </si>
  <si>
    <t xml:space="preserve">КАЛЬКУЛЯТОР ВАРТОСТІ БРОНЮВАННЯ — PHOENIX СХІДНИЦЯ</t>
  </si>
  <si>
    <t xml:space="preserve">Заповнюйте лише жовті клітинки. Рахує тією самою формулою, що й лист «Прайс», але додатково розділяє дорослих і дітей: базову місткість заповнюють спершу дорослі, решта гостей іде як додаткові місця. Поле «Дата заїзду» необовʼязкове — воно лише підказує прайс-лист і тип дня.</t>
  </si>
  <si>
    <t xml:space="preserve">ВХІДНІ ПАРАМЕТРИ</t>
  </si>
  <si>
    <t xml:space="preserve">РОЗРАХУНОК</t>
  </si>
  <si>
    <t xml:space="preserve">Статус</t>
  </si>
  <si>
    <t xml:space="preserve">Усього гостей</t>
  </si>
  <si>
    <t xml:space="preserve">Classic Chalet</t>
  </si>
  <si>
    <t xml:space="preserve">Мін. гостей</t>
  </si>
  <si>
    <t xml:space="preserve">Тип дня</t>
  </si>
  <si>
    <t xml:space="preserve">Будні</t>
  </si>
  <si>
    <t xml:space="preserve">Включено у базову ціну</t>
  </si>
  <si>
    <t xml:space="preserve">Дорослих</t>
  </si>
  <si>
    <t xml:space="preserve">Макс. гостей</t>
  </si>
  <si>
    <t xml:space="preserve">Дітей</t>
  </si>
  <si>
    <t xml:space="preserve">RO база за типом дня, грн</t>
  </si>
  <si>
    <t xml:space="preserve">Додаткових дорослих</t>
  </si>
  <si>
    <t xml:space="preserve">Кількість тварин</t>
  </si>
  <si>
    <t xml:space="preserve">Додаткових дітей</t>
  </si>
  <si>
    <t xml:space="preserve">Кількість ночей</t>
  </si>
  <si>
    <t xml:space="preserve">Доплата за додаткові місця, грн</t>
  </si>
  <si>
    <t xml:space="preserve">Дата заїзду (необовʼязково)</t>
  </si>
  <si>
    <t xml:space="preserve">Знижка на проживання</t>
  </si>
  <si>
    <t xml:space="preserve">Перемикач: знижка на пакет</t>
  </si>
  <si>
    <t xml:space="preserve">Перемикач: знижка на SPA</t>
  </si>
  <si>
    <t xml:space="preserve">Пакет, дорослий, грн</t>
  </si>
  <si>
    <t xml:space="preserve">Пакет, дитина, грн</t>
  </si>
  <si>
    <t xml:space="preserve">Фіксований SPA-візит, грн</t>
  </si>
  <si>
    <t xml:space="preserve">Проживання з тваринами, грн</t>
  </si>
  <si>
    <t xml:space="preserve">Проживання за базовою місткістю до знижки, грн</t>
  </si>
  <si>
    <t xml:space="preserve">ЦІНА ЗА НІЧ, грн</t>
  </si>
  <si>
    <t xml:space="preserve">ВАРТІСТЬ ПРОЖИВАННЯ, грн</t>
  </si>
  <si>
    <t xml:space="preserve">ПІДКАЗКА ЗА ДАТОЮ ЗАЇЗДУ</t>
  </si>
  <si>
    <t xml:space="preserve">Прайс-лист, що покриває дату</t>
  </si>
  <si>
    <t xml:space="preserve">Тип дня за датою</t>
  </si>
  <si>
    <t xml:space="preserve">Підказка не змінює розрахунок — прайс-лист і тип дня обираються вручну вище.</t>
  </si>
  <si>
    <t xml:space="preserve">КЕРУВАННЯ ПРАЙСОМ — PHOENIX СХІДНИЦЯ</t>
  </si>
  <si>
    <t xml:space="preserve">Три кроки: 1) додайте прайс-лист у наступному вільному рядку зліва; 2) заповніть його двоколонковий блок праворуч (будні / вихідні); 3) перевірте результат у листі «Прайс». Жовті клітинки — ввід.</t>
  </si>
  <si>
    <t xml:space="preserve">технічний рядок — не редагувати</t>
  </si>
  <si>
    <t xml:space="preserve">1. ПРАЙС-ЛИСТИ / ПЕРІОДИ</t>
  </si>
  <si>
    <t xml:space="preserve">2. ГЛОБАЛЬНІ ПАРАМЕТРИ</t>
  </si>
  <si>
    <t xml:space="preserve">Прайс-лист</t>
  </si>
  <si>
    <t xml:space="preserve">Дата з</t>
  </si>
  <si>
    <t xml:space="preserve">Дата по</t>
  </si>
  <si>
    <t xml:space="preserve">Примітка / оновлено</t>
  </si>
  <si>
    <t xml:space="preserve">Активний прайс-лист (показується у «Прайс»)</t>
  </si>
  <si>
    <t xml:space="preserve">ПРАЙС-ЛИСТ</t>
  </si>
  <si>
    <t xml:space="preserve">Осінь 2025</t>
  </si>
  <si>
    <t xml:space="preserve">Неактивний</t>
  </si>
  <si>
    <t xml:space="preserve">Крок округлення, грн</t>
  </si>
  <si>
    <t xml:space="preserve">Період дії</t>
  </si>
  <si>
    <t xml:space="preserve">Осінь 2026 Базовий Прайс</t>
  </si>
  <si>
    <t xml:space="preserve">Знижка на проживання для пакета BBSPA</t>
  </si>
  <si>
    <t xml:space="preserve">Активний</t>
  </si>
  <si>
    <t xml:space="preserve">Проживання з тваринами, грн / ніч</t>
  </si>
  <si>
    <t xml:space="preserve">Оновлено</t>
  </si>
  <si>
    <t xml:space="preserve">Осінь 26  канікули 0-10%</t>
  </si>
  <si>
    <t xml:space="preserve">до 15.09 та  26.10 -01.11</t>
  </si>
  <si>
    <t xml:space="preserve">Еталонний прайс-лист для Δ (варіант B)</t>
  </si>
  <si>
    <t xml:space="preserve">0сінь 26 10-20%</t>
  </si>
  <si>
    <t xml:space="preserve">Вихідні починаються з дня тижня (1=Пн … 7=Нд)</t>
  </si>
  <si>
    <t xml:space="preserve">БАЗОВІ RO-ЦІНИ — ЗА БАЗОВОЮ МІСТКІСТЮ КАТЕГОРІЇ</t>
  </si>
  <si>
    <t xml:space="preserve">Осінь 26  канікули 10-20%</t>
  </si>
  <si>
    <t xml:space="preserve">Доплата за додаткове місце задається по кожній категорії у «Довіднику категорій».</t>
  </si>
  <si>
    <t xml:space="preserve">RO будні</t>
  </si>
  <si>
    <t xml:space="preserve">RO вихідні</t>
  </si>
  <si>
    <t xml:space="preserve">0сінь 26 20-30%</t>
  </si>
  <si>
    <t xml:space="preserve">3. ТАРИФИ — ЗНИЖКИ НА ПРОЖИВАННЯ</t>
  </si>
  <si>
    <t xml:space="preserve">Осінь 26  канікули 20-30%</t>
  </si>
  <si>
    <t xml:space="preserve">Тариф</t>
  </si>
  <si>
    <t xml:space="preserve">Знижка</t>
  </si>
  <si>
    <t xml:space="preserve">0сінь 26 30-40%</t>
  </si>
  <si>
    <t xml:space="preserve">Осінь 26  канікули 30-40%</t>
  </si>
  <si>
    <t xml:space="preserve">Раннє бронювання -10%</t>
  </si>
  <si>
    <t xml:space="preserve">0сінь 26 40-50%</t>
  </si>
  <si>
    <t xml:space="preserve">NON REF -20%</t>
  </si>
  <si>
    <t xml:space="preserve">Осінь 26  канікули 40-50%</t>
  </si>
  <si>
    <t xml:space="preserve">HAPPY -15%</t>
  </si>
  <si>
    <t xml:space="preserve">Військовий -30%</t>
  </si>
  <si>
    <t xml:space="preserve">Інвестор -70%</t>
  </si>
  <si>
    <t xml:space="preserve">4. ДОВІДНИКИ ДЛЯ ВИПАДАЮЧИХ СПИСКІВ</t>
  </si>
  <si>
    <t xml:space="preserve">Пакети</t>
  </si>
  <si>
    <t xml:space="preserve">Δ МІЖ КАТЕГОРІЯМИ  (варіант A)</t>
  </si>
  <si>
    <t xml:space="preserve">BB</t>
  </si>
  <si>
    <t xml:space="preserve">Порівняння з попередньою категорією</t>
  </si>
  <si>
    <t xml:space="preserve">Δ грн</t>
  </si>
  <si>
    <t xml:space="preserve">Δ %</t>
  </si>
  <si>
    <t xml:space="preserve">BBSPA</t>
  </si>
  <si>
    <t xml:space="preserve">ROSPA</t>
  </si>
  <si>
    <t xml:space="preserve">ROSPABB</t>
  </si>
  <si>
    <t xml:space="preserve">Типи дня</t>
  </si>
  <si>
    <t xml:space="preserve">Вихідні</t>
  </si>
  <si>
    <t xml:space="preserve">Статуси</t>
  </si>
  <si>
    <t xml:space="preserve">Архів</t>
  </si>
  <si>
    <t xml:space="preserve">Δ ДО ЕТАЛОННОГО ПРАЙС-ЛИСТА  (варіант B)</t>
  </si>
  <si>
    <t xml:space="preserve">ПАКЕТИ BB / BBSPA — ЗА 1 ГОСТЯ</t>
  </si>
  <si>
    <t xml:space="preserve">Пакет / тип дня</t>
  </si>
  <si>
    <t xml:space="preserve">Дорослий, грн</t>
  </si>
  <si>
    <t xml:space="preserve">Дитина, грн</t>
  </si>
  <si>
    <t xml:space="preserve">BB|Будні</t>
  </si>
  <si>
    <t xml:space="preserve">BB|Вихідні</t>
  </si>
  <si>
    <t xml:space="preserve">BBSPA|Будні</t>
  </si>
  <si>
    <t xml:space="preserve">BBSPA|Вихідні</t>
  </si>
  <si>
    <t xml:space="preserve">ФІКСОВАНИЙ SPA-ВІЗИТ ДЛЯ ROSPA / ROSPABB — 1 ОД. НА ОБ'ЄКТ</t>
  </si>
  <si>
    <t xml:space="preserve">SPA-рівень</t>
  </si>
  <si>
    <t xml:space="preserve">Будні, грн</t>
  </si>
  <si>
    <t xml:space="preserve">Вихідні, грн</t>
  </si>
  <si>
    <t xml:space="preserve">Малий об'єкт</t>
  </si>
  <si>
    <t xml:space="preserve">Великий об’єкт</t>
  </si>
  <si>
    <t xml:space="preserve">ПЕРЕМИКАЧІ ЗНИЖКИ   (1 = знижка тарифу діє, 0 = не діє)</t>
  </si>
  <si>
    <t xml:space="preserve">На що діє знижка тарифу</t>
  </si>
  <si>
    <t xml:space="preserve">1 / 0</t>
  </si>
  <si>
    <t xml:space="preserve">—</t>
  </si>
  <si>
    <t xml:space="preserve">Знижка на пакет BB (сніданки)</t>
  </si>
  <si>
    <t xml:space="preserve">Знижка на пакет BBSPA</t>
  </si>
  <si>
    <t xml:space="preserve">Знижка на фіксований SPA-візит (ROSPA / ROSPABB)</t>
  </si>
  <si>
    <t xml:space="preserve">Логіка: для кожної категорії задається власна RO-ціна окремо на будні та вихідні — множників немає, бо всі категорії базові. Крок округлення (G6) застосовується до базової ціни після знижки; доплата за кожне додаткове місце понад базову місткість береться з «Довідника категорій», множиться на знижку і не округлюється. BB / BBSPA додають пакет за кожного гостя. ROSPA додає один фіксований SPA-візит на обʼєкт, ROSPABB — сніданки за кількістю гостей + один SPA-візит.</t>
  </si>
  <si>
    <t xml:space="preserve">ПОРІВНЯННЯ ТА КОНТРОЛЬ ПРАЙС-ЛИСТІВ — PHOENIX СХІДНИЦЯ</t>
  </si>
  <si>
    <t xml:space="preserve">ТЕХНІЧНІ ДАНІ</t>
  </si>
  <si>
    <t xml:space="preserve">Прайс-лист 1</t>
  </si>
  <si>
    <t xml:space="preserve">Тариф 1</t>
  </si>
  <si>
    <t xml:space="preserve">Прайс-лист 2</t>
  </si>
  <si>
    <t xml:space="preserve">Тариф 2</t>
  </si>
  <si>
    <t xml:space="preserve">КОНТРОЛЬ АКТИВНОГО ПРАЙС-ЛИСТА</t>
  </si>
  <si>
    <t xml:space="preserve">Незаповнені базові RO-ціни (заповнених категорій)</t>
  </si>
  <si>
    <t xml:space="preserve">Порівняння показує ціну за одну ніч без тварин — для буднього і вихідного дня одночасно. Значення поза місткістю категорії не показуються.</t>
  </si>
  <si>
    <t xml:space="preserve">Незаповнені пакети BB</t>
  </si>
  <si>
    <t xml:space="preserve">Прайс 1
будні</t>
  </si>
  <si>
    <t xml:space="preserve">Прайс 1
вихідні</t>
  </si>
  <si>
    <t xml:space="preserve">Прайс 2
будні</t>
  </si>
  <si>
    <t xml:space="preserve">Прайс 2
вихідні</t>
  </si>
  <si>
    <t xml:space="preserve">Δ грн
будні</t>
  </si>
  <si>
    <t xml:space="preserve">Δ грн
вихідні</t>
  </si>
  <si>
    <t xml:space="preserve">Δ %
будні</t>
  </si>
  <si>
    <t xml:space="preserve">Δ %
вихідні</t>
  </si>
  <si>
    <t xml:space="preserve">Дублікати назв прайс-листів</t>
  </si>
  <si>
    <t xml:space="preserve">Пакет BBSPA заповнено?</t>
  </si>
  <si>
    <t xml:space="preserve">Фіксований SPA заповнено? (ROSPA / ROSPABB)</t>
  </si>
  <si>
    <t xml:space="preserve">Прайс-листів у моделі</t>
  </si>
  <si>
    <t xml:space="preserve">Категорій у моделі</t>
  </si>
  <si>
    <t xml:space="preserve">BBSPA і фіксований SPA не входять до чек-листа: пакети можуть бути свідомо не задіяні у сезоні.</t>
  </si>
  <si>
    <t xml:space="preserve">МОДЕЛЮВАННЯ ЦІН — ДВА СЦЕНАРІЇ У ПОРІВНЯННІ</t>
  </si>
  <si>
    <t xml:space="preserve">Прайс-лист-основа</t>
  </si>
  <si>
    <t xml:space="preserve">Жовті колонки — ввід базових RO-цін. Сценарії нічого не змінюють у діючому прайсі: щоб застосувати сценарій, скопіюйте його ціни у блок відповідного прайс-листа на «Керування прайсом». Ціни показані за базовою місткістю категорії, без пакетів.</t>
  </si>
  <si>
    <t xml:space="preserve">ПОТОЧНО</t>
  </si>
  <si>
    <t xml:space="preserve">СЦЕНАРІЙ 1</t>
  </si>
  <si>
    <t xml:space="preserve">СЦЕНАРІЙ 2</t>
  </si>
  <si>
    <t xml:space="preserve">СЦЕНАРІЙ 2 vs 1</t>
  </si>
  <si>
    <t xml:space="preserve">Δ грн буд.</t>
  </si>
  <si>
    <t xml:space="preserve">Δ % буд.</t>
  </si>
  <si>
    <t xml:space="preserve">БАЗОВІ ЦІНИ — ПЕРЕГЛЯД АКТИВНОГО ПРАЙСУ</t>
  </si>
  <si>
    <t xml:space="preserve">Усі категорії Східниці — базові: кожна має власну RO-ціну на будні та вихідні. Редагування — на «Керування прайсом».</t>
  </si>
  <si>
    <t xml:space="preserve">RO будні, грн</t>
  </si>
  <si>
    <t xml:space="preserve">RO вихідні, грн</t>
  </si>
  <si>
    <t xml:space="preserve">Δ буд.→вих., грн</t>
  </si>
  <si>
    <t xml:space="preserve">Включено у базову</t>
  </si>
  <si>
    <t xml:space="preserve">ДОВІДНИК КАТЕГОРІЙ — PHOENIX СХІДНИЦЯ</t>
  </si>
  <si>
    <t xml:space="preserve">У щоденній роботі цей лист не редагують. Він задає місткість, базову місткість (скільки гостей уже входить у ціну), доплату за додаткове місце та SPA-рівень. Зміна «Макс. гостей» або «Включено у базову» одразу змінює сітку у «Прайс», «Калькулятор» і «Контроль і порівняння». Вільні рядки нижче — під нові категорії.</t>
  </si>
  <si>
    <t xml:space="preserve">Доплата: дорослий, грн</t>
  </si>
  <si>
    <t xml:space="preserve">Доплата: дитина, грн</t>
  </si>
  <si>
    <t xml:space="preserve">SPA-рівень для ROSPA / ROSPABB</t>
  </si>
  <si>
    <t xml:space="preserve">CH-CL</t>
  </si>
  <si>
    <t xml:space="preserve">Шале з 1 спальнею</t>
  </si>
  <si>
    <t xml:space="preserve">OK</t>
  </si>
  <si>
    <t xml:space="preserve">CH-FV</t>
  </si>
  <si>
    <t xml:space="preserve">Forest View Chalet</t>
  </si>
  <si>
    <t xml:space="preserve">Вілла Делюкс</t>
  </si>
  <si>
    <t xml:space="preserve">CH-PR</t>
  </si>
  <si>
    <t xml:space="preserve">Premium Chalet</t>
  </si>
  <si>
    <t xml:space="preserve">Шале з 3 спальнями</t>
  </si>
  <si>
    <t xml:space="preserve">ДОДАТКОВІ ПОСЛУГИ — ІНФОРМАЦІЙНО</t>
  </si>
  <si>
    <t xml:space="preserve">Цей лист НЕ бере участі в розрахунку прайсу. Ціни сніданків і SPA, які реально рахує система, задаються на «Керування прайсом» у блоках «ПАКЕТИ BB / BBSPA» та «ФІКСОВАНИЙ SPA-ВІЗИТ». Тут — довідкові умови продажу та взаєморозрахунків.</t>
  </si>
  <si>
    <t xml:space="preserve">*Продаж від готелю </t>
  </si>
  <si>
    <t xml:space="preserve">- продаж, від готелю по тарифах BB/ BBSPA</t>
  </si>
  <si>
    <t xml:space="preserve">**Купівля</t>
  </si>
  <si>
    <t xml:space="preserve">- ціна при взаєморозрахунку між готель - субєкт </t>
  </si>
  <si>
    <t xml:space="preserve">*Стадартна вартість</t>
  </si>
  <si>
    <t xml:space="preserve">- ціна за якою здійнює продаж безпосередньо юніт</t>
  </si>
  <si>
    <t xml:space="preserve">Податкове навантаження****</t>
  </si>
  <si>
    <t xml:space="preserve">- сума податків або %, яка лягає на готель при взаєморозрахунку</t>
  </si>
  <si>
    <t xml:space="preserve">Додаткові послуги  Східниця BBSPA</t>
  </si>
  <si>
    <t xml:space="preserve">Назва послуги </t>
  </si>
  <si>
    <t xml:space="preserve">Стандартна вартість</t>
  </si>
  <si>
    <t xml:space="preserve">Продаж від готелю**</t>
  </si>
  <si>
    <t xml:space="preserve">Купівля ***</t>
  </si>
  <si>
    <t xml:space="preserve">Сніданок дорослий</t>
  </si>
  <si>
    <t xml:space="preserve">Сніданок дитячий </t>
  </si>
  <si>
    <t xml:space="preserve">Додаткове місце дор.</t>
  </si>
  <si>
    <t xml:space="preserve">-</t>
  </si>
  <si>
    <t xml:space="preserve">Додаткове місце дит.</t>
  </si>
  <si>
    <t xml:space="preserve">Проживання із собакою</t>
  </si>
  <si>
    <t xml:space="preserve">СПА візит дорослий  (будній)</t>
  </si>
  <si>
    <t xml:space="preserve">СПА візит дитячий  (вихідний)</t>
  </si>
  <si>
    <t xml:space="preserve">СПА візит дорослий (будній)</t>
  </si>
  <si>
    <t xml:space="preserve">Термін дії цін  - до 31.05.2026</t>
  </si>
  <si>
    <t xml:space="preserve">Додаткові послуги </t>
  </si>
  <si>
    <t xml:space="preserve">3 Години </t>
  </si>
  <si>
    <t xml:space="preserve">СПА візит дитячий  (будній)</t>
  </si>
  <si>
    <t xml:space="preserve">СПА візит дорослий (Вихідний)</t>
  </si>
  <si>
    <t xml:space="preserve">Термін дії цін  - до 31.08.2026 </t>
  </si>
  <si>
    <t xml:space="preserve">Додаткові послуги  BB/BBSPA</t>
  </si>
  <si>
    <t xml:space="preserve">Термін дії цін  - до 31.11.2026 </t>
  </si>
  <si>
    <t xml:space="preserve">ЖУРНАЛ ЗМІН</t>
  </si>
  <si>
    <t xml:space="preserve">Заповнюється вручну. Правило: діючий прайс-лист не перезаписуємо — переводимо у статус «Архів» і створюємо новий рядок на «Керування прайсом». Тоді порівняння рік/рік лишається можливим.</t>
  </si>
  <si>
    <t xml:space="preserve">Дата</t>
  </si>
  <si>
    <t xml:space="preserve">Автор</t>
  </si>
  <si>
    <t xml:space="preserve">Лист</t>
  </si>
  <si>
    <t xml:space="preserve">Що змінено</t>
  </si>
  <si>
    <t xml:space="preserve">Було</t>
  </si>
  <si>
    <t xml:space="preserve">Стало</t>
  </si>
  <si>
    <t xml:space="preserve">Claude (перебудова)</t>
  </si>
  <si>
    <t xml:space="preserve">Довідник категорій</t>
  </si>
  <si>
    <t xml:space="preserve">Premium Chalet: макс. гостей — узгоджено «7, 8 дорослий по додатковому місцю»</t>
  </si>
  <si>
    <t xml:space="preserve">7</t>
  </si>
  <si>
    <t xml:space="preserve">8</t>
  </si>
  <si>
    <t xml:space="preserve">Керування прайсом</t>
  </si>
  <si>
    <t xml:space="preserve">Додано пакети ROSPA / ROSPABB: блок фіксованого SPA-візиту (малий / великий обʼєкт × будні / вихідні)</t>
  </si>
  <si>
    <t xml:space="preserve">порожній блок</t>
  </si>
  <si>
    <t xml:space="preserve">Доплату за додаткове місце перенесено з глобальних параметрів у «Довідник категорій» (по категоріях)</t>
  </si>
  <si>
    <t xml:space="preserve">глобальна</t>
  </si>
  <si>
    <t xml:space="preserve">по категорії</t>
  </si>
  <si>
    <t xml:space="preserve">Усі листи</t>
  </si>
  <si>
    <t xml:space="preserve">Структуру приведено до прайс-листа Буковеля v2.2; множників категорій немає — усі категорії базові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</si>
</sst>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"/>
    <numFmt numFmtId="167" formatCode="#,##0"/>
    <numFmt numFmtId="168" formatCode="dd\.mm\.yyyy"/>
    <numFmt numFmtId="169" formatCode="0%"/>
    <numFmt numFmtId="170" formatCode="#,##0.00"/>
    <numFmt numFmtId="171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0"/>
      <color rgb="FF6B777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0"/>
      <color rgb="FF2A3B33"/>
      <name val="Calibri"/>
      <family val="0"/>
      <charset val="1"/>
    </font>
    <font>
      <sz val="9"/>
      <color rgb="FF6B7771"/>
      <name val="Calibri"/>
      <family val="0"/>
      <charset val="1"/>
    </font>
    <font>
      <i val="true"/>
      <sz val="9"/>
      <color rgb="FF9AA6A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4E3D"/>
      <name val="Calibri"/>
      <family val="0"/>
      <charset val="1"/>
    </font>
    <font>
      <b val="true"/>
      <sz val="12"/>
      <color rgb="FF1F4E3D"/>
      <name val="Calibri"/>
      <family val="0"/>
      <charset val="1"/>
    </font>
    <font>
      <i val="true"/>
      <sz val="9"/>
      <color rgb="FF6B7771"/>
      <name val="Calibri"/>
      <family val="0"/>
      <charset val="1"/>
    </font>
    <font>
      <i val="true"/>
      <sz val="8"/>
      <color rgb="FF9AA6A0"/>
      <name val="Calibri"/>
      <family val="0"/>
      <charset val="1"/>
    </font>
    <font>
      <sz val="8"/>
      <color rgb="FF9AA6A0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1F4E3D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3D"/>
        <bgColor rgb="FF2A3B33"/>
      </patternFill>
    </fill>
    <fill>
      <patternFill patternType="solid">
        <fgColor rgb="FFFFF2CC"/>
        <bgColor rgb="FFFFF9E6"/>
      </patternFill>
    </fill>
    <fill>
      <patternFill patternType="solid">
        <fgColor rgb="FFEAF3F0"/>
        <bgColor rgb="FFEDEFEE"/>
      </patternFill>
    </fill>
    <fill>
      <patternFill patternType="solid">
        <fgColor rgb="FF2F6B55"/>
        <bgColor rgb="FF2E6B4F"/>
      </patternFill>
    </fill>
    <fill>
      <patternFill patternType="solid">
        <fgColor rgb="FFF4F8F6"/>
        <bgColor rgb="FFEAF3F0"/>
      </patternFill>
    </fill>
    <fill>
      <patternFill patternType="solid">
        <fgColor rgb="FFEDEFEE"/>
        <bgColor rgb="FFEAF3F0"/>
      </patternFill>
    </fill>
    <fill>
      <patternFill patternType="solid">
        <fgColor rgb="FFFFF9E6"/>
        <bgColor rgb="FFF4F8F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C9D4CD"/>
      </left>
      <right style="thin">
        <color rgb="FFC9D4CD"/>
      </right>
      <top style="thin">
        <color rgb="FFC9D4CD"/>
      </top>
      <bottom style="thin">
        <color rgb="FFC9D4CD"/>
      </bottom>
      <diagonal/>
    </border>
    <border diagonalUp="false" diagonalDown="false">
      <left style="thin">
        <color rgb="FFC9D4CD"/>
      </left>
      <right style="medium">
        <color rgb="FF7E9488"/>
      </right>
      <top style="thin">
        <color rgb="FFC9D4CD"/>
      </top>
      <bottom style="thin">
        <color rgb="FFC9D4CD"/>
      </bottom>
      <diagonal/>
    </border>
    <border diagonalUp="false" diagonalDown="false">
      <left style="medium">
        <color rgb="FF7E9488"/>
      </left>
      <right style="thin">
        <color rgb="FFC9D4CD"/>
      </right>
      <top style="thin">
        <color rgb="FFC9D4CD"/>
      </top>
      <bottom style="thin">
        <color rgb="FFC9D4CD"/>
      </bottom>
      <diagonal/>
    </border>
    <border diagonalUp="false" diagonalDown="false">
      <left style="medium">
        <color rgb="FF7E9488"/>
      </left>
      <right/>
      <top/>
      <bottom/>
      <diagonal/>
    </border>
    <border diagonalUp="false" diagonalDown="false">
      <left style="medium">
        <color rgb="FF7E9488"/>
      </left>
      <right style="thin">
        <color rgb="FFC9D4CD"/>
      </right>
      <top style="medium">
        <color rgb="FF7E9488"/>
      </top>
      <bottom style="medium">
        <color rgb="FF7E9488"/>
      </bottom>
      <diagonal/>
    </border>
    <border diagonalUp="false" diagonalDown="false">
      <left style="thin">
        <color rgb="FFC9D4CD"/>
      </left>
      <right style="thin">
        <color rgb="FFC9D4CD"/>
      </right>
      <top style="medium">
        <color rgb="FF7E9488"/>
      </top>
      <bottom style="medium">
        <color rgb="FF7E9488"/>
      </bottom>
      <diagonal/>
    </border>
    <border diagonalUp="false" diagonalDown="false">
      <left style="thin">
        <color rgb="FFC9D4CD"/>
      </left>
      <right style="thin">
        <color rgb="FFC9D4CD"/>
      </right>
      <top style="thin">
        <color rgb="FFC9D4CD"/>
      </top>
      <bottom style="medium">
        <color rgb="FF7E9488"/>
      </bottom>
      <diagonal/>
    </border>
    <border diagonalUp="false" diagonalDown="false">
      <left style="thin">
        <color rgb="FFC9D4CD"/>
      </left>
      <right style="medium">
        <color rgb="FF7E9488"/>
      </right>
      <top style="thin">
        <color rgb="FFC9D4CD"/>
      </top>
      <bottom style="medium">
        <color rgb="FF7E94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1" fillId="2" borderId="4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3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7" fillId="8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8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8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8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7" fillId="8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8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8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8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7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Calibri"/>
        <charset val="1"/>
        <family val="0"/>
        <b val="1"/>
        <color rgb="FFA8321E"/>
        <sz val="10"/>
      </font>
      <fill>
        <patternFill>
          <bgColor rgb="FFFCE8E4"/>
        </patternFill>
      </fill>
    </dxf>
    <dxf>
      <font>
        <name val="Calibri"/>
        <charset val="1"/>
        <family val="0"/>
        <b val="1"/>
        <color rgb="FF2E6B4F"/>
        <sz val="11"/>
      </font>
      <fill>
        <patternFill>
          <bgColor rgb="FFE1EFE7"/>
        </patternFill>
      </fill>
    </dxf>
    <dxf>
      <font>
        <name val="Calibri"/>
        <charset val="1"/>
        <family val="0"/>
        <b val="1"/>
        <color rgb="FFA8321E"/>
        <sz val="11"/>
      </font>
      <fill>
        <patternFill>
          <bgColor rgb="FFFCE8E4"/>
        </patternFill>
      </fill>
    </dxf>
    <dxf>
      <font>
        <name val="Calibri"/>
        <charset val="1"/>
        <family val="0"/>
        <color rgb="FFA8321E"/>
        <sz val="11"/>
      </font>
    </dxf>
    <dxf>
      <font>
        <name val="Calibri"/>
        <charset val="1"/>
        <family val="0"/>
        <b val="1"/>
        <color rgb="FF2E6B4F"/>
        <sz val="12"/>
      </font>
      <fill>
        <patternFill>
          <bgColor rgb="FFE1EFE7"/>
        </patternFill>
      </fill>
    </dxf>
    <dxf>
      <font>
        <name val="Calibri"/>
        <charset val="1"/>
        <family val="0"/>
        <b val="1"/>
        <color rgb="FFA8321E"/>
        <sz val="12"/>
      </font>
      <fill>
        <patternFill>
          <bgColor rgb="FFFCE8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55"/>
      <rgbColor rgb="FFC9D4CD"/>
      <rgbColor rgb="FF6B7771"/>
      <rgbColor rgb="FF9999FF"/>
      <rgbColor rgb="FF993366"/>
      <rgbColor rgb="FFFFF9E6"/>
      <rgbColor rgb="FFE1EFE7"/>
      <rgbColor rgb="FF660066"/>
      <rgbColor rgb="FFFF8080"/>
      <rgbColor rgb="FF0066CC"/>
      <rgbColor rgb="FFF4F8F6"/>
      <rgbColor rgb="FF000080"/>
      <rgbColor rgb="FFFF00FF"/>
      <rgbColor rgb="FFFFFF00"/>
      <rgbColor rgb="FF00FFFF"/>
      <rgbColor rgb="FF800080"/>
      <rgbColor rgb="FF800000"/>
      <rgbColor rgb="FF2E6B4F"/>
      <rgbColor rgb="FF0000FF"/>
      <rgbColor rgb="FF00CCFF"/>
      <rgbColor rgb="FFEAF3F0"/>
      <rgbColor rgb="FFEDEFEE"/>
      <rgbColor rgb="FFFFF2CC"/>
      <rgbColor rgb="FF99CCFF"/>
      <rgbColor rgb="FFFF99CC"/>
      <rgbColor rgb="FFCC99FF"/>
      <rgbColor rgb="FFFCE8E4"/>
      <rgbColor rgb="FF3366FF"/>
      <rgbColor rgb="FF33CCCC"/>
      <rgbColor rgb="FF99CC00"/>
      <rgbColor rgb="FFFFCC00"/>
      <rgbColor rgb="FFFF9900"/>
      <rgbColor rgb="FFFF6600"/>
      <rgbColor rgb="FF7E9488"/>
      <rgbColor rgb="FF9AA6A0"/>
      <rgbColor rgb="FF1F4E3D"/>
      <rgbColor rgb="FF339966"/>
      <rgbColor rgb="FF003300"/>
      <rgbColor rgb="FF333300"/>
      <rgbColor rgb="FFA8321E"/>
      <rgbColor rgb="FF993366"/>
      <rgbColor rgb="FF333399"/>
      <rgbColor rgb="FF2A3B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10"/>
    <col collapsed="false" customWidth="true" hidden="false" outlineLevel="0" max="11" min="4" style="0" width="12.5"/>
    <col collapsed="false" customWidth="true" hidden="false" outlineLevel="0" max="12" min="12" style="0" width="2.6"/>
    <col collapsed="false" customWidth="true" hidden="false" outlineLevel="0" max="20" min="13" style="0" width="12.5"/>
    <col collapsed="false" customWidth="true" hidden="true" outlineLevel="0" max="33" min="21" style="0" width="13"/>
  </cols>
  <sheetData>
    <row r="1" customFormat="false" ht="27.75" hidden="false" customHeight="true" outlineLevel="0" collapsed="false">
      <c r="A1" s="1" t="str">
        <f aca="false">"ПРАЙС PHOENIX СХІДНИЦЯ · "&amp;$B$3&amp;" · "&amp;$U$11&amp;" · Тариф: "&amp;$B$4&amp;" · Пакет: "&amp;$B$5</f>
        <v>ПРАЙС PHOENIX СХІДНИЦЯ · 0сінь 26 0-10% · 01.10.2026 – 30.11.2026 · Тариф: Rack Rate · Пакет: RO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</row>
    <row r="2" customFormat="false" ht="6" hidden="false" customHeight="true" outlineLevel="0" collapsed="false"/>
    <row r="3" customFormat="false" ht="18.75" hidden="false" customHeight="true" outlineLevel="0" collapsed="false">
      <c r="A3" s="3" t="s">
        <v>1</v>
      </c>
      <c r="B3" s="4" t="s">
        <v>2</v>
      </c>
      <c r="D3" s="5" t="str">
        <f aca="false">"Період дії: "&amp;$U$11</f>
        <v>Період дії: 01.10.2026 – 30.11.2026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 t="n">
        <f aca="false">IFERROR(MATCH($B$3,ПЛ_РЯДОК,0),0)</f>
        <v>5</v>
      </c>
      <c r="V3" s="7" t="s">
        <v>3</v>
      </c>
    </row>
    <row r="4" customFormat="false" ht="18.75" hidden="false" customHeight="true" outlineLevel="0" collapsed="false">
      <c r="A4" s="3" t="s">
        <v>4</v>
      </c>
      <c r="B4" s="4" t="s">
        <v>5</v>
      </c>
      <c r="D4" s="5" t="str">
        <f aca="false">"Знижка на проживання: "&amp;TEXT($U$5,"0%")&amp;IF($B$5="BBSPA"," — фіксована для пакета BBSPA; обраний тариф не застосовується","")</f>
        <v>Знижка на проживання: 0%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 t="n">
        <f aca="false">IFERROR(SUMIFS(ТАРИФИ_ЗНИЖКИ,ТАРИФИ_НАЗВИ,$B$4),0)</f>
        <v>0</v>
      </c>
      <c r="V4" s="7" t="s">
        <v>6</v>
      </c>
    </row>
    <row r="5" customFormat="false" ht="18.75" hidden="false" customHeight="true" outlineLevel="0" collapsed="false">
      <c r="A5" s="3" t="s">
        <v>7</v>
      </c>
      <c r="B5" s="4" t="s">
        <v>8</v>
      </c>
      <c r="D5" s="5" t="str">
        <f aca="false">IF($B$5="RO","Лише проживання.",IF($B$5="BB","Проживання + сніданок за кожного гостя.",IF($B$5="BBSPA","Проживання + сніданок і SPA за кожного гостя.",IF($B$5="ROSPA","Проживання + 1 фіксований SPA-візит на обʼєкт.",IF($B$5="ROSPABB","Проживання + сніданки за кількістю гостей + 1 SPA-візит на обʼєкт.","")))))</f>
        <v>Лише проживання.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6" t="n">
        <f aca="false">IF($B$5="BBSPA",ЗНИЖКА_BBSPA,$U$4)</f>
        <v>0</v>
      </c>
      <c r="V5" s="7" t="s">
        <v>9</v>
      </c>
    </row>
    <row r="6" customFormat="false" ht="30" hidden="false" customHeight="true" outlineLevel="0" collapsed="false">
      <c r="A6" s="8" t="str">
        <f aca="false">IF($U$3=0,"⚠ Прайс-лист не обрано або не знайдено — оберіть значення у клітинці B3.",IF($U$13=0,"⚠ У цьому прайс-листі ще не заповнені базові RO-ціни — сітка буде порожньою. Заповніть його блок на листі «Керування прайсом».","Усі ціни — за ніч, за дорослих гостей, у гривні. Дитячі тарифи рахує лист «Калькулятор». Ціна діє за базовою місткістю категорії; кожне додаткове місце додає доплату з «Довідника категорій» × знижку."))</f>
        <v>Усі ціни — за ніч, за дорослих гостей, у гривні. Дитячі тарифи рахує лист «Калькулятор». Ціна діє за базовою місткістю категорії; кожне додаткове місце додає доплату з «Довідника категорій» × знижку.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 t="n">
        <f aca="false">IF($U$3=0,0,IFERROR(INDEX(ПЕРЕМИКАЧІ,IF($B$5="BBSPA",2,1),$U$3),0))</f>
        <v>0</v>
      </c>
      <c r="V6" s="7" t="s">
        <v>10</v>
      </c>
    </row>
    <row r="7" customFormat="false" ht="19.5" hidden="false" customHeight="true" outlineLevel="0" collapsed="false">
      <c r="D7" s="10" t="s">
        <v>11</v>
      </c>
      <c r="E7" s="10"/>
      <c r="F7" s="10"/>
      <c r="G7" s="10"/>
      <c r="H7" s="10"/>
      <c r="I7" s="10"/>
      <c r="J7" s="10"/>
      <c r="K7" s="10"/>
      <c r="M7" s="10" t="s">
        <v>12</v>
      </c>
      <c r="N7" s="10"/>
      <c r="O7" s="10"/>
      <c r="P7" s="10"/>
      <c r="Q7" s="10"/>
      <c r="R7" s="10"/>
      <c r="S7" s="10"/>
      <c r="T7" s="10"/>
      <c r="U7" s="9" t="n">
        <f aca="false">IF($U$3=0,0,IFERROR(INDEX(ПЕРЕМИКАЧІ,3,$U$3),0))</f>
        <v>0</v>
      </c>
      <c r="V7" s="7" t="s">
        <v>13</v>
      </c>
    </row>
    <row r="8" customFormat="false" ht="19.5" hidden="false" customHeight="true" outlineLevel="0" collapsed="false">
      <c r="A8" s="11" t="s">
        <v>14</v>
      </c>
      <c r="B8" s="11" t="s">
        <v>15</v>
      </c>
      <c r="C8" s="12" t="s">
        <v>16</v>
      </c>
      <c r="D8" s="13" t="n">
        <v>1</v>
      </c>
      <c r="E8" s="13" t="n">
        <v>2</v>
      </c>
      <c r="F8" s="13" t="n">
        <v>3</v>
      </c>
      <c r="G8" s="13" t="n">
        <v>4</v>
      </c>
      <c r="H8" s="13" t="n">
        <v>5</v>
      </c>
      <c r="I8" s="13" t="n">
        <v>6</v>
      </c>
      <c r="J8" s="13" t="n">
        <v>7</v>
      </c>
      <c r="K8" s="14" t="n">
        <v>8</v>
      </c>
      <c r="M8" s="15" t="n">
        <v>1</v>
      </c>
      <c r="N8" s="13" t="n">
        <v>2</v>
      </c>
      <c r="O8" s="13" t="n">
        <v>3</v>
      </c>
      <c r="P8" s="13" t="n">
        <v>4</v>
      </c>
      <c r="Q8" s="13" t="n">
        <v>5</v>
      </c>
      <c r="R8" s="13" t="n">
        <v>6</v>
      </c>
      <c r="S8" s="13" t="n">
        <v>7</v>
      </c>
      <c r="T8" s="13" t="n">
        <v>8</v>
      </c>
      <c r="U8" s="6" t="n">
        <f aca="false">IF(OR($B$5="BB",$B$5="BBSPA",$B$5="ROSPABB"),1,0)</f>
        <v>0</v>
      </c>
      <c r="V8" s="7" t="s">
        <v>17</v>
      </c>
    </row>
    <row r="9" customFormat="false" ht="15" hidden="false" customHeight="false" outlineLevel="0" collapsed="false">
      <c r="A9" s="16" t="str">
        <f aca="false">IF('Довідник категорій'!B5="","",'Довідник категорій'!B5)</f>
        <v>Classic Chalet</v>
      </c>
      <c r="B9" s="17" t="str">
        <f aca="false">IF($A9="","",IFERROR(INDEX(ДОВ_BOOKING,MATCH($A9,КАТЕГОРІЇ,0)),""))</f>
        <v>Шале з 1 спальнею</v>
      </c>
      <c r="C9" s="18" t="str">
        <f aca="false">IF($A9="","",IFERROR(INDEX(ДОВ_КОД,MATCH($A9,КАТЕГОРІЇ,0)),""))</f>
        <v>CH-CL</v>
      </c>
      <c r="D9" s="19" t="n">
        <f aca="false">IF(OR($AF9=0,D$8&gt;$Y9),"",ROUND($W9*(1-$U$5)/ОКРУГЛЕННЯ,0)*ОКРУГЛЕННЯ+MAX(0,D$8-$Z9)*$AA9*(1-$U$5)+D$8*$AB9*(1-$U$5*$U$6)+$AD9*(1-$U$5*$U$7))</f>
        <v>4200</v>
      </c>
      <c r="E9" s="19" t="n">
        <f aca="false">IF(OR($AF9=0,E$8&gt;$Y9),"",ROUND($W9*(1-$U$5)/ОКРУГЛЕННЯ,0)*ОКРУГЛЕННЯ+MAX(0,E$8-$Z9)*$AA9*(1-$U$5)+E$8*$AB9*(1-$U$5*$U$6)+$AD9*(1-$U$5*$U$7))</f>
        <v>4200</v>
      </c>
      <c r="F9" s="19" t="n">
        <f aca="false">IF(OR($AF9=0,F$8&gt;$Y9),"",ROUND($W9*(1-$U$5)/ОКРУГЛЕННЯ,0)*ОКРУГЛЕННЯ+MAX(0,F$8-$Z9)*$AA9*(1-$U$5)+F$8*$AB9*(1-$U$5*$U$6)+$AD9*(1-$U$5*$U$7))</f>
        <v>5200</v>
      </c>
      <c r="G9" s="19" t="str">
        <f aca="false">IF(OR($AF9=0,G$8&gt;$Y9),"",ROUND($W9*(1-$U$5)/ОКРУГЛЕННЯ,0)*ОКРУГЛЕННЯ+MAX(0,G$8-$Z9)*$AA9*(1-$U$5)+G$8*$AB9*(1-$U$5*$U$6)+$AD9*(1-$U$5*$U$7))</f>
        <v/>
      </c>
      <c r="H9" s="19" t="str">
        <f aca="false">IF(OR($AF9=0,H$8&gt;$Y9),"",ROUND($W9*(1-$U$5)/ОКРУГЛЕННЯ,0)*ОКРУГЛЕННЯ+MAX(0,H$8-$Z9)*$AA9*(1-$U$5)+H$8*$AB9*(1-$U$5*$U$6)+$AD9*(1-$U$5*$U$7))</f>
        <v/>
      </c>
      <c r="I9" s="19" t="str">
        <f aca="false">IF(OR($AF9=0,I$8&gt;$Y9),"",ROUND($W9*(1-$U$5)/ОКРУГЛЕННЯ,0)*ОКРУГЛЕННЯ+MAX(0,I$8-$Z9)*$AA9*(1-$U$5)+I$8*$AB9*(1-$U$5*$U$6)+$AD9*(1-$U$5*$U$7))</f>
        <v/>
      </c>
      <c r="J9" s="19" t="str">
        <f aca="false">IF(OR($AF9=0,J$8&gt;$Y9),"",ROUND($W9*(1-$U$5)/ОКРУГЛЕННЯ,0)*ОКРУГЛЕННЯ+MAX(0,J$8-$Z9)*$AA9*(1-$U$5)+J$8*$AB9*(1-$U$5*$U$6)+$AD9*(1-$U$5*$U$7))</f>
        <v/>
      </c>
      <c r="K9" s="20" t="str">
        <f aca="false">IF(OR($AF9=0,K$8&gt;$Y9),"",ROUND($W9*(1-$U$5)/ОКРУГЛЕННЯ,0)*ОКРУГЛЕННЯ+MAX(0,K$8-$Z9)*$AA9*(1-$U$5)+K$8*$AB9*(1-$U$5*$U$6)+$AD9*(1-$U$5*$U$7))</f>
        <v/>
      </c>
      <c r="M9" s="21" t="n">
        <f aca="false">IF(OR($AG9=0,M$8&gt;$Y9),"",ROUND($X9*(1-$U$5)/ОКРУГЛЕННЯ,0)*ОКРУГЛЕННЯ+MAX(0,M$8-$Z9)*$AA9*(1-$U$5)+M$8*$AC9*(1-$U$5*$U$6)+$AE9*(1-$U$5*$U$7))</f>
        <v>4700</v>
      </c>
      <c r="N9" s="19" t="n">
        <f aca="false">IF(OR($AG9=0,N$8&gt;$Y9),"",ROUND($X9*(1-$U$5)/ОКРУГЛЕННЯ,0)*ОКРУГЛЕННЯ+MAX(0,N$8-$Z9)*$AA9*(1-$U$5)+N$8*$AC9*(1-$U$5*$U$6)+$AE9*(1-$U$5*$U$7))</f>
        <v>4700</v>
      </c>
      <c r="O9" s="19" t="n">
        <f aca="false">IF(OR($AG9=0,O$8&gt;$Y9),"",ROUND($X9*(1-$U$5)/ОКРУГЛЕННЯ,0)*ОКРУГЛЕННЯ+MAX(0,O$8-$Z9)*$AA9*(1-$U$5)+O$8*$AC9*(1-$U$5*$U$6)+$AE9*(1-$U$5*$U$7))</f>
        <v>5700</v>
      </c>
      <c r="P9" s="19" t="str">
        <f aca="false">IF(OR($AG9=0,P$8&gt;$Y9),"",ROUND($X9*(1-$U$5)/ОКРУГЛЕННЯ,0)*ОКРУГЛЕННЯ+MAX(0,P$8-$Z9)*$AA9*(1-$U$5)+P$8*$AC9*(1-$U$5*$U$6)+$AE9*(1-$U$5*$U$7))</f>
        <v/>
      </c>
      <c r="Q9" s="19" t="str">
        <f aca="false">IF(OR($AG9=0,Q$8&gt;$Y9),"",ROUND($X9*(1-$U$5)/ОКРУГЛЕННЯ,0)*ОКРУГЛЕННЯ+MAX(0,Q$8-$Z9)*$AA9*(1-$U$5)+Q$8*$AC9*(1-$U$5*$U$6)+$AE9*(1-$U$5*$U$7))</f>
        <v/>
      </c>
      <c r="R9" s="19" t="str">
        <f aca="false">IF(OR($AG9=0,R$8&gt;$Y9),"",ROUND($X9*(1-$U$5)/ОКРУГЛЕННЯ,0)*ОКРУГЛЕННЯ+MAX(0,R$8-$Z9)*$AA9*(1-$U$5)+R$8*$AC9*(1-$U$5*$U$6)+$AE9*(1-$U$5*$U$7))</f>
        <v/>
      </c>
      <c r="S9" s="19" t="str">
        <f aca="false">IF(OR($AG9=0,S$8&gt;$Y9),"",ROUND($X9*(1-$U$5)/ОКРУГЛЕННЯ,0)*ОКРУГЛЕННЯ+MAX(0,S$8-$Z9)*$AA9*(1-$U$5)+S$8*$AC9*(1-$U$5*$U$6)+$AE9*(1-$U$5*$U$7))</f>
        <v/>
      </c>
      <c r="T9" s="19" t="str">
        <f aca="false">IF(OR($AG9=0,T$8&gt;$Y9),"",ROUND($X9*(1-$U$5)/ОКРУГЛЕННЯ,0)*ОКРУГЛЕННЯ+MAX(0,T$8-$Z9)*$AA9*(1-$U$5)+T$8*$AC9*(1-$U$5*$U$6)+$AE9*(1-$U$5*$U$7))</f>
        <v/>
      </c>
      <c r="U9" s="6" t="n">
        <f aca="false">IF(OR($B$5="ROSPA",$B$5="ROSPABB"),1,0)</f>
        <v>0</v>
      </c>
      <c r="V9" s="7" t="s">
        <v>18</v>
      </c>
      <c r="W9" s="22" t="n">
        <f aca="false">IF(OR($U$3=0,$A9=""),0,IFERROR(INDEX(БАЗА_ЦІНИ,MATCH($A9,БАЗА_КАТ,0),$U$3),0))</f>
        <v>4200</v>
      </c>
      <c r="X9" s="22" t="n">
        <f aca="false">IF(OR($U$3=0,$A9=""),0,IFERROR(INDEX(БАЗА_ЦІНИ,MATCH($A9,БАЗА_КАТ,0),$U$3+1),0))</f>
        <v>4700</v>
      </c>
      <c r="Y9" s="9" t="n">
        <f aca="false">IF($A9="",0,IFERROR(INDEX(ДОВ_МАКС,MATCH($A9,КАТЕГОРІЇ,0)),0))</f>
        <v>3</v>
      </c>
      <c r="Z9" s="9" t="n">
        <f aca="false">IF($A9="",0,IFERROR(INDEX(ДОВ_ВКЛ,MATCH($A9,КАТЕГОРІЇ,0)),0))</f>
        <v>2</v>
      </c>
      <c r="AA9" s="22" t="n">
        <f aca="false">IF($A9="",0,IFERROR(INDEX(ДОВ_ДОПЛ_ДОР,MATCH($A9,КАТЕГОРІЇ,0)),0))</f>
        <v>1000</v>
      </c>
      <c r="AB9" s="6" t="n">
        <f aca="false">IF(OR($U$3=0,$U$8=0),0,IFERROR(INDEX(ПАКЕТИ_ЦІНИ,MATCH($U$10&amp;"|Будні",ПАКЕТИ_КЛЮЧ,0),$U$3),0))</f>
        <v>0</v>
      </c>
      <c r="AC9" s="6" t="n">
        <f aca="false">IF(OR($U$3=0,$U$8=0),0,IFERROR(INDEX(ПАКЕТИ_ЦІНИ,MATCH($U$10&amp;"|Вихідні",ПАКЕТИ_КЛЮЧ,0),$U$3),0))</f>
        <v>0</v>
      </c>
      <c r="AD9" s="6" t="n">
        <f aca="false">IF(OR($U$3=0,$U$9=0,$A9=""),0,IFERROR(INDEX(SPA_ЦІНИ,MATCH(INDEX(ДОВ_SPA,MATCH($A9,КАТЕГОРІЇ,0)),SPA_РІВЕНЬ,0),$U$3),0))</f>
        <v>0</v>
      </c>
      <c r="AE9" s="6" t="n">
        <f aca="false">IF(OR($U$3=0,$U$9=0,$A9=""),0,IFERROR(INDEX(SPA_ЦІНИ,MATCH(INDEX(ДОВ_SPA,MATCH($A9,КАТЕГОРІЇ,0)),SPA_РІВЕНЬ,0),$U$3+1),0))</f>
        <v>0</v>
      </c>
      <c r="AF9" s="6" t="n">
        <f aca="false">IF(OR($A9="",W9=0,AND($U$8=1,AB9=0),AND($U$9=1,AD9=0)),0,1)</f>
        <v>1</v>
      </c>
      <c r="AG9" s="6" t="n">
        <f aca="false">IF(OR($A9="",X9=0,AND($U$8=1,AC9=0),AND($U$9=1,AE9=0)),0,1)</f>
        <v>1</v>
      </c>
    </row>
    <row r="10" customFormat="false" ht="15" hidden="false" customHeight="false" outlineLevel="0" collapsed="false">
      <c r="A10" s="23" t="str">
        <f aca="false">IF('Довідник категорій'!B6="","",'Довідник категорій'!B6)</f>
        <v>Forest View Chalet</v>
      </c>
      <c r="B10" s="24" t="str">
        <f aca="false">IF($A10="","",IFERROR(INDEX(ДОВ_BOOKING,MATCH($A10,КАТЕГОРІЇ,0)),""))</f>
        <v>Вілла Делюкс</v>
      </c>
      <c r="C10" s="25" t="str">
        <f aca="false">IF($A10="","",IFERROR(INDEX(ДОВ_КОД,MATCH($A10,КАТЕГОРІЇ,0)),""))</f>
        <v>CH-FV</v>
      </c>
      <c r="D10" s="26" t="n">
        <f aca="false">IF(OR($AF10=0,D$8&gt;$Y10),"",ROUND($W10*(1-$U$5)/ОКРУГЛЕННЯ,0)*ОКРУГЛЕННЯ+MAX(0,D$8-$Z10)*$AA10*(1-$U$5)+D$8*$AB10*(1-$U$5*$U$6)+$AD10*(1-$U$5*$U$7))</f>
        <v>4600</v>
      </c>
      <c r="E10" s="26" t="n">
        <f aca="false">IF(OR($AF10=0,E$8&gt;$Y10),"",ROUND($W10*(1-$U$5)/ОКРУГЛЕННЯ,0)*ОКРУГЛЕННЯ+MAX(0,E$8-$Z10)*$AA10*(1-$U$5)+E$8*$AB10*(1-$U$5*$U$6)+$AD10*(1-$U$5*$U$7))</f>
        <v>4600</v>
      </c>
      <c r="F10" s="26" t="n">
        <f aca="false">IF(OR($AF10=0,F$8&gt;$Y10),"",ROUND($W10*(1-$U$5)/ОКРУГЛЕННЯ,0)*ОКРУГЛЕННЯ+MAX(0,F$8-$Z10)*$AA10*(1-$U$5)+F$8*$AB10*(1-$U$5*$U$6)+$AD10*(1-$U$5*$U$7))</f>
        <v>5600</v>
      </c>
      <c r="G10" s="26" t="str">
        <f aca="false">IF(OR($AF10=0,G$8&gt;$Y10),"",ROUND($W10*(1-$U$5)/ОКРУГЛЕННЯ,0)*ОКРУГЛЕННЯ+MAX(0,G$8-$Z10)*$AA10*(1-$U$5)+G$8*$AB10*(1-$U$5*$U$6)+$AD10*(1-$U$5*$U$7))</f>
        <v/>
      </c>
      <c r="H10" s="26" t="str">
        <f aca="false">IF(OR($AF10=0,H$8&gt;$Y10),"",ROUND($W10*(1-$U$5)/ОКРУГЛЕННЯ,0)*ОКРУГЛЕННЯ+MAX(0,H$8-$Z10)*$AA10*(1-$U$5)+H$8*$AB10*(1-$U$5*$U$6)+$AD10*(1-$U$5*$U$7))</f>
        <v/>
      </c>
      <c r="I10" s="26" t="str">
        <f aca="false">IF(OR($AF10=0,I$8&gt;$Y10),"",ROUND($W10*(1-$U$5)/ОКРУГЛЕННЯ,0)*ОКРУГЛЕННЯ+MAX(0,I$8-$Z10)*$AA10*(1-$U$5)+I$8*$AB10*(1-$U$5*$U$6)+$AD10*(1-$U$5*$U$7))</f>
        <v/>
      </c>
      <c r="J10" s="26" t="str">
        <f aca="false">IF(OR($AF10=0,J$8&gt;$Y10),"",ROUND($W10*(1-$U$5)/ОКРУГЛЕННЯ,0)*ОКРУГЛЕННЯ+MAX(0,J$8-$Z10)*$AA10*(1-$U$5)+J$8*$AB10*(1-$U$5*$U$6)+$AD10*(1-$U$5*$U$7))</f>
        <v/>
      </c>
      <c r="K10" s="27" t="str">
        <f aca="false">IF(OR($AF10=0,K$8&gt;$Y10),"",ROUND($W10*(1-$U$5)/ОКРУГЛЕННЯ,0)*ОКРУГЛЕННЯ+MAX(0,K$8-$Z10)*$AA10*(1-$U$5)+K$8*$AB10*(1-$U$5*$U$6)+$AD10*(1-$U$5*$U$7))</f>
        <v/>
      </c>
      <c r="M10" s="28" t="n">
        <f aca="false">IF(OR($AG10=0,M$8&gt;$Y10),"",ROUND($X10*(1-$U$5)/ОКРУГЛЕННЯ,0)*ОКРУГЛЕННЯ+MAX(0,M$8-$Z10)*$AA10*(1-$U$5)+M$8*$AC10*(1-$U$5*$U$6)+$AE10*(1-$U$5*$U$7))</f>
        <v>5200</v>
      </c>
      <c r="N10" s="26" t="n">
        <f aca="false">IF(OR($AG10=0,N$8&gt;$Y10),"",ROUND($X10*(1-$U$5)/ОКРУГЛЕННЯ,0)*ОКРУГЛЕННЯ+MAX(0,N$8-$Z10)*$AA10*(1-$U$5)+N$8*$AC10*(1-$U$5*$U$6)+$AE10*(1-$U$5*$U$7))</f>
        <v>5200</v>
      </c>
      <c r="O10" s="26" t="n">
        <f aca="false">IF(OR($AG10=0,O$8&gt;$Y10),"",ROUND($X10*(1-$U$5)/ОКРУГЛЕННЯ,0)*ОКРУГЛЕННЯ+MAX(0,O$8-$Z10)*$AA10*(1-$U$5)+O$8*$AC10*(1-$U$5*$U$6)+$AE10*(1-$U$5*$U$7))</f>
        <v>6200</v>
      </c>
      <c r="P10" s="26" t="str">
        <f aca="false">IF(OR($AG10=0,P$8&gt;$Y10),"",ROUND($X10*(1-$U$5)/ОКРУГЛЕННЯ,0)*ОКРУГЛЕННЯ+MAX(0,P$8-$Z10)*$AA10*(1-$U$5)+P$8*$AC10*(1-$U$5*$U$6)+$AE10*(1-$U$5*$U$7))</f>
        <v/>
      </c>
      <c r="Q10" s="26" t="str">
        <f aca="false">IF(OR($AG10=0,Q$8&gt;$Y10),"",ROUND($X10*(1-$U$5)/ОКРУГЛЕННЯ,0)*ОКРУГЛЕННЯ+MAX(0,Q$8-$Z10)*$AA10*(1-$U$5)+Q$8*$AC10*(1-$U$5*$U$6)+$AE10*(1-$U$5*$U$7))</f>
        <v/>
      </c>
      <c r="R10" s="26" t="str">
        <f aca="false">IF(OR($AG10=0,R$8&gt;$Y10),"",ROUND($X10*(1-$U$5)/ОКРУГЛЕННЯ,0)*ОКРУГЛЕННЯ+MAX(0,R$8-$Z10)*$AA10*(1-$U$5)+R$8*$AC10*(1-$U$5*$U$6)+$AE10*(1-$U$5*$U$7))</f>
        <v/>
      </c>
      <c r="S10" s="26" t="str">
        <f aca="false">IF(OR($AG10=0,S$8&gt;$Y10),"",ROUND($X10*(1-$U$5)/ОКРУГЛЕННЯ,0)*ОКРУГЛЕННЯ+MAX(0,S$8-$Z10)*$AA10*(1-$U$5)+S$8*$AC10*(1-$U$5*$U$6)+$AE10*(1-$U$5*$U$7))</f>
        <v/>
      </c>
      <c r="T10" s="26" t="str">
        <f aca="false">IF(OR($AG10=0,T$8&gt;$Y10),"",ROUND($X10*(1-$U$5)/ОКРУГЛЕННЯ,0)*ОКРУГЛЕННЯ+MAX(0,T$8-$Z10)*$AA10*(1-$U$5)+T$8*$AC10*(1-$U$5*$U$6)+$AE10*(1-$U$5*$U$7))</f>
        <v/>
      </c>
      <c r="U10" s="6" t="str">
        <f aca="false">IF($U$8=0,"",IF($B$5="ROSPABB","BB",$B$5))</f>
        <v/>
      </c>
      <c r="V10" s="7" t="s">
        <v>19</v>
      </c>
      <c r="W10" s="22" t="n">
        <f aca="false">IF(OR($U$3=0,$A10=""),0,IFERROR(INDEX(БАЗА_ЦІНИ,MATCH($A10,БАЗА_КАТ,0),$U$3),0))</f>
        <v>4550</v>
      </c>
      <c r="X10" s="22" t="n">
        <f aca="false">IF(OR($U$3=0,$A10=""),0,IFERROR(INDEX(БАЗА_ЦІНИ,MATCH($A10,БАЗА_КАТ,0),$U$3+1),0))</f>
        <v>5150</v>
      </c>
      <c r="Y10" s="9" t="n">
        <f aca="false">IF($A10="",0,IFERROR(INDEX(ДОВ_МАКС,MATCH($A10,КАТЕГОРІЇ,0)),0))</f>
        <v>3</v>
      </c>
      <c r="Z10" s="9" t="n">
        <f aca="false">IF($A10="",0,IFERROR(INDEX(ДОВ_ВКЛ,MATCH($A10,КАТЕГОРІЇ,0)),0))</f>
        <v>2</v>
      </c>
      <c r="AA10" s="22" t="n">
        <f aca="false">IF($A10="",0,IFERROR(INDEX(ДОВ_ДОПЛ_ДОР,MATCH($A10,КАТЕГОРІЇ,0)),0))</f>
        <v>1000</v>
      </c>
      <c r="AB10" s="6" t="n">
        <f aca="false">IF(OR($U$3=0,$U$8=0),0,IFERROR(INDEX(ПАКЕТИ_ЦІНИ,MATCH($U$10&amp;"|Будні",ПАКЕТИ_КЛЮЧ,0),$U$3),0))</f>
        <v>0</v>
      </c>
      <c r="AC10" s="6" t="n">
        <f aca="false">IF(OR($U$3=0,$U$8=0),0,IFERROR(INDEX(ПАКЕТИ_ЦІНИ,MATCH($U$10&amp;"|Вихідні",ПАКЕТИ_КЛЮЧ,0),$U$3),0))</f>
        <v>0</v>
      </c>
      <c r="AD10" s="6" t="n">
        <f aca="false">IF(OR($U$3=0,$U$9=0,$A10=""),0,IFERROR(INDEX(SPA_ЦІНИ,MATCH(INDEX(ДОВ_SPA,MATCH($A10,КАТЕГОРІЇ,0)),SPA_РІВЕНЬ,0),$U$3),0))</f>
        <v>0</v>
      </c>
      <c r="AE10" s="6" t="n">
        <f aca="false">IF(OR($U$3=0,$U$9=0,$A10=""),0,IFERROR(INDEX(SPA_ЦІНИ,MATCH(INDEX(ДОВ_SPA,MATCH($A10,КАТЕГОРІЇ,0)),SPA_РІВЕНЬ,0),$U$3+1),0))</f>
        <v>0</v>
      </c>
      <c r="AF10" s="6" t="n">
        <f aca="false">IF(OR($A10="",W10=0,AND($U$8=1,AB10=0),AND($U$9=1,AD10=0)),0,1)</f>
        <v>1</v>
      </c>
      <c r="AG10" s="6" t="n">
        <f aca="false">IF(OR($A10="",X10=0,AND($U$8=1,AC10=0),AND($U$9=1,AE10=0)),0,1)</f>
        <v>1</v>
      </c>
    </row>
    <row r="11" customFormat="false" ht="15" hidden="false" customHeight="false" outlineLevel="0" collapsed="false">
      <c r="A11" s="16" t="str">
        <f aca="false">IF('Довідник категорій'!B7="","",'Довідник категорій'!B7)</f>
        <v>Premium Chalet</v>
      </c>
      <c r="B11" s="17" t="str">
        <f aca="false">IF($A11="","",IFERROR(INDEX(ДОВ_BOOKING,MATCH($A11,КАТЕГОРІЇ,0)),""))</f>
        <v>Шале з 3 спальнями</v>
      </c>
      <c r="C11" s="18" t="str">
        <f aca="false">IF($A11="","",IFERROR(INDEX(ДОВ_КОД,MATCH($A11,КАТЕГОРІЇ,0)),""))</f>
        <v>CH-PR</v>
      </c>
      <c r="D11" s="19" t="n">
        <f aca="false">IF(OR($AF11=0,D$8&gt;$Y11),"",ROUND($W11*(1-$U$5)/ОКРУГЛЕННЯ,0)*ОКРУГЛЕННЯ+MAX(0,D$8-$Z11)*$AA11*(1-$U$5)+D$8*$AB11*(1-$U$5*$U$6)+$AD11*(1-$U$5*$U$7))</f>
        <v>7800</v>
      </c>
      <c r="E11" s="19" t="n">
        <f aca="false">IF(OR($AF11=0,E$8&gt;$Y11),"",ROUND($W11*(1-$U$5)/ОКРУГЛЕННЯ,0)*ОКРУГЛЕННЯ+MAX(0,E$8-$Z11)*$AA11*(1-$U$5)+E$8*$AB11*(1-$U$5*$U$6)+$AD11*(1-$U$5*$U$7))</f>
        <v>7800</v>
      </c>
      <c r="F11" s="19" t="n">
        <f aca="false">IF(OR($AF11=0,F$8&gt;$Y11),"",ROUND($W11*(1-$U$5)/ОКРУГЛЕННЯ,0)*ОКРУГЛЕННЯ+MAX(0,F$8-$Z11)*$AA11*(1-$U$5)+F$8*$AB11*(1-$U$5*$U$6)+$AD11*(1-$U$5*$U$7))</f>
        <v>7800</v>
      </c>
      <c r="G11" s="19" t="n">
        <f aca="false">IF(OR($AF11=0,G$8&gt;$Y11),"",ROUND($W11*(1-$U$5)/ОКРУГЛЕННЯ,0)*ОКРУГЛЕННЯ+MAX(0,G$8-$Z11)*$AA11*(1-$U$5)+G$8*$AB11*(1-$U$5*$U$6)+$AD11*(1-$U$5*$U$7))</f>
        <v>7800</v>
      </c>
      <c r="H11" s="19" t="n">
        <f aca="false">IF(OR($AF11=0,H$8&gt;$Y11),"",ROUND($W11*(1-$U$5)/ОКРУГЛЕННЯ,0)*ОКРУГЛЕННЯ+MAX(0,H$8-$Z11)*$AA11*(1-$U$5)+H$8*$AB11*(1-$U$5*$U$6)+$AD11*(1-$U$5*$U$7))</f>
        <v>7800</v>
      </c>
      <c r="I11" s="19" t="n">
        <f aca="false">IF(OR($AF11=0,I$8&gt;$Y11),"",ROUND($W11*(1-$U$5)/ОКРУГЛЕННЯ,0)*ОКРУГЛЕННЯ+MAX(0,I$8-$Z11)*$AA11*(1-$U$5)+I$8*$AB11*(1-$U$5*$U$6)+$AD11*(1-$U$5*$U$7))</f>
        <v>7800</v>
      </c>
      <c r="J11" s="19" t="n">
        <f aca="false">IF(OR($AF11=0,J$8&gt;$Y11),"",ROUND($W11*(1-$U$5)/ОКРУГЛЕННЯ,0)*ОКРУГЛЕННЯ+MAX(0,J$8-$Z11)*$AA11*(1-$U$5)+J$8*$AB11*(1-$U$5*$U$6)+$AD11*(1-$U$5*$U$7))</f>
        <v>8800</v>
      </c>
      <c r="K11" s="20" t="n">
        <f aca="false">IF(OR($AF11=0,K$8&gt;$Y11),"",ROUND($W11*(1-$U$5)/ОКРУГЛЕННЯ,0)*ОКРУГЛЕННЯ+MAX(0,K$8-$Z11)*$AA11*(1-$U$5)+K$8*$AB11*(1-$U$5*$U$6)+$AD11*(1-$U$5*$U$7))</f>
        <v>9800</v>
      </c>
      <c r="M11" s="21" t="n">
        <f aca="false">IF(OR($AG11=0,M$8&gt;$Y11),"",ROUND($X11*(1-$U$5)/ОКРУГЛЕННЯ,0)*ОКРУГЛЕННЯ+MAX(0,M$8-$Z11)*$AA11*(1-$U$5)+M$8*$AC11*(1-$U$5*$U$6)+$AE11*(1-$U$5*$U$7))</f>
        <v>9800</v>
      </c>
      <c r="N11" s="19" t="n">
        <f aca="false">IF(OR($AG11=0,N$8&gt;$Y11),"",ROUND($X11*(1-$U$5)/ОКРУГЛЕННЯ,0)*ОКРУГЛЕННЯ+MAX(0,N$8-$Z11)*$AA11*(1-$U$5)+N$8*$AC11*(1-$U$5*$U$6)+$AE11*(1-$U$5*$U$7))</f>
        <v>9800</v>
      </c>
      <c r="O11" s="19" t="n">
        <f aca="false">IF(OR($AG11=0,O$8&gt;$Y11),"",ROUND($X11*(1-$U$5)/ОКРУГЛЕННЯ,0)*ОКРУГЛЕННЯ+MAX(0,O$8-$Z11)*$AA11*(1-$U$5)+O$8*$AC11*(1-$U$5*$U$6)+$AE11*(1-$U$5*$U$7))</f>
        <v>9800</v>
      </c>
      <c r="P11" s="19" t="n">
        <f aca="false">IF(OR($AG11=0,P$8&gt;$Y11),"",ROUND($X11*(1-$U$5)/ОКРУГЛЕННЯ,0)*ОКРУГЛЕННЯ+MAX(0,P$8-$Z11)*$AA11*(1-$U$5)+P$8*$AC11*(1-$U$5*$U$6)+$AE11*(1-$U$5*$U$7))</f>
        <v>9800</v>
      </c>
      <c r="Q11" s="19" t="n">
        <f aca="false">IF(OR($AG11=0,Q$8&gt;$Y11),"",ROUND($X11*(1-$U$5)/ОКРУГЛЕННЯ,0)*ОКРУГЛЕННЯ+MAX(0,Q$8-$Z11)*$AA11*(1-$U$5)+Q$8*$AC11*(1-$U$5*$U$6)+$AE11*(1-$U$5*$U$7))</f>
        <v>9800</v>
      </c>
      <c r="R11" s="19" t="n">
        <f aca="false">IF(OR($AG11=0,R$8&gt;$Y11),"",ROUND($X11*(1-$U$5)/ОКРУГЛЕННЯ,0)*ОКРУГЛЕННЯ+MAX(0,R$8-$Z11)*$AA11*(1-$U$5)+R$8*$AC11*(1-$U$5*$U$6)+$AE11*(1-$U$5*$U$7))</f>
        <v>9800</v>
      </c>
      <c r="S11" s="19" t="n">
        <f aca="false">IF(OR($AG11=0,S$8&gt;$Y11),"",ROUND($X11*(1-$U$5)/ОКРУГЛЕННЯ,0)*ОКРУГЛЕННЯ+MAX(0,S$8-$Z11)*$AA11*(1-$U$5)+S$8*$AC11*(1-$U$5*$U$6)+$AE11*(1-$U$5*$U$7))</f>
        <v>10800</v>
      </c>
      <c r="T11" s="19" t="n">
        <f aca="false">IF(OR($AG11=0,T$8&gt;$Y11),"",ROUND($X11*(1-$U$5)/ОКРУГЛЕННЯ,0)*ОКРУГЛЕННЯ+MAX(0,T$8-$Z11)*$AA11*(1-$U$5)+T$8*$AC11*(1-$U$5*$U$6)+$AE11*(1-$U$5*$U$7))</f>
        <v>11800</v>
      </c>
      <c r="U11" s="6" t="str">
        <f aca="false">IF($U$12=0,"період не заданий",IFERROR(IF(OR(INDEX(ПЛ_ДАТА_З,$U$12)="",INDEX(ПЛ_ДАТА_ПО,$U$12)=""),"період не заданий",TEXT(DAY(INDEX(ПЛ_ДАТА_З,$U$12)),"00")&amp;"."&amp;TEXT(MONTH(INDEX(ПЛ_ДАТА_З,$U$12)),"00")&amp;"."&amp;YEAR(INDEX(ПЛ_ДАТА_З,$U$12))&amp;" – "&amp;TEXT(DAY(INDEX(ПЛ_ДАТА_ПО,$U$12)),"00")&amp;"."&amp;TEXT(MONTH(INDEX(ПЛ_ДАТА_ПО,$U$12)),"00")&amp;"."&amp;YEAR(INDEX(ПЛ_ДАТА_ПО,$U$12))),"період не заданий"))</f>
        <v>01.10.2026 – 30.11.2026</v>
      </c>
      <c r="V11" s="7" t="s">
        <v>20</v>
      </c>
      <c r="W11" s="22" t="n">
        <f aca="false">IF(OR($U$3=0,$A11=""),0,IFERROR(INDEX(БАЗА_ЦІНИ,MATCH($A11,БАЗА_КАТ,0),$U$3),0))</f>
        <v>7770</v>
      </c>
      <c r="X11" s="22" t="n">
        <f aca="false">IF(OR($U$3=0,$A11=""),0,IFERROR(INDEX(БАЗА_ЦІНИ,MATCH($A11,БАЗА_КАТ,0),$U$3+1),0))</f>
        <v>9770</v>
      </c>
      <c r="Y11" s="9" t="n">
        <f aca="false">IF($A11="",0,IFERROR(INDEX(ДОВ_МАКС,MATCH($A11,КАТЕГОРІЇ,0)),0))</f>
        <v>8</v>
      </c>
      <c r="Z11" s="9" t="n">
        <f aca="false">IF($A11="",0,IFERROR(INDEX(ДОВ_ВКЛ,MATCH($A11,КАТЕГОРІЇ,0)),0))</f>
        <v>6</v>
      </c>
      <c r="AA11" s="22" t="n">
        <f aca="false">IF($A11="",0,IFERROR(INDEX(ДОВ_ДОПЛ_ДОР,MATCH($A11,КАТЕГОРІЇ,0)),0))</f>
        <v>1000</v>
      </c>
      <c r="AB11" s="6" t="n">
        <f aca="false">IF(OR($U$3=0,$U$8=0),0,IFERROR(INDEX(ПАКЕТИ_ЦІНИ,MATCH($U$10&amp;"|Будні",ПАКЕТИ_КЛЮЧ,0),$U$3),0))</f>
        <v>0</v>
      </c>
      <c r="AC11" s="6" t="n">
        <f aca="false">IF(OR($U$3=0,$U$8=0),0,IFERROR(INDEX(ПАКЕТИ_ЦІНИ,MATCH($U$10&amp;"|Вихідні",ПАКЕТИ_КЛЮЧ,0),$U$3),0))</f>
        <v>0</v>
      </c>
      <c r="AD11" s="6" t="n">
        <f aca="false">IF(OR($U$3=0,$U$9=0,$A11=""),0,IFERROR(INDEX(SPA_ЦІНИ,MATCH(INDEX(ДОВ_SPA,MATCH($A11,КАТЕГОРІЇ,0)),SPA_РІВЕНЬ,0),$U$3),0))</f>
        <v>0</v>
      </c>
      <c r="AE11" s="6" t="n">
        <f aca="false">IF(OR($U$3=0,$U$9=0,$A11=""),0,IFERROR(INDEX(SPA_ЦІНИ,MATCH(INDEX(ДОВ_SPA,MATCH($A11,КАТЕГОРІЇ,0)),SPA_РІВЕНЬ,0),$U$3+1),0))</f>
        <v>0</v>
      </c>
      <c r="AF11" s="6" t="n">
        <f aca="false">IF(OR($A11="",W11=0,AND($U$8=1,AB11=0),AND($U$9=1,AD11=0)),0,1)</f>
        <v>1</v>
      </c>
      <c r="AG11" s="6" t="n">
        <f aca="false">IF(OR($A11="",X11=0,AND($U$8=1,AC11=0),AND($U$9=1,AE11=0)),0,1)</f>
        <v>1</v>
      </c>
    </row>
    <row r="12" customFormat="false" ht="15" hidden="false" customHeight="false" outlineLevel="0" collapsed="false">
      <c r="A12" s="23" t="str">
        <f aca="false">IF('Довідник категорій'!B8="","",'Довідник категорій'!B8)</f>
        <v/>
      </c>
      <c r="B12" s="24" t="str">
        <f aca="false">IF($A12="","",IFERROR(INDEX(ДОВ_BOOKING,MATCH($A12,КАТЕГОРІЇ,0)),""))</f>
        <v/>
      </c>
      <c r="C12" s="25" t="str">
        <f aca="false">IF($A12="","",IFERROR(INDEX(ДОВ_КОД,MATCH($A12,КАТЕГОРІЇ,0)),""))</f>
        <v/>
      </c>
      <c r="D12" s="26" t="str">
        <f aca="false">IF(OR($AF12=0,D$8&gt;$Y12),"",ROUND($W12*(1-$U$5)/ОКРУГЛЕННЯ,0)*ОКРУГЛЕННЯ+MAX(0,D$8-$Z12)*$AA12*(1-$U$5)+D$8*$AB12*(1-$U$5*$U$6)+$AD12*(1-$U$5*$U$7))</f>
        <v/>
      </c>
      <c r="E12" s="26" t="str">
        <f aca="false">IF(OR($AF12=0,E$8&gt;$Y12),"",ROUND($W12*(1-$U$5)/ОКРУГЛЕННЯ,0)*ОКРУГЛЕННЯ+MAX(0,E$8-$Z12)*$AA12*(1-$U$5)+E$8*$AB12*(1-$U$5*$U$6)+$AD12*(1-$U$5*$U$7))</f>
        <v/>
      </c>
      <c r="F12" s="26" t="str">
        <f aca="false">IF(OR($AF12=0,F$8&gt;$Y12),"",ROUND($W12*(1-$U$5)/ОКРУГЛЕННЯ,0)*ОКРУГЛЕННЯ+MAX(0,F$8-$Z12)*$AA12*(1-$U$5)+F$8*$AB12*(1-$U$5*$U$6)+$AD12*(1-$U$5*$U$7))</f>
        <v/>
      </c>
      <c r="G12" s="26" t="str">
        <f aca="false">IF(OR($AF12=0,G$8&gt;$Y12),"",ROUND($W12*(1-$U$5)/ОКРУГЛЕННЯ,0)*ОКРУГЛЕННЯ+MAX(0,G$8-$Z12)*$AA12*(1-$U$5)+G$8*$AB12*(1-$U$5*$U$6)+$AD12*(1-$U$5*$U$7))</f>
        <v/>
      </c>
      <c r="H12" s="26" t="str">
        <f aca="false">IF(OR($AF12=0,H$8&gt;$Y12),"",ROUND($W12*(1-$U$5)/ОКРУГЛЕННЯ,0)*ОКРУГЛЕННЯ+MAX(0,H$8-$Z12)*$AA12*(1-$U$5)+H$8*$AB12*(1-$U$5*$U$6)+$AD12*(1-$U$5*$U$7))</f>
        <v/>
      </c>
      <c r="I12" s="26" t="str">
        <f aca="false">IF(OR($AF12=0,I$8&gt;$Y12),"",ROUND($W12*(1-$U$5)/ОКРУГЛЕННЯ,0)*ОКРУГЛЕННЯ+MAX(0,I$8-$Z12)*$AA12*(1-$U$5)+I$8*$AB12*(1-$U$5*$U$6)+$AD12*(1-$U$5*$U$7))</f>
        <v/>
      </c>
      <c r="J12" s="26" t="str">
        <f aca="false">IF(OR($AF12=0,J$8&gt;$Y12),"",ROUND($W12*(1-$U$5)/ОКРУГЛЕННЯ,0)*ОКРУГЛЕННЯ+MAX(0,J$8-$Z12)*$AA12*(1-$U$5)+J$8*$AB12*(1-$U$5*$U$6)+$AD12*(1-$U$5*$U$7))</f>
        <v/>
      </c>
      <c r="K12" s="27" t="str">
        <f aca="false">IF(OR($AF12=0,K$8&gt;$Y12),"",ROUND($W12*(1-$U$5)/ОКРУГЛЕННЯ,0)*ОКРУГЛЕННЯ+MAX(0,K$8-$Z12)*$AA12*(1-$U$5)+K$8*$AB12*(1-$U$5*$U$6)+$AD12*(1-$U$5*$U$7))</f>
        <v/>
      </c>
      <c r="M12" s="28" t="str">
        <f aca="false">IF(OR($AG12=0,M$8&gt;$Y12),"",ROUND($X12*(1-$U$5)/ОКРУГЛЕННЯ,0)*ОКРУГЛЕННЯ+MAX(0,M$8-$Z12)*$AA12*(1-$U$5)+M$8*$AC12*(1-$U$5*$U$6)+$AE12*(1-$U$5*$U$7))</f>
        <v/>
      </c>
      <c r="N12" s="26" t="str">
        <f aca="false">IF(OR($AG12=0,N$8&gt;$Y12),"",ROUND($X12*(1-$U$5)/ОКРУГЛЕННЯ,0)*ОКРУГЛЕННЯ+MAX(0,N$8-$Z12)*$AA12*(1-$U$5)+N$8*$AC12*(1-$U$5*$U$6)+$AE12*(1-$U$5*$U$7))</f>
        <v/>
      </c>
      <c r="O12" s="26" t="str">
        <f aca="false">IF(OR($AG12=0,O$8&gt;$Y12),"",ROUND($X12*(1-$U$5)/ОКРУГЛЕННЯ,0)*ОКРУГЛЕННЯ+MAX(0,O$8-$Z12)*$AA12*(1-$U$5)+O$8*$AC12*(1-$U$5*$U$6)+$AE12*(1-$U$5*$U$7))</f>
        <v/>
      </c>
      <c r="P12" s="26" t="str">
        <f aca="false">IF(OR($AG12=0,P$8&gt;$Y12),"",ROUND($X12*(1-$U$5)/ОКРУГЛЕННЯ,0)*ОКРУГЛЕННЯ+MAX(0,P$8-$Z12)*$AA12*(1-$U$5)+P$8*$AC12*(1-$U$5*$U$6)+$AE12*(1-$U$5*$U$7))</f>
        <v/>
      </c>
      <c r="Q12" s="26" t="str">
        <f aca="false">IF(OR($AG12=0,Q$8&gt;$Y12),"",ROUND($X12*(1-$U$5)/ОКРУГЛЕННЯ,0)*ОКРУГЛЕННЯ+MAX(0,Q$8-$Z12)*$AA12*(1-$U$5)+Q$8*$AC12*(1-$U$5*$U$6)+$AE12*(1-$U$5*$U$7))</f>
        <v/>
      </c>
      <c r="R12" s="26" t="str">
        <f aca="false">IF(OR($AG12=0,R$8&gt;$Y12),"",ROUND($X12*(1-$U$5)/ОКРУГЛЕННЯ,0)*ОКРУГЛЕННЯ+MAX(0,R$8-$Z12)*$AA12*(1-$U$5)+R$8*$AC12*(1-$U$5*$U$6)+$AE12*(1-$U$5*$U$7))</f>
        <v/>
      </c>
      <c r="S12" s="26" t="str">
        <f aca="false">IF(OR($AG12=0,S$8&gt;$Y12),"",ROUND($X12*(1-$U$5)/ОКРУГЛЕННЯ,0)*ОКРУГЛЕННЯ+MAX(0,S$8-$Z12)*$AA12*(1-$U$5)+S$8*$AC12*(1-$U$5*$U$6)+$AE12*(1-$U$5*$U$7))</f>
        <v/>
      </c>
      <c r="T12" s="26" t="str">
        <f aca="false">IF(OR($AG12=0,T$8&gt;$Y12),"",ROUND($X12*(1-$U$5)/ОКРУГЛЕННЯ,0)*ОКРУГЛЕННЯ+MAX(0,T$8-$Z12)*$AA12*(1-$U$5)+T$8*$AC12*(1-$U$5*$U$6)+$AE12*(1-$U$5*$U$7))</f>
        <v/>
      </c>
      <c r="U12" s="6" t="n">
        <f aca="false">IFERROR(MATCH($B$3,ПРАЙС_ЛИСТИ,0),0)</f>
        <v>3</v>
      </c>
      <c r="V12" s="7" t="s">
        <v>21</v>
      </c>
      <c r="W12" s="6" t="n">
        <f aca="false">IF(OR($U$3=0,$A12=""),0,IFERROR(INDEX(БАЗА_ЦІНИ,MATCH($A12,БАЗА_КАТ,0),$U$3),0))</f>
        <v>0</v>
      </c>
      <c r="X12" s="6" t="n">
        <f aca="false">IF(OR($U$3=0,$A12=""),0,IFERROR(INDEX(БАЗА_ЦІНИ,MATCH($A12,БАЗА_КАТ,0),$U$3+1),0))</f>
        <v>0</v>
      </c>
      <c r="Y12" s="6" t="n">
        <f aca="false">IF($A12="",0,IFERROR(INDEX(ДОВ_МАКС,MATCH($A12,КАТЕГОРІЇ,0)),0))</f>
        <v>0</v>
      </c>
      <c r="Z12" s="6" t="n">
        <f aca="false">IF($A12="",0,IFERROR(INDEX(ДОВ_ВКЛ,MATCH($A12,КАТЕГОРІЇ,0)),0))</f>
        <v>0</v>
      </c>
      <c r="AA12" s="6" t="n">
        <f aca="false">IF($A12="",0,IFERROR(INDEX(ДОВ_ДОПЛ_ДОР,MATCH($A12,КАТЕГОРІЇ,0)),0))</f>
        <v>0</v>
      </c>
      <c r="AB12" s="6" t="n">
        <f aca="false">IF(OR($U$3=0,$U$8=0),0,IFERROR(INDEX(ПАКЕТИ_ЦІНИ,MATCH($U$10&amp;"|Будні",ПАКЕТИ_КЛЮЧ,0),$U$3),0))</f>
        <v>0</v>
      </c>
      <c r="AC12" s="6" t="n">
        <f aca="false">IF(OR($U$3=0,$U$8=0),0,IFERROR(INDEX(ПАКЕТИ_ЦІНИ,MATCH($U$10&amp;"|Вихідні",ПАКЕТИ_КЛЮЧ,0),$U$3),0))</f>
        <v>0</v>
      </c>
      <c r="AD12" s="6" t="n">
        <f aca="false">IF(OR($U$3=0,$U$9=0,$A12=""),0,IFERROR(INDEX(SPA_ЦІНИ,MATCH(INDEX(ДОВ_SPA,MATCH($A12,КАТЕГОРІЇ,0)),SPA_РІВЕНЬ,0),$U$3),0))</f>
        <v>0</v>
      </c>
      <c r="AE12" s="6" t="n">
        <f aca="false">IF(OR($U$3=0,$U$9=0,$A12=""),0,IFERROR(INDEX(SPA_ЦІНИ,MATCH(INDEX(ДОВ_SPA,MATCH($A12,КАТЕГОРІЇ,0)),SPA_РІВЕНЬ,0),$U$3+1),0))</f>
        <v>0</v>
      </c>
      <c r="AF12" s="6" t="n">
        <f aca="false">IF(OR($A12="",W12=0,AND($U$8=1,AB12=0),AND($U$9=1,AD12=0)),0,1)</f>
        <v>0</v>
      </c>
      <c r="AG12" s="6" t="n">
        <f aca="false">IF(OR($A12="",X12=0,AND($U$8=1,AC12=0),AND($U$9=1,AE12=0)),0,1)</f>
        <v>0</v>
      </c>
    </row>
    <row r="13" customFormat="false" ht="15" hidden="false" customHeight="false" outlineLevel="0" collapsed="false">
      <c r="A13" s="16" t="str">
        <f aca="false">IF('Довідник категорій'!B9="","",'Довідник категорій'!B9)</f>
        <v/>
      </c>
      <c r="B13" s="17" t="str">
        <f aca="false">IF($A13="","",IFERROR(INDEX(ДОВ_BOOKING,MATCH($A13,КАТЕГОРІЇ,0)),""))</f>
        <v/>
      </c>
      <c r="C13" s="18" t="str">
        <f aca="false">IF($A13="","",IFERROR(INDEX(ДОВ_КОД,MATCH($A13,КАТЕГОРІЇ,0)),""))</f>
        <v/>
      </c>
      <c r="D13" s="19" t="str">
        <f aca="false">IF(OR($AF13=0,D$8&gt;$Y13),"",ROUND($W13*(1-$U$5)/ОКРУГЛЕННЯ,0)*ОКРУГЛЕННЯ+MAX(0,D$8-$Z13)*$AA13*(1-$U$5)+D$8*$AB13*(1-$U$5*$U$6)+$AD13*(1-$U$5*$U$7))</f>
        <v/>
      </c>
      <c r="E13" s="19" t="str">
        <f aca="false">IF(OR($AF13=0,E$8&gt;$Y13),"",ROUND($W13*(1-$U$5)/ОКРУГЛЕННЯ,0)*ОКРУГЛЕННЯ+MAX(0,E$8-$Z13)*$AA13*(1-$U$5)+E$8*$AB13*(1-$U$5*$U$6)+$AD13*(1-$U$5*$U$7))</f>
        <v/>
      </c>
      <c r="F13" s="19" t="str">
        <f aca="false">IF(OR($AF13=0,F$8&gt;$Y13),"",ROUND($W13*(1-$U$5)/ОКРУГЛЕННЯ,0)*ОКРУГЛЕННЯ+MAX(0,F$8-$Z13)*$AA13*(1-$U$5)+F$8*$AB13*(1-$U$5*$U$6)+$AD13*(1-$U$5*$U$7))</f>
        <v/>
      </c>
      <c r="G13" s="19" t="str">
        <f aca="false">IF(OR($AF13=0,G$8&gt;$Y13),"",ROUND($W13*(1-$U$5)/ОКРУГЛЕННЯ,0)*ОКРУГЛЕННЯ+MAX(0,G$8-$Z13)*$AA13*(1-$U$5)+G$8*$AB13*(1-$U$5*$U$6)+$AD13*(1-$U$5*$U$7))</f>
        <v/>
      </c>
      <c r="H13" s="19" t="str">
        <f aca="false">IF(OR($AF13=0,H$8&gt;$Y13),"",ROUND($W13*(1-$U$5)/ОКРУГЛЕННЯ,0)*ОКРУГЛЕННЯ+MAX(0,H$8-$Z13)*$AA13*(1-$U$5)+H$8*$AB13*(1-$U$5*$U$6)+$AD13*(1-$U$5*$U$7))</f>
        <v/>
      </c>
      <c r="I13" s="19" t="str">
        <f aca="false">IF(OR($AF13=0,I$8&gt;$Y13),"",ROUND($W13*(1-$U$5)/ОКРУГЛЕННЯ,0)*ОКРУГЛЕННЯ+MAX(0,I$8-$Z13)*$AA13*(1-$U$5)+I$8*$AB13*(1-$U$5*$U$6)+$AD13*(1-$U$5*$U$7))</f>
        <v/>
      </c>
      <c r="J13" s="19" t="str">
        <f aca="false">IF(OR($AF13=0,J$8&gt;$Y13),"",ROUND($W13*(1-$U$5)/ОКРУГЛЕННЯ,0)*ОКРУГЛЕННЯ+MAX(0,J$8-$Z13)*$AA13*(1-$U$5)+J$8*$AB13*(1-$U$5*$U$6)+$AD13*(1-$U$5*$U$7))</f>
        <v/>
      </c>
      <c r="K13" s="20" t="str">
        <f aca="false">IF(OR($AF13=0,K$8&gt;$Y13),"",ROUND($W13*(1-$U$5)/ОКРУГЛЕННЯ,0)*ОКРУГЛЕННЯ+MAX(0,K$8-$Z13)*$AA13*(1-$U$5)+K$8*$AB13*(1-$U$5*$U$6)+$AD13*(1-$U$5*$U$7))</f>
        <v/>
      </c>
      <c r="M13" s="21" t="str">
        <f aca="false">IF(OR($AG13=0,M$8&gt;$Y13),"",ROUND($X13*(1-$U$5)/ОКРУГЛЕННЯ,0)*ОКРУГЛЕННЯ+MAX(0,M$8-$Z13)*$AA13*(1-$U$5)+M$8*$AC13*(1-$U$5*$U$6)+$AE13*(1-$U$5*$U$7))</f>
        <v/>
      </c>
      <c r="N13" s="19" t="str">
        <f aca="false">IF(OR($AG13=0,N$8&gt;$Y13),"",ROUND($X13*(1-$U$5)/ОКРУГЛЕННЯ,0)*ОКРУГЛЕННЯ+MAX(0,N$8-$Z13)*$AA13*(1-$U$5)+N$8*$AC13*(1-$U$5*$U$6)+$AE13*(1-$U$5*$U$7))</f>
        <v/>
      </c>
      <c r="O13" s="19" t="str">
        <f aca="false">IF(OR($AG13=0,O$8&gt;$Y13),"",ROUND($X13*(1-$U$5)/ОКРУГЛЕННЯ,0)*ОКРУГЛЕННЯ+MAX(0,O$8-$Z13)*$AA13*(1-$U$5)+O$8*$AC13*(1-$U$5*$U$6)+$AE13*(1-$U$5*$U$7))</f>
        <v/>
      </c>
      <c r="P13" s="19" t="str">
        <f aca="false">IF(OR($AG13=0,P$8&gt;$Y13),"",ROUND($X13*(1-$U$5)/ОКРУГЛЕННЯ,0)*ОКРУГЛЕННЯ+MAX(0,P$8-$Z13)*$AA13*(1-$U$5)+P$8*$AC13*(1-$U$5*$U$6)+$AE13*(1-$U$5*$U$7))</f>
        <v/>
      </c>
      <c r="Q13" s="19" t="str">
        <f aca="false">IF(OR($AG13=0,Q$8&gt;$Y13),"",ROUND($X13*(1-$U$5)/ОКРУГЛЕННЯ,0)*ОКРУГЛЕННЯ+MAX(0,Q$8-$Z13)*$AA13*(1-$U$5)+Q$8*$AC13*(1-$U$5*$U$6)+$AE13*(1-$U$5*$U$7))</f>
        <v/>
      </c>
      <c r="R13" s="19" t="str">
        <f aca="false">IF(OR($AG13=0,R$8&gt;$Y13),"",ROUND($X13*(1-$U$5)/ОКРУГЛЕННЯ,0)*ОКРУГЛЕННЯ+MAX(0,R$8-$Z13)*$AA13*(1-$U$5)+R$8*$AC13*(1-$U$5*$U$6)+$AE13*(1-$U$5*$U$7))</f>
        <v/>
      </c>
      <c r="S13" s="19" t="str">
        <f aca="false">IF(OR($AG13=0,S$8&gt;$Y13),"",ROUND($X13*(1-$U$5)/ОКРУГЛЕННЯ,0)*ОКРУГЛЕННЯ+MAX(0,S$8-$Z13)*$AA13*(1-$U$5)+S$8*$AC13*(1-$U$5*$U$6)+$AE13*(1-$U$5*$U$7))</f>
        <v/>
      </c>
      <c r="T13" s="19" t="str">
        <f aca="false">IF(OR($AG13=0,T$8&gt;$Y13),"",ROUND($X13*(1-$U$5)/ОКРУГЛЕННЯ,0)*ОКРУГЛЕННЯ+MAX(0,T$8-$Z13)*$AA13*(1-$U$5)+T$8*$AC13*(1-$U$5*$U$6)+$AE13*(1-$U$5*$U$7))</f>
        <v/>
      </c>
      <c r="U13" s="6" t="n">
        <f aca="false">IF($U$3=0,0,SUMPRODUCT(--(INDEX(БАЗА_ЦІНИ,0,$U$3)&lt;&gt;"")))</f>
        <v>3</v>
      </c>
      <c r="V13" s="7" t="s">
        <v>22</v>
      </c>
      <c r="W13" s="6" t="n">
        <f aca="false">IF(OR($U$3=0,$A13=""),0,IFERROR(INDEX(БАЗА_ЦІНИ,MATCH($A13,БАЗА_КАТ,0),$U$3),0))</f>
        <v>0</v>
      </c>
      <c r="X13" s="6" t="n">
        <f aca="false">IF(OR($U$3=0,$A13=""),0,IFERROR(INDEX(БАЗА_ЦІНИ,MATCH($A13,БАЗА_КАТ,0),$U$3+1),0))</f>
        <v>0</v>
      </c>
      <c r="Y13" s="6" t="n">
        <f aca="false">IF($A13="",0,IFERROR(INDEX(ДОВ_МАКС,MATCH($A13,КАТЕГОРІЇ,0)),0))</f>
        <v>0</v>
      </c>
      <c r="Z13" s="6" t="n">
        <f aca="false">IF($A13="",0,IFERROR(INDEX(ДОВ_ВКЛ,MATCH($A13,КАТЕГОРІЇ,0)),0))</f>
        <v>0</v>
      </c>
      <c r="AA13" s="6" t="n">
        <f aca="false">IF($A13="",0,IFERROR(INDEX(ДОВ_ДОПЛ_ДОР,MATCH($A13,КАТЕГОРІЇ,0)),0))</f>
        <v>0</v>
      </c>
      <c r="AB13" s="6" t="n">
        <f aca="false">IF(OR($U$3=0,$U$8=0),0,IFERROR(INDEX(ПАКЕТИ_ЦІНИ,MATCH($U$10&amp;"|Будні",ПАКЕТИ_КЛЮЧ,0),$U$3),0))</f>
        <v>0</v>
      </c>
      <c r="AC13" s="6" t="n">
        <f aca="false">IF(OR($U$3=0,$U$8=0),0,IFERROR(INDEX(ПАКЕТИ_ЦІНИ,MATCH($U$10&amp;"|Вихідні",ПАКЕТИ_КЛЮЧ,0),$U$3),0))</f>
        <v>0</v>
      </c>
      <c r="AD13" s="6" t="n">
        <f aca="false">IF(OR($U$3=0,$U$9=0,$A13=""),0,IFERROR(INDEX(SPA_ЦІНИ,MATCH(INDEX(ДОВ_SPA,MATCH($A13,КАТЕГОРІЇ,0)),SPA_РІВЕНЬ,0),$U$3),0))</f>
        <v>0</v>
      </c>
      <c r="AE13" s="6" t="n">
        <f aca="false">IF(OR($U$3=0,$U$9=0,$A13=""),0,IFERROR(INDEX(SPA_ЦІНИ,MATCH(INDEX(ДОВ_SPA,MATCH($A13,КАТЕГОРІЇ,0)),SPA_РІВЕНЬ,0),$U$3+1),0))</f>
        <v>0</v>
      </c>
      <c r="AF13" s="6" t="n">
        <f aca="false">IF(OR($A13="",W13=0,AND($U$8=1,AB13=0),AND($U$9=1,AD13=0)),0,1)</f>
        <v>0</v>
      </c>
      <c r="AG13" s="6" t="n">
        <f aca="false">IF(OR($A13="",X13=0,AND($U$8=1,AC13=0),AND($U$9=1,AE13=0)),0,1)</f>
        <v>0</v>
      </c>
    </row>
    <row r="14" customFormat="false" ht="15" hidden="false" customHeight="false" outlineLevel="0" collapsed="false">
      <c r="A14" s="23" t="str">
        <f aca="false">IF('Довідник категорій'!B10="","",'Довідник категорій'!B10)</f>
        <v/>
      </c>
      <c r="B14" s="24" t="str">
        <f aca="false">IF($A14="","",IFERROR(INDEX(ДОВ_BOOKING,MATCH($A14,КАТЕГОРІЇ,0)),""))</f>
        <v/>
      </c>
      <c r="C14" s="25" t="str">
        <f aca="false">IF($A14="","",IFERROR(INDEX(ДОВ_КОД,MATCH($A14,КАТЕГОРІЇ,0)),""))</f>
        <v/>
      </c>
      <c r="D14" s="26" t="str">
        <f aca="false">IF(OR($AF14=0,D$8&gt;$Y14),"",ROUND($W14*(1-$U$5)/ОКРУГЛЕННЯ,0)*ОКРУГЛЕННЯ+MAX(0,D$8-$Z14)*$AA14*(1-$U$5)+D$8*$AB14*(1-$U$5*$U$6)+$AD14*(1-$U$5*$U$7))</f>
        <v/>
      </c>
      <c r="E14" s="26" t="str">
        <f aca="false">IF(OR($AF14=0,E$8&gt;$Y14),"",ROUND($W14*(1-$U$5)/ОКРУГЛЕННЯ,0)*ОКРУГЛЕННЯ+MAX(0,E$8-$Z14)*$AA14*(1-$U$5)+E$8*$AB14*(1-$U$5*$U$6)+$AD14*(1-$U$5*$U$7))</f>
        <v/>
      </c>
      <c r="F14" s="26" t="str">
        <f aca="false">IF(OR($AF14=0,F$8&gt;$Y14),"",ROUND($W14*(1-$U$5)/ОКРУГЛЕННЯ,0)*ОКРУГЛЕННЯ+MAX(0,F$8-$Z14)*$AA14*(1-$U$5)+F$8*$AB14*(1-$U$5*$U$6)+$AD14*(1-$U$5*$U$7))</f>
        <v/>
      </c>
      <c r="G14" s="26" t="str">
        <f aca="false">IF(OR($AF14=0,G$8&gt;$Y14),"",ROUND($W14*(1-$U$5)/ОКРУГЛЕННЯ,0)*ОКРУГЛЕННЯ+MAX(0,G$8-$Z14)*$AA14*(1-$U$5)+G$8*$AB14*(1-$U$5*$U$6)+$AD14*(1-$U$5*$U$7))</f>
        <v/>
      </c>
      <c r="H14" s="26" t="str">
        <f aca="false">IF(OR($AF14=0,H$8&gt;$Y14),"",ROUND($W14*(1-$U$5)/ОКРУГЛЕННЯ,0)*ОКРУГЛЕННЯ+MAX(0,H$8-$Z14)*$AA14*(1-$U$5)+H$8*$AB14*(1-$U$5*$U$6)+$AD14*(1-$U$5*$U$7))</f>
        <v/>
      </c>
      <c r="I14" s="26" t="str">
        <f aca="false">IF(OR($AF14=0,I$8&gt;$Y14),"",ROUND($W14*(1-$U$5)/ОКРУГЛЕННЯ,0)*ОКРУГЛЕННЯ+MAX(0,I$8-$Z14)*$AA14*(1-$U$5)+I$8*$AB14*(1-$U$5*$U$6)+$AD14*(1-$U$5*$U$7))</f>
        <v/>
      </c>
      <c r="J14" s="26" t="str">
        <f aca="false">IF(OR($AF14=0,J$8&gt;$Y14),"",ROUND($W14*(1-$U$5)/ОКРУГЛЕННЯ,0)*ОКРУГЛЕННЯ+MAX(0,J$8-$Z14)*$AA14*(1-$U$5)+J$8*$AB14*(1-$U$5*$U$6)+$AD14*(1-$U$5*$U$7))</f>
        <v/>
      </c>
      <c r="K14" s="27" t="str">
        <f aca="false">IF(OR($AF14=0,K$8&gt;$Y14),"",ROUND($W14*(1-$U$5)/ОКРУГЛЕННЯ,0)*ОКРУГЛЕННЯ+MAX(0,K$8-$Z14)*$AA14*(1-$U$5)+K$8*$AB14*(1-$U$5*$U$6)+$AD14*(1-$U$5*$U$7))</f>
        <v/>
      </c>
      <c r="M14" s="28" t="str">
        <f aca="false">IF(OR($AG14=0,M$8&gt;$Y14),"",ROUND($X14*(1-$U$5)/ОКРУГЛЕННЯ,0)*ОКРУГЛЕННЯ+MAX(0,M$8-$Z14)*$AA14*(1-$U$5)+M$8*$AC14*(1-$U$5*$U$6)+$AE14*(1-$U$5*$U$7))</f>
        <v/>
      </c>
      <c r="N14" s="26" t="str">
        <f aca="false">IF(OR($AG14=0,N$8&gt;$Y14),"",ROUND($X14*(1-$U$5)/ОКРУГЛЕННЯ,0)*ОКРУГЛЕННЯ+MAX(0,N$8-$Z14)*$AA14*(1-$U$5)+N$8*$AC14*(1-$U$5*$U$6)+$AE14*(1-$U$5*$U$7))</f>
        <v/>
      </c>
      <c r="O14" s="26" t="str">
        <f aca="false">IF(OR($AG14=0,O$8&gt;$Y14),"",ROUND($X14*(1-$U$5)/ОКРУГЛЕННЯ,0)*ОКРУГЛЕННЯ+MAX(0,O$8-$Z14)*$AA14*(1-$U$5)+O$8*$AC14*(1-$U$5*$U$6)+$AE14*(1-$U$5*$U$7))</f>
        <v/>
      </c>
      <c r="P14" s="26" t="str">
        <f aca="false">IF(OR($AG14=0,P$8&gt;$Y14),"",ROUND($X14*(1-$U$5)/ОКРУГЛЕННЯ,0)*ОКРУГЛЕННЯ+MAX(0,P$8-$Z14)*$AA14*(1-$U$5)+P$8*$AC14*(1-$U$5*$U$6)+$AE14*(1-$U$5*$U$7))</f>
        <v/>
      </c>
      <c r="Q14" s="26" t="str">
        <f aca="false">IF(OR($AG14=0,Q$8&gt;$Y14),"",ROUND($X14*(1-$U$5)/ОКРУГЛЕННЯ,0)*ОКРУГЛЕННЯ+MAX(0,Q$8-$Z14)*$AA14*(1-$U$5)+Q$8*$AC14*(1-$U$5*$U$6)+$AE14*(1-$U$5*$U$7))</f>
        <v/>
      </c>
      <c r="R14" s="26" t="str">
        <f aca="false">IF(OR($AG14=0,R$8&gt;$Y14),"",ROUND($X14*(1-$U$5)/ОКРУГЛЕННЯ,0)*ОКРУГЛЕННЯ+MAX(0,R$8-$Z14)*$AA14*(1-$U$5)+R$8*$AC14*(1-$U$5*$U$6)+$AE14*(1-$U$5*$U$7))</f>
        <v/>
      </c>
      <c r="S14" s="26" t="str">
        <f aca="false">IF(OR($AG14=0,S$8&gt;$Y14),"",ROUND($X14*(1-$U$5)/ОКРУГЛЕННЯ,0)*ОКРУГЛЕННЯ+MAX(0,S$8-$Z14)*$AA14*(1-$U$5)+S$8*$AC14*(1-$U$5*$U$6)+$AE14*(1-$U$5*$U$7))</f>
        <v/>
      </c>
      <c r="T14" s="26" t="str">
        <f aca="false">IF(OR($AG14=0,T$8&gt;$Y14),"",ROUND($X14*(1-$U$5)/ОКРУГЛЕННЯ,0)*ОКРУГЛЕННЯ+MAX(0,T$8-$Z14)*$AA14*(1-$U$5)+T$8*$AC14*(1-$U$5*$U$6)+$AE14*(1-$U$5*$U$7))</f>
        <v/>
      </c>
      <c r="W14" s="6" t="n">
        <f aca="false">IF(OR($U$3=0,$A14=""),0,IFERROR(INDEX(БАЗА_ЦІНИ,MATCH($A14,БАЗА_КАТ,0),$U$3),0))</f>
        <v>0</v>
      </c>
      <c r="X14" s="6" t="n">
        <f aca="false">IF(OR($U$3=0,$A14=""),0,IFERROR(INDEX(БАЗА_ЦІНИ,MATCH($A14,БАЗА_КАТ,0),$U$3+1),0))</f>
        <v>0</v>
      </c>
      <c r="Y14" s="6" t="n">
        <f aca="false">IF($A14="",0,IFERROR(INDEX(ДОВ_МАКС,MATCH($A14,КАТЕГОРІЇ,0)),0))</f>
        <v>0</v>
      </c>
      <c r="Z14" s="6" t="n">
        <f aca="false">IF($A14="",0,IFERROR(INDEX(ДОВ_ВКЛ,MATCH($A14,КАТЕГОРІЇ,0)),0))</f>
        <v>0</v>
      </c>
      <c r="AA14" s="6" t="n">
        <f aca="false">IF($A14="",0,IFERROR(INDEX(ДОВ_ДОПЛ_ДОР,MATCH($A14,КАТЕГОРІЇ,0)),0))</f>
        <v>0</v>
      </c>
      <c r="AB14" s="6" t="n">
        <f aca="false">IF(OR($U$3=0,$U$8=0),0,IFERROR(INDEX(ПАКЕТИ_ЦІНИ,MATCH($U$10&amp;"|Будні",ПАКЕТИ_КЛЮЧ,0),$U$3),0))</f>
        <v>0</v>
      </c>
      <c r="AC14" s="6" t="n">
        <f aca="false">IF(OR($U$3=0,$U$8=0),0,IFERROR(INDEX(ПАКЕТИ_ЦІНИ,MATCH($U$10&amp;"|Вихідні",ПАКЕТИ_КЛЮЧ,0),$U$3),0))</f>
        <v>0</v>
      </c>
      <c r="AD14" s="6" t="n">
        <f aca="false">IF(OR($U$3=0,$U$9=0,$A14=""),0,IFERROR(INDEX(SPA_ЦІНИ,MATCH(INDEX(ДОВ_SPA,MATCH($A14,КАТЕГОРІЇ,0)),SPA_РІВЕНЬ,0),$U$3),0))</f>
        <v>0</v>
      </c>
      <c r="AE14" s="6" t="n">
        <f aca="false">IF(OR($U$3=0,$U$9=0,$A14=""),0,IFERROR(INDEX(SPA_ЦІНИ,MATCH(INDEX(ДОВ_SPA,MATCH($A14,КАТЕГОРІЇ,0)),SPA_РІВЕНЬ,0),$U$3+1),0))</f>
        <v>0</v>
      </c>
      <c r="AF14" s="6" t="n">
        <f aca="false">IF(OR($A14="",W14=0,AND($U$8=1,AB14=0),AND($U$9=1,AD14=0)),0,1)</f>
        <v>0</v>
      </c>
      <c r="AG14" s="6" t="n">
        <f aca="false">IF(OR($A14="",X14=0,AND($U$8=1,AC14=0),AND($U$9=1,AE14=0)),0,1)</f>
        <v>0</v>
      </c>
    </row>
    <row r="15" customFormat="false" ht="15" hidden="false" customHeight="false" outlineLevel="0" collapsed="false">
      <c r="A15" s="16" t="str">
        <f aca="false">IF('Довідник категорій'!B11="","",'Довідник категорій'!B11)</f>
        <v/>
      </c>
      <c r="B15" s="17" t="str">
        <f aca="false">IF($A15="","",IFERROR(INDEX(ДОВ_BOOKING,MATCH($A15,КАТЕГОРІЇ,0)),""))</f>
        <v/>
      </c>
      <c r="C15" s="18" t="str">
        <f aca="false">IF($A15="","",IFERROR(INDEX(ДОВ_КОД,MATCH($A15,КАТЕГОРІЇ,0)),""))</f>
        <v/>
      </c>
      <c r="D15" s="19" t="str">
        <f aca="false">IF(OR($AF15=0,D$8&gt;$Y15),"",ROUND($W15*(1-$U$5)/ОКРУГЛЕННЯ,0)*ОКРУГЛЕННЯ+MAX(0,D$8-$Z15)*$AA15*(1-$U$5)+D$8*$AB15*(1-$U$5*$U$6)+$AD15*(1-$U$5*$U$7))</f>
        <v/>
      </c>
      <c r="E15" s="19" t="str">
        <f aca="false">IF(OR($AF15=0,E$8&gt;$Y15),"",ROUND($W15*(1-$U$5)/ОКРУГЛЕННЯ,0)*ОКРУГЛЕННЯ+MAX(0,E$8-$Z15)*$AA15*(1-$U$5)+E$8*$AB15*(1-$U$5*$U$6)+$AD15*(1-$U$5*$U$7))</f>
        <v/>
      </c>
      <c r="F15" s="19" t="str">
        <f aca="false">IF(OR($AF15=0,F$8&gt;$Y15),"",ROUND($W15*(1-$U$5)/ОКРУГЛЕННЯ,0)*ОКРУГЛЕННЯ+MAX(0,F$8-$Z15)*$AA15*(1-$U$5)+F$8*$AB15*(1-$U$5*$U$6)+$AD15*(1-$U$5*$U$7))</f>
        <v/>
      </c>
      <c r="G15" s="19" t="str">
        <f aca="false">IF(OR($AF15=0,G$8&gt;$Y15),"",ROUND($W15*(1-$U$5)/ОКРУГЛЕННЯ,0)*ОКРУГЛЕННЯ+MAX(0,G$8-$Z15)*$AA15*(1-$U$5)+G$8*$AB15*(1-$U$5*$U$6)+$AD15*(1-$U$5*$U$7))</f>
        <v/>
      </c>
      <c r="H15" s="19" t="str">
        <f aca="false">IF(OR($AF15=0,H$8&gt;$Y15),"",ROUND($W15*(1-$U$5)/ОКРУГЛЕННЯ,0)*ОКРУГЛЕННЯ+MAX(0,H$8-$Z15)*$AA15*(1-$U$5)+H$8*$AB15*(1-$U$5*$U$6)+$AD15*(1-$U$5*$U$7))</f>
        <v/>
      </c>
      <c r="I15" s="19" t="str">
        <f aca="false">IF(OR($AF15=0,I$8&gt;$Y15),"",ROUND($W15*(1-$U$5)/ОКРУГЛЕННЯ,0)*ОКРУГЛЕННЯ+MAX(0,I$8-$Z15)*$AA15*(1-$U$5)+I$8*$AB15*(1-$U$5*$U$6)+$AD15*(1-$U$5*$U$7))</f>
        <v/>
      </c>
      <c r="J15" s="19" t="str">
        <f aca="false">IF(OR($AF15=0,J$8&gt;$Y15),"",ROUND($W15*(1-$U$5)/ОКРУГЛЕННЯ,0)*ОКРУГЛЕННЯ+MAX(0,J$8-$Z15)*$AA15*(1-$U$5)+J$8*$AB15*(1-$U$5*$U$6)+$AD15*(1-$U$5*$U$7))</f>
        <v/>
      </c>
      <c r="K15" s="20" t="str">
        <f aca="false">IF(OR($AF15=0,K$8&gt;$Y15),"",ROUND($W15*(1-$U$5)/ОКРУГЛЕННЯ,0)*ОКРУГЛЕННЯ+MAX(0,K$8-$Z15)*$AA15*(1-$U$5)+K$8*$AB15*(1-$U$5*$U$6)+$AD15*(1-$U$5*$U$7))</f>
        <v/>
      </c>
      <c r="M15" s="21" t="str">
        <f aca="false">IF(OR($AG15=0,M$8&gt;$Y15),"",ROUND($X15*(1-$U$5)/ОКРУГЛЕННЯ,0)*ОКРУГЛЕННЯ+MAX(0,M$8-$Z15)*$AA15*(1-$U$5)+M$8*$AC15*(1-$U$5*$U$6)+$AE15*(1-$U$5*$U$7))</f>
        <v/>
      </c>
      <c r="N15" s="19" t="str">
        <f aca="false">IF(OR($AG15=0,N$8&gt;$Y15),"",ROUND($X15*(1-$U$5)/ОКРУГЛЕННЯ,0)*ОКРУГЛЕННЯ+MAX(0,N$8-$Z15)*$AA15*(1-$U$5)+N$8*$AC15*(1-$U$5*$U$6)+$AE15*(1-$U$5*$U$7))</f>
        <v/>
      </c>
      <c r="O15" s="19" t="str">
        <f aca="false">IF(OR($AG15=0,O$8&gt;$Y15),"",ROUND($X15*(1-$U$5)/ОКРУГЛЕННЯ,0)*ОКРУГЛЕННЯ+MAX(0,O$8-$Z15)*$AA15*(1-$U$5)+O$8*$AC15*(1-$U$5*$U$6)+$AE15*(1-$U$5*$U$7))</f>
        <v/>
      </c>
      <c r="P15" s="19" t="str">
        <f aca="false">IF(OR($AG15=0,P$8&gt;$Y15),"",ROUND($X15*(1-$U$5)/ОКРУГЛЕННЯ,0)*ОКРУГЛЕННЯ+MAX(0,P$8-$Z15)*$AA15*(1-$U$5)+P$8*$AC15*(1-$U$5*$U$6)+$AE15*(1-$U$5*$U$7))</f>
        <v/>
      </c>
      <c r="Q15" s="19" t="str">
        <f aca="false">IF(OR($AG15=0,Q$8&gt;$Y15),"",ROUND($X15*(1-$U$5)/ОКРУГЛЕННЯ,0)*ОКРУГЛЕННЯ+MAX(0,Q$8-$Z15)*$AA15*(1-$U$5)+Q$8*$AC15*(1-$U$5*$U$6)+$AE15*(1-$U$5*$U$7))</f>
        <v/>
      </c>
      <c r="R15" s="19" t="str">
        <f aca="false">IF(OR($AG15=0,R$8&gt;$Y15),"",ROUND($X15*(1-$U$5)/ОКРУГЛЕННЯ,0)*ОКРУГЛЕННЯ+MAX(0,R$8-$Z15)*$AA15*(1-$U$5)+R$8*$AC15*(1-$U$5*$U$6)+$AE15*(1-$U$5*$U$7))</f>
        <v/>
      </c>
      <c r="S15" s="19" t="str">
        <f aca="false">IF(OR($AG15=0,S$8&gt;$Y15),"",ROUND($X15*(1-$U$5)/ОКРУГЛЕННЯ,0)*ОКРУГЛЕННЯ+MAX(0,S$8-$Z15)*$AA15*(1-$U$5)+S$8*$AC15*(1-$U$5*$U$6)+$AE15*(1-$U$5*$U$7))</f>
        <v/>
      </c>
      <c r="T15" s="19" t="str">
        <f aca="false">IF(OR($AG15=0,T$8&gt;$Y15),"",ROUND($X15*(1-$U$5)/ОКРУГЛЕННЯ,0)*ОКРУГЛЕННЯ+MAX(0,T$8-$Z15)*$AA15*(1-$U$5)+T$8*$AC15*(1-$U$5*$U$6)+$AE15*(1-$U$5*$U$7))</f>
        <v/>
      </c>
      <c r="W15" s="6" t="n">
        <f aca="false">IF(OR($U$3=0,$A15=""),0,IFERROR(INDEX(БАЗА_ЦІНИ,MATCH($A15,БАЗА_КАТ,0),$U$3),0))</f>
        <v>0</v>
      </c>
      <c r="X15" s="6" t="n">
        <f aca="false">IF(OR($U$3=0,$A15=""),0,IFERROR(INDEX(БАЗА_ЦІНИ,MATCH($A15,БАЗА_КАТ,0),$U$3+1),0))</f>
        <v>0</v>
      </c>
      <c r="Y15" s="6" t="n">
        <f aca="false">IF($A15="",0,IFERROR(INDEX(ДОВ_МАКС,MATCH($A15,КАТЕГОРІЇ,0)),0))</f>
        <v>0</v>
      </c>
      <c r="Z15" s="6" t="n">
        <f aca="false">IF($A15="",0,IFERROR(INDEX(ДОВ_ВКЛ,MATCH($A15,КАТЕГОРІЇ,0)),0))</f>
        <v>0</v>
      </c>
      <c r="AA15" s="6" t="n">
        <f aca="false">IF($A15="",0,IFERROR(INDEX(ДОВ_ДОПЛ_ДОР,MATCH($A15,КАТЕГОРІЇ,0)),0))</f>
        <v>0</v>
      </c>
      <c r="AB15" s="6" t="n">
        <f aca="false">IF(OR($U$3=0,$U$8=0),0,IFERROR(INDEX(ПАКЕТИ_ЦІНИ,MATCH($U$10&amp;"|Будні",ПАКЕТИ_КЛЮЧ,0),$U$3),0))</f>
        <v>0</v>
      </c>
      <c r="AC15" s="6" t="n">
        <f aca="false">IF(OR($U$3=0,$U$8=0),0,IFERROR(INDEX(ПАКЕТИ_ЦІНИ,MATCH($U$10&amp;"|Вихідні",ПАКЕТИ_КЛЮЧ,0),$U$3),0))</f>
        <v>0</v>
      </c>
      <c r="AD15" s="6" t="n">
        <f aca="false">IF(OR($U$3=0,$U$9=0,$A15=""),0,IFERROR(INDEX(SPA_ЦІНИ,MATCH(INDEX(ДОВ_SPA,MATCH($A15,КАТЕГОРІЇ,0)),SPA_РІВЕНЬ,0),$U$3),0))</f>
        <v>0</v>
      </c>
      <c r="AE15" s="6" t="n">
        <f aca="false">IF(OR($U$3=0,$U$9=0,$A15=""),0,IFERROR(INDEX(SPA_ЦІНИ,MATCH(INDEX(ДОВ_SPA,MATCH($A15,КАТЕГОРІЇ,0)),SPA_РІВЕНЬ,0),$U$3+1),0))</f>
        <v>0</v>
      </c>
      <c r="AF15" s="6" t="n">
        <f aca="false">IF(OR($A15="",W15=0,AND($U$8=1,AB15=0),AND($U$9=1,AD15=0)),0,1)</f>
        <v>0</v>
      </c>
      <c r="AG15" s="6" t="n">
        <f aca="false">IF(OR($A15="",X15=0,AND($U$8=1,AC15=0),AND($U$9=1,AE15=0)),0,1)</f>
        <v>0</v>
      </c>
    </row>
    <row r="16" customFormat="false" ht="15" hidden="false" customHeight="false" outlineLevel="0" collapsed="false">
      <c r="A16" s="23" t="str">
        <f aca="false">IF('Довідник категорій'!B12="","",'Довідник категорій'!B12)</f>
        <v/>
      </c>
      <c r="B16" s="24" t="str">
        <f aca="false">IF($A16="","",IFERROR(INDEX(ДОВ_BOOKING,MATCH($A16,КАТЕГОРІЇ,0)),""))</f>
        <v/>
      </c>
      <c r="C16" s="25" t="str">
        <f aca="false">IF($A16="","",IFERROR(INDEX(ДОВ_КОД,MATCH($A16,КАТЕГОРІЇ,0)),""))</f>
        <v/>
      </c>
      <c r="D16" s="26" t="str">
        <f aca="false">IF(OR($AF16=0,D$8&gt;$Y16),"",ROUND($W16*(1-$U$5)/ОКРУГЛЕННЯ,0)*ОКРУГЛЕННЯ+MAX(0,D$8-$Z16)*$AA16*(1-$U$5)+D$8*$AB16*(1-$U$5*$U$6)+$AD16*(1-$U$5*$U$7))</f>
        <v/>
      </c>
      <c r="E16" s="26" t="str">
        <f aca="false">IF(OR($AF16=0,E$8&gt;$Y16),"",ROUND($W16*(1-$U$5)/ОКРУГЛЕННЯ,0)*ОКРУГЛЕННЯ+MAX(0,E$8-$Z16)*$AA16*(1-$U$5)+E$8*$AB16*(1-$U$5*$U$6)+$AD16*(1-$U$5*$U$7))</f>
        <v/>
      </c>
      <c r="F16" s="26" t="str">
        <f aca="false">IF(OR($AF16=0,F$8&gt;$Y16),"",ROUND($W16*(1-$U$5)/ОКРУГЛЕННЯ,0)*ОКРУГЛЕННЯ+MAX(0,F$8-$Z16)*$AA16*(1-$U$5)+F$8*$AB16*(1-$U$5*$U$6)+$AD16*(1-$U$5*$U$7))</f>
        <v/>
      </c>
      <c r="G16" s="26" t="str">
        <f aca="false">IF(OR($AF16=0,G$8&gt;$Y16),"",ROUND($W16*(1-$U$5)/ОКРУГЛЕННЯ,0)*ОКРУГЛЕННЯ+MAX(0,G$8-$Z16)*$AA16*(1-$U$5)+G$8*$AB16*(1-$U$5*$U$6)+$AD16*(1-$U$5*$U$7))</f>
        <v/>
      </c>
      <c r="H16" s="26" t="str">
        <f aca="false">IF(OR($AF16=0,H$8&gt;$Y16),"",ROUND($W16*(1-$U$5)/ОКРУГЛЕННЯ,0)*ОКРУГЛЕННЯ+MAX(0,H$8-$Z16)*$AA16*(1-$U$5)+H$8*$AB16*(1-$U$5*$U$6)+$AD16*(1-$U$5*$U$7))</f>
        <v/>
      </c>
      <c r="I16" s="26" t="str">
        <f aca="false">IF(OR($AF16=0,I$8&gt;$Y16),"",ROUND($W16*(1-$U$5)/ОКРУГЛЕННЯ,0)*ОКРУГЛЕННЯ+MAX(0,I$8-$Z16)*$AA16*(1-$U$5)+I$8*$AB16*(1-$U$5*$U$6)+$AD16*(1-$U$5*$U$7))</f>
        <v/>
      </c>
      <c r="J16" s="26" t="str">
        <f aca="false">IF(OR($AF16=0,J$8&gt;$Y16),"",ROUND($W16*(1-$U$5)/ОКРУГЛЕННЯ,0)*ОКРУГЛЕННЯ+MAX(0,J$8-$Z16)*$AA16*(1-$U$5)+J$8*$AB16*(1-$U$5*$U$6)+$AD16*(1-$U$5*$U$7))</f>
        <v/>
      </c>
      <c r="K16" s="27" t="str">
        <f aca="false">IF(OR($AF16=0,K$8&gt;$Y16),"",ROUND($W16*(1-$U$5)/ОКРУГЛЕННЯ,0)*ОКРУГЛЕННЯ+MAX(0,K$8-$Z16)*$AA16*(1-$U$5)+K$8*$AB16*(1-$U$5*$U$6)+$AD16*(1-$U$5*$U$7))</f>
        <v/>
      </c>
      <c r="M16" s="28" t="str">
        <f aca="false">IF(OR($AG16=0,M$8&gt;$Y16),"",ROUND($X16*(1-$U$5)/ОКРУГЛЕННЯ,0)*ОКРУГЛЕННЯ+MAX(0,M$8-$Z16)*$AA16*(1-$U$5)+M$8*$AC16*(1-$U$5*$U$6)+$AE16*(1-$U$5*$U$7))</f>
        <v/>
      </c>
      <c r="N16" s="26" t="str">
        <f aca="false">IF(OR($AG16=0,N$8&gt;$Y16),"",ROUND($X16*(1-$U$5)/ОКРУГЛЕННЯ,0)*ОКРУГЛЕННЯ+MAX(0,N$8-$Z16)*$AA16*(1-$U$5)+N$8*$AC16*(1-$U$5*$U$6)+$AE16*(1-$U$5*$U$7))</f>
        <v/>
      </c>
      <c r="O16" s="26" t="str">
        <f aca="false">IF(OR($AG16=0,O$8&gt;$Y16),"",ROUND($X16*(1-$U$5)/ОКРУГЛЕННЯ,0)*ОКРУГЛЕННЯ+MAX(0,O$8-$Z16)*$AA16*(1-$U$5)+O$8*$AC16*(1-$U$5*$U$6)+$AE16*(1-$U$5*$U$7))</f>
        <v/>
      </c>
      <c r="P16" s="26" t="str">
        <f aca="false">IF(OR($AG16=0,P$8&gt;$Y16),"",ROUND($X16*(1-$U$5)/ОКРУГЛЕННЯ,0)*ОКРУГЛЕННЯ+MAX(0,P$8-$Z16)*$AA16*(1-$U$5)+P$8*$AC16*(1-$U$5*$U$6)+$AE16*(1-$U$5*$U$7))</f>
        <v/>
      </c>
      <c r="Q16" s="26" t="str">
        <f aca="false">IF(OR($AG16=0,Q$8&gt;$Y16),"",ROUND($X16*(1-$U$5)/ОКРУГЛЕННЯ,0)*ОКРУГЛЕННЯ+MAX(0,Q$8-$Z16)*$AA16*(1-$U$5)+Q$8*$AC16*(1-$U$5*$U$6)+$AE16*(1-$U$5*$U$7))</f>
        <v/>
      </c>
      <c r="R16" s="26" t="str">
        <f aca="false">IF(OR($AG16=0,R$8&gt;$Y16),"",ROUND($X16*(1-$U$5)/ОКРУГЛЕННЯ,0)*ОКРУГЛЕННЯ+MAX(0,R$8-$Z16)*$AA16*(1-$U$5)+R$8*$AC16*(1-$U$5*$U$6)+$AE16*(1-$U$5*$U$7))</f>
        <v/>
      </c>
      <c r="S16" s="26" t="str">
        <f aca="false">IF(OR($AG16=0,S$8&gt;$Y16),"",ROUND($X16*(1-$U$5)/ОКРУГЛЕННЯ,0)*ОКРУГЛЕННЯ+MAX(0,S$8-$Z16)*$AA16*(1-$U$5)+S$8*$AC16*(1-$U$5*$U$6)+$AE16*(1-$U$5*$U$7))</f>
        <v/>
      </c>
      <c r="T16" s="26" t="str">
        <f aca="false">IF(OR($AG16=0,T$8&gt;$Y16),"",ROUND($X16*(1-$U$5)/ОКРУГЛЕННЯ,0)*ОКРУГЛЕННЯ+MAX(0,T$8-$Z16)*$AA16*(1-$U$5)+T$8*$AC16*(1-$U$5*$U$6)+$AE16*(1-$U$5*$U$7))</f>
        <v/>
      </c>
      <c r="W16" s="6" t="n">
        <f aca="false">IF(OR($U$3=0,$A16=""),0,IFERROR(INDEX(БАЗА_ЦІНИ,MATCH($A16,БАЗА_КАТ,0),$U$3),0))</f>
        <v>0</v>
      </c>
      <c r="X16" s="6" t="n">
        <f aca="false">IF(OR($U$3=0,$A16=""),0,IFERROR(INDEX(БАЗА_ЦІНИ,MATCH($A16,БАЗА_КАТ,0),$U$3+1),0))</f>
        <v>0</v>
      </c>
      <c r="Y16" s="6" t="n">
        <f aca="false">IF($A16="",0,IFERROR(INDEX(ДОВ_МАКС,MATCH($A16,КАТЕГОРІЇ,0)),0))</f>
        <v>0</v>
      </c>
      <c r="Z16" s="6" t="n">
        <f aca="false">IF($A16="",0,IFERROR(INDEX(ДОВ_ВКЛ,MATCH($A16,КАТЕГОРІЇ,0)),0))</f>
        <v>0</v>
      </c>
      <c r="AA16" s="6" t="n">
        <f aca="false">IF($A16="",0,IFERROR(INDEX(ДОВ_ДОПЛ_ДОР,MATCH($A16,КАТЕГОРІЇ,0)),0))</f>
        <v>0</v>
      </c>
      <c r="AB16" s="6" t="n">
        <f aca="false">IF(OR($U$3=0,$U$8=0),0,IFERROR(INDEX(ПАКЕТИ_ЦІНИ,MATCH($U$10&amp;"|Будні",ПАКЕТИ_КЛЮЧ,0),$U$3),0))</f>
        <v>0</v>
      </c>
      <c r="AC16" s="6" t="n">
        <f aca="false">IF(OR($U$3=0,$U$8=0),0,IFERROR(INDEX(ПАКЕТИ_ЦІНИ,MATCH($U$10&amp;"|Вихідні",ПАКЕТИ_КЛЮЧ,0),$U$3),0))</f>
        <v>0</v>
      </c>
      <c r="AD16" s="6" t="n">
        <f aca="false">IF(OR($U$3=0,$U$9=0,$A16=""),0,IFERROR(INDEX(SPA_ЦІНИ,MATCH(INDEX(ДОВ_SPA,MATCH($A16,КАТЕГОРІЇ,0)),SPA_РІВЕНЬ,0),$U$3),0))</f>
        <v>0</v>
      </c>
      <c r="AE16" s="6" t="n">
        <f aca="false">IF(OR($U$3=0,$U$9=0,$A16=""),0,IFERROR(INDEX(SPA_ЦІНИ,MATCH(INDEX(ДОВ_SPA,MATCH($A16,КАТЕГОРІЇ,0)),SPA_РІВЕНЬ,0),$U$3+1),0))</f>
        <v>0</v>
      </c>
      <c r="AF16" s="6" t="n">
        <f aca="false">IF(OR($A16="",W16=0,AND($U$8=1,AB16=0),AND($U$9=1,AD16=0)),0,1)</f>
        <v>0</v>
      </c>
      <c r="AG16" s="6" t="n">
        <f aca="false">IF(OR($A16="",X16=0,AND($U$8=1,AC16=0),AND($U$9=1,AE16=0)),0,1)</f>
        <v>0</v>
      </c>
    </row>
    <row r="17" customFormat="false" ht="15" hidden="false" customHeight="false" outlineLevel="0" collapsed="false">
      <c r="A17" s="16" t="str">
        <f aca="false">IF('Довідник категорій'!B13="","",'Довідник категорій'!B13)</f>
        <v/>
      </c>
      <c r="B17" s="17" t="str">
        <f aca="false">IF($A17="","",IFERROR(INDEX(ДОВ_BOOKING,MATCH($A17,КАТЕГОРІЇ,0)),""))</f>
        <v/>
      </c>
      <c r="C17" s="18" t="str">
        <f aca="false">IF($A17="","",IFERROR(INDEX(ДОВ_КОД,MATCH($A17,КАТЕГОРІЇ,0)),""))</f>
        <v/>
      </c>
      <c r="D17" s="19" t="str">
        <f aca="false">IF(OR($AF17=0,D$8&gt;$Y17),"",ROUND($W17*(1-$U$5)/ОКРУГЛЕННЯ,0)*ОКРУГЛЕННЯ+MAX(0,D$8-$Z17)*$AA17*(1-$U$5)+D$8*$AB17*(1-$U$5*$U$6)+$AD17*(1-$U$5*$U$7))</f>
        <v/>
      </c>
      <c r="E17" s="19" t="str">
        <f aca="false">IF(OR($AF17=0,E$8&gt;$Y17),"",ROUND($W17*(1-$U$5)/ОКРУГЛЕННЯ,0)*ОКРУГЛЕННЯ+MAX(0,E$8-$Z17)*$AA17*(1-$U$5)+E$8*$AB17*(1-$U$5*$U$6)+$AD17*(1-$U$5*$U$7))</f>
        <v/>
      </c>
      <c r="F17" s="19" t="str">
        <f aca="false">IF(OR($AF17=0,F$8&gt;$Y17),"",ROUND($W17*(1-$U$5)/ОКРУГЛЕННЯ,0)*ОКРУГЛЕННЯ+MAX(0,F$8-$Z17)*$AA17*(1-$U$5)+F$8*$AB17*(1-$U$5*$U$6)+$AD17*(1-$U$5*$U$7))</f>
        <v/>
      </c>
      <c r="G17" s="19" t="str">
        <f aca="false">IF(OR($AF17=0,G$8&gt;$Y17),"",ROUND($W17*(1-$U$5)/ОКРУГЛЕННЯ,0)*ОКРУГЛЕННЯ+MAX(0,G$8-$Z17)*$AA17*(1-$U$5)+G$8*$AB17*(1-$U$5*$U$6)+$AD17*(1-$U$5*$U$7))</f>
        <v/>
      </c>
      <c r="H17" s="19" t="str">
        <f aca="false">IF(OR($AF17=0,H$8&gt;$Y17),"",ROUND($W17*(1-$U$5)/ОКРУГЛЕННЯ,0)*ОКРУГЛЕННЯ+MAX(0,H$8-$Z17)*$AA17*(1-$U$5)+H$8*$AB17*(1-$U$5*$U$6)+$AD17*(1-$U$5*$U$7))</f>
        <v/>
      </c>
      <c r="I17" s="19" t="str">
        <f aca="false">IF(OR($AF17=0,I$8&gt;$Y17),"",ROUND($W17*(1-$U$5)/ОКРУГЛЕННЯ,0)*ОКРУГЛЕННЯ+MAX(0,I$8-$Z17)*$AA17*(1-$U$5)+I$8*$AB17*(1-$U$5*$U$6)+$AD17*(1-$U$5*$U$7))</f>
        <v/>
      </c>
      <c r="J17" s="19" t="str">
        <f aca="false">IF(OR($AF17=0,J$8&gt;$Y17),"",ROUND($W17*(1-$U$5)/ОКРУГЛЕННЯ,0)*ОКРУГЛЕННЯ+MAX(0,J$8-$Z17)*$AA17*(1-$U$5)+J$8*$AB17*(1-$U$5*$U$6)+$AD17*(1-$U$5*$U$7))</f>
        <v/>
      </c>
      <c r="K17" s="20" t="str">
        <f aca="false">IF(OR($AF17=0,K$8&gt;$Y17),"",ROUND($W17*(1-$U$5)/ОКРУГЛЕННЯ,0)*ОКРУГЛЕННЯ+MAX(0,K$8-$Z17)*$AA17*(1-$U$5)+K$8*$AB17*(1-$U$5*$U$6)+$AD17*(1-$U$5*$U$7))</f>
        <v/>
      </c>
      <c r="M17" s="21" t="str">
        <f aca="false">IF(OR($AG17=0,M$8&gt;$Y17),"",ROUND($X17*(1-$U$5)/ОКРУГЛЕННЯ,0)*ОКРУГЛЕННЯ+MAX(0,M$8-$Z17)*$AA17*(1-$U$5)+M$8*$AC17*(1-$U$5*$U$6)+$AE17*(1-$U$5*$U$7))</f>
        <v/>
      </c>
      <c r="N17" s="19" t="str">
        <f aca="false">IF(OR($AG17=0,N$8&gt;$Y17),"",ROUND($X17*(1-$U$5)/ОКРУГЛЕННЯ,0)*ОКРУГЛЕННЯ+MAX(0,N$8-$Z17)*$AA17*(1-$U$5)+N$8*$AC17*(1-$U$5*$U$6)+$AE17*(1-$U$5*$U$7))</f>
        <v/>
      </c>
      <c r="O17" s="19" t="str">
        <f aca="false">IF(OR($AG17=0,O$8&gt;$Y17),"",ROUND($X17*(1-$U$5)/ОКРУГЛЕННЯ,0)*ОКРУГЛЕННЯ+MAX(0,O$8-$Z17)*$AA17*(1-$U$5)+O$8*$AC17*(1-$U$5*$U$6)+$AE17*(1-$U$5*$U$7))</f>
        <v/>
      </c>
      <c r="P17" s="19" t="str">
        <f aca="false">IF(OR($AG17=0,P$8&gt;$Y17),"",ROUND($X17*(1-$U$5)/ОКРУГЛЕННЯ,0)*ОКРУГЛЕННЯ+MAX(0,P$8-$Z17)*$AA17*(1-$U$5)+P$8*$AC17*(1-$U$5*$U$6)+$AE17*(1-$U$5*$U$7))</f>
        <v/>
      </c>
      <c r="Q17" s="19" t="str">
        <f aca="false">IF(OR($AG17=0,Q$8&gt;$Y17),"",ROUND($X17*(1-$U$5)/ОКРУГЛЕННЯ,0)*ОКРУГЛЕННЯ+MAX(0,Q$8-$Z17)*$AA17*(1-$U$5)+Q$8*$AC17*(1-$U$5*$U$6)+$AE17*(1-$U$5*$U$7))</f>
        <v/>
      </c>
      <c r="R17" s="19" t="str">
        <f aca="false">IF(OR($AG17=0,R$8&gt;$Y17),"",ROUND($X17*(1-$U$5)/ОКРУГЛЕННЯ,0)*ОКРУГЛЕННЯ+MAX(0,R$8-$Z17)*$AA17*(1-$U$5)+R$8*$AC17*(1-$U$5*$U$6)+$AE17*(1-$U$5*$U$7))</f>
        <v/>
      </c>
      <c r="S17" s="19" t="str">
        <f aca="false">IF(OR($AG17=0,S$8&gt;$Y17),"",ROUND($X17*(1-$U$5)/ОКРУГЛЕННЯ,0)*ОКРУГЛЕННЯ+MAX(0,S$8-$Z17)*$AA17*(1-$U$5)+S$8*$AC17*(1-$U$5*$U$6)+$AE17*(1-$U$5*$U$7))</f>
        <v/>
      </c>
      <c r="T17" s="19" t="str">
        <f aca="false">IF(OR($AG17=0,T$8&gt;$Y17),"",ROUND($X17*(1-$U$5)/ОКРУГЛЕННЯ,0)*ОКРУГЛЕННЯ+MAX(0,T$8-$Z17)*$AA17*(1-$U$5)+T$8*$AC17*(1-$U$5*$U$6)+$AE17*(1-$U$5*$U$7))</f>
        <v/>
      </c>
      <c r="W17" s="6" t="n">
        <f aca="false">IF(OR($U$3=0,$A17=""),0,IFERROR(INDEX(БАЗА_ЦІНИ,MATCH($A17,БАЗА_КАТ,0),$U$3),0))</f>
        <v>0</v>
      </c>
      <c r="X17" s="6" t="n">
        <f aca="false">IF(OR($U$3=0,$A17=""),0,IFERROR(INDEX(БАЗА_ЦІНИ,MATCH($A17,БАЗА_КАТ,0),$U$3+1),0))</f>
        <v>0</v>
      </c>
      <c r="Y17" s="6" t="n">
        <f aca="false">IF($A17="",0,IFERROR(INDEX(ДОВ_МАКС,MATCH($A17,КАТЕГОРІЇ,0)),0))</f>
        <v>0</v>
      </c>
      <c r="Z17" s="6" t="n">
        <f aca="false">IF($A17="",0,IFERROR(INDEX(ДОВ_ВКЛ,MATCH($A17,КАТЕГОРІЇ,0)),0))</f>
        <v>0</v>
      </c>
      <c r="AA17" s="6" t="n">
        <f aca="false">IF($A17="",0,IFERROR(INDEX(ДОВ_ДОПЛ_ДОР,MATCH($A17,КАТЕГОРІЇ,0)),0))</f>
        <v>0</v>
      </c>
      <c r="AB17" s="6" t="n">
        <f aca="false">IF(OR($U$3=0,$U$8=0),0,IFERROR(INDEX(ПАКЕТИ_ЦІНИ,MATCH($U$10&amp;"|Будні",ПАКЕТИ_КЛЮЧ,0),$U$3),0))</f>
        <v>0</v>
      </c>
      <c r="AC17" s="6" t="n">
        <f aca="false">IF(OR($U$3=0,$U$8=0),0,IFERROR(INDEX(ПАКЕТИ_ЦІНИ,MATCH($U$10&amp;"|Вихідні",ПАКЕТИ_КЛЮЧ,0),$U$3),0))</f>
        <v>0</v>
      </c>
      <c r="AD17" s="6" t="n">
        <f aca="false">IF(OR($U$3=0,$U$9=0,$A17=""),0,IFERROR(INDEX(SPA_ЦІНИ,MATCH(INDEX(ДОВ_SPA,MATCH($A17,КАТЕГОРІЇ,0)),SPA_РІВЕНЬ,0),$U$3),0))</f>
        <v>0</v>
      </c>
      <c r="AE17" s="6" t="n">
        <f aca="false">IF(OR($U$3=0,$U$9=0,$A17=""),0,IFERROR(INDEX(SPA_ЦІНИ,MATCH(INDEX(ДОВ_SPA,MATCH($A17,КАТЕГОРІЇ,0)),SPA_РІВЕНЬ,0),$U$3+1),0))</f>
        <v>0</v>
      </c>
      <c r="AF17" s="6" t="n">
        <f aca="false">IF(OR($A17="",W17=0,AND($U$8=1,AB17=0),AND($U$9=1,AD17=0)),0,1)</f>
        <v>0</v>
      </c>
      <c r="AG17" s="6" t="n">
        <f aca="false">IF(OR($A17="",X17=0,AND($U$8=1,AC17=0),AND($U$9=1,AE17=0)),0,1)</f>
        <v>0</v>
      </c>
    </row>
    <row r="18" customFormat="false" ht="15" hidden="false" customHeight="false" outlineLevel="0" collapsed="false">
      <c r="A18" s="23" t="str">
        <f aca="false">IF('Довідник категорій'!B14="","",'Довідник категорій'!B14)</f>
        <v/>
      </c>
      <c r="B18" s="24" t="str">
        <f aca="false">IF($A18="","",IFERROR(INDEX(ДОВ_BOOKING,MATCH($A18,КАТЕГОРІЇ,0)),""))</f>
        <v/>
      </c>
      <c r="C18" s="25" t="str">
        <f aca="false">IF($A18="","",IFERROR(INDEX(ДОВ_КОД,MATCH($A18,КАТЕГОРІЇ,0)),""))</f>
        <v/>
      </c>
      <c r="D18" s="26" t="str">
        <f aca="false">IF(OR($AF18=0,D$8&gt;$Y18),"",ROUND($W18*(1-$U$5)/ОКРУГЛЕННЯ,0)*ОКРУГЛЕННЯ+MAX(0,D$8-$Z18)*$AA18*(1-$U$5)+D$8*$AB18*(1-$U$5*$U$6)+$AD18*(1-$U$5*$U$7))</f>
        <v/>
      </c>
      <c r="E18" s="26" t="str">
        <f aca="false">IF(OR($AF18=0,E$8&gt;$Y18),"",ROUND($W18*(1-$U$5)/ОКРУГЛЕННЯ,0)*ОКРУГЛЕННЯ+MAX(0,E$8-$Z18)*$AA18*(1-$U$5)+E$8*$AB18*(1-$U$5*$U$6)+$AD18*(1-$U$5*$U$7))</f>
        <v/>
      </c>
      <c r="F18" s="26" t="str">
        <f aca="false">IF(OR($AF18=0,F$8&gt;$Y18),"",ROUND($W18*(1-$U$5)/ОКРУГЛЕННЯ,0)*ОКРУГЛЕННЯ+MAX(0,F$8-$Z18)*$AA18*(1-$U$5)+F$8*$AB18*(1-$U$5*$U$6)+$AD18*(1-$U$5*$U$7))</f>
        <v/>
      </c>
      <c r="G18" s="26" t="str">
        <f aca="false">IF(OR($AF18=0,G$8&gt;$Y18),"",ROUND($W18*(1-$U$5)/ОКРУГЛЕННЯ,0)*ОКРУГЛЕННЯ+MAX(0,G$8-$Z18)*$AA18*(1-$U$5)+G$8*$AB18*(1-$U$5*$U$6)+$AD18*(1-$U$5*$U$7))</f>
        <v/>
      </c>
      <c r="H18" s="26" t="str">
        <f aca="false">IF(OR($AF18=0,H$8&gt;$Y18),"",ROUND($W18*(1-$U$5)/ОКРУГЛЕННЯ,0)*ОКРУГЛЕННЯ+MAX(0,H$8-$Z18)*$AA18*(1-$U$5)+H$8*$AB18*(1-$U$5*$U$6)+$AD18*(1-$U$5*$U$7))</f>
        <v/>
      </c>
      <c r="I18" s="26" t="str">
        <f aca="false">IF(OR($AF18=0,I$8&gt;$Y18),"",ROUND($W18*(1-$U$5)/ОКРУГЛЕННЯ,0)*ОКРУГЛЕННЯ+MAX(0,I$8-$Z18)*$AA18*(1-$U$5)+I$8*$AB18*(1-$U$5*$U$6)+$AD18*(1-$U$5*$U$7))</f>
        <v/>
      </c>
      <c r="J18" s="26" t="str">
        <f aca="false">IF(OR($AF18=0,J$8&gt;$Y18),"",ROUND($W18*(1-$U$5)/ОКРУГЛЕННЯ,0)*ОКРУГЛЕННЯ+MAX(0,J$8-$Z18)*$AA18*(1-$U$5)+J$8*$AB18*(1-$U$5*$U$6)+$AD18*(1-$U$5*$U$7))</f>
        <v/>
      </c>
      <c r="K18" s="27" t="str">
        <f aca="false">IF(OR($AF18=0,K$8&gt;$Y18),"",ROUND($W18*(1-$U$5)/ОКРУГЛЕННЯ,0)*ОКРУГЛЕННЯ+MAX(0,K$8-$Z18)*$AA18*(1-$U$5)+K$8*$AB18*(1-$U$5*$U$6)+$AD18*(1-$U$5*$U$7))</f>
        <v/>
      </c>
      <c r="M18" s="28" t="str">
        <f aca="false">IF(OR($AG18=0,M$8&gt;$Y18),"",ROUND($X18*(1-$U$5)/ОКРУГЛЕННЯ,0)*ОКРУГЛЕННЯ+MAX(0,M$8-$Z18)*$AA18*(1-$U$5)+M$8*$AC18*(1-$U$5*$U$6)+$AE18*(1-$U$5*$U$7))</f>
        <v/>
      </c>
      <c r="N18" s="26" t="str">
        <f aca="false">IF(OR($AG18=0,N$8&gt;$Y18),"",ROUND($X18*(1-$U$5)/ОКРУГЛЕННЯ,0)*ОКРУГЛЕННЯ+MAX(0,N$8-$Z18)*$AA18*(1-$U$5)+N$8*$AC18*(1-$U$5*$U$6)+$AE18*(1-$U$5*$U$7))</f>
        <v/>
      </c>
      <c r="O18" s="26" t="str">
        <f aca="false">IF(OR($AG18=0,O$8&gt;$Y18),"",ROUND($X18*(1-$U$5)/ОКРУГЛЕННЯ,0)*ОКРУГЛЕННЯ+MAX(0,O$8-$Z18)*$AA18*(1-$U$5)+O$8*$AC18*(1-$U$5*$U$6)+$AE18*(1-$U$5*$U$7))</f>
        <v/>
      </c>
      <c r="P18" s="26" t="str">
        <f aca="false">IF(OR($AG18=0,P$8&gt;$Y18),"",ROUND($X18*(1-$U$5)/ОКРУГЛЕННЯ,0)*ОКРУГЛЕННЯ+MAX(0,P$8-$Z18)*$AA18*(1-$U$5)+P$8*$AC18*(1-$U$5*$U$6)+$AE18*(1-$U$5*$U$7))</f>
        <v/>
      </c>
      <c r="Q18" s="26" t="str">
        <f aca="false">IF(OR($AG18=0,Q$8&gt;$Y18),"",ROUND($X18*(1-$U$5)/ОКРУГЛЕННЯ,0)*ОКРУГЛЕННЯ+MAX(0,Q$8-$Z18)*$AA18*(1-$U$5)+Q$8*$AC18*(1-$U$5*$U$6)+$AE18*(1-$U$5*$U$7))</f>
        <v/>
      </c>
      <c r="R18" s="26" t="str">
        <f aca="false">IF(OR($AG18=0,R$8&gt;$Y18),"",ROUND($X18*(1-$U$5)/ОКРУГЛЕННЯ,0)*ОКРУГЛЕННЯ+MAX(0,R$8-$Z18)*$AA18*(1-$U$5)+R$8*$AC18*(1-$U$5*$U$6)+$AE18*(1-$U$5*$U$7))</f>
        <v/>
      </c>
      <c r="S18" s="26" t="str">
        <f aca="false">IF(OR($AG18=0,S$8&gt;$Y18),"",ROUND($X18*(1-$U$5)/ОКРУГЛЕННЯ,0)*ОКРУГЛЕННЯ+MAX(0,S$8-$Z18)*$AA18*(1-$U$5)+S$8*$AC18*(1-$U$5*$U$6)+$AE18*(1-$U$5*$U$7))</f>
        <v/>
      </c>
      <c r="T18" s="26" t="str">
        <f aca="false">IF(OR($AG18=0,T$8&gt;$Y18),"",ROUND($X18*(1-$U$5)/ОКРУГЛЕННЯ,0)*ОКРУГЛЕННЯ+MAX(0,T$8-$Z18)*$AA18*(1-$U$5)+T$8*$AC18*(1-$U$5*$U$6)+$AE18*(1-$U$5*$U$7))</f>
        <v/>
      </c>
      <c r="W18" s="6" t="n">
        <f aca="false">IF(OR($U$3=0,$A18=""),0,IFERROR(INDEX(БАЗА_ЦІНИ,MATCH($A18,БАЗА_КАТ,0),$U$3),0))</f>
        <v>0</v>
      </c>
      <c r="X18" s="6" t="n">
        <f aca="false">IF(OR($U$3=0,$A18=""),0,IFERROR(INDEX(БАЗА_ЦІНИ,MATCH($A18,БАЗА_КАТ,0),$U$3+1),0))</f>
        <v>0</v>
      </c>
      <c r="Y18" s="6" t="n">
        <f aca="false">IF($A18="",0,IFERROR(INDEX(ДОВ_МАКС,MATCH($A18,КАТЕГОРІЇ,0)),0))</f>
        <v>0</v>
      </c>
      <c r="Z18" s="6" t="n">
        <f aca="false">IF($A18="",0,IFERROR(INDEX(ДОВ_ВКЛ,MATCH($A18,КАТЕГОРІЇ,0)),0))</f>
        <v>0</v>
      </c>
      <c r="AA18" s="6" t="n">
        <f aca="false">IF($A18="",0,IFERROR(INDEX(ДОВ_ДОПЛ_ДОР,MATCH($A18,КАТЕГОРІЇ,0)),0))</f>
        <v>0</v>
      </c>
      <c r="AB18" s="6" t="n">
        <f aca="false">IF(OR($U$3=0,$U$8=0),0,IFERROR(INDEX(ПАКЕТИ_ЦІНИ,MATCH($U$10&amp;"|Будні",ПАКЕТИ_КЛЮЧ,0),$U$3),0))</f>
        <v>0</v>
      </c>
      <c r="AC18" s="6" t="n">
        <f aca="false">IF(OR($U$3=0,$U$8=0),0,IFERROR(INDEX(ПАКЕТИ_ЦІНИ,MATCH($U$10&amp;"|Вихідні",ПАКЕТИ_КЛЮЧ,0),$U$3),0))</f>
        <v>0</v>
      </c>
      <c r="AD18" s="6" t="n">
        <f aca="false">IF(OR($U$3=0,$U$9=0,$A18=""),0,IFERROR(INDEX(SPA_ЦІНИ,MATCH(INDEX(ДОВ_SPA,MATCH($A18,КАТЕГОРІЇ,0)),SPA_РІВЕНЬ,0),$U$3),0))</f>
        <v>0</v>
      </c>
      <c r="AE18" s="6" t="n">
        <f aca="false">IF(OR($U$3=0,$U$9=0,$A18=""),0,IFERROR(INDEX(SPA_ЦІНИ,MATCH(INDEX(ДОВ_SPA,MATCH($A18,КАТЕГОРІЇ,0)),SPA_РІВЕНЬ,0),$U$3+1),0))</f>
        <v>0</v>
      </c>
      <c r="AF18" s="6" t="n">
        <f aca="false">IF(OR($A18="",W18=0,AND($U$8=1,AB18=0),AND($U$9=1,AD18=0)),0,1)</f>
        <v>0</v>
      </c>
      <c r="AG18" s="6" t="n">
        <f aca="false">IF(OR($A18="",X18=0,AND($U$8=1,AC18=0),AND($U$9=1,AE18=0)),0,1)</f>
        <v>0</v>
      </c>
    </row>
    <row r="19" customFormat="false" ht="15" hidden="false" customHeight="false" outlineLevel="0" collapsed="false">
      <c r="A19" s="16" t="str">
        <f aca="false">IF('Довідник категорій'!B15="","",'Довідник категорій'!B15)</f>
        <v/>
      </c>
      <c r="B19" s="17" t="str">
        <f aca="false">IF($A19="","",IFERROR(INDEX(ДОВ_BOOKING,MATCH($A19,КАТЕГОРІЇ,0)),""))</f>
        <v/>
      </c>
      <c r="C19" s="18" t="str">
        <f aca="false">IF($A19="","",IFERROR(INDEX(ДОВ_КОД,MATCH($A19,КАТЕГОРІЇ,0)),""))</f>
        <v/>
      </c>
      <c r="D19" s="19" t="str">
        <f aca="false">IF(OR($AF19=0,D$8&gt;$Y19),"",ROUND($W19*(1-$U$5)/ОКРУГЛЕННЯ,0)*ОКРУГЛЕННЯ+MAX(0,D$8-$Z19)*$AA19*(1-$U$5)+D$8*$AB19*(1-$U$5*$U$6)+$AD19*(1-$U$5*$U$7))</f>
        <v/>
      </c>
      <c r="E19" s="19" t="str">
        <f aca="false">IF(OR($AF19=0,E$8&gt;$Y19),"",ROUND($W19*(1-$U$5)/ОКРУГЛЕННЯ,0)*ОКРУГЛЕННЯ+MAX(0,E$8-$Z19)*$AA19*(1-$U$5)+E$8*$AB19*(1-$U$5*$U$6)+$AD19*(1-$U$5*$U$7))</f>
        <v/>
      </c>
      <c r="F19" s="19" t="str">
        <f aca="false">IF(OR($AF19=0,F$8&gt;$Y19),"",ROUND($W19*(1-$U$5)/ОКРУГЛЕННЯ,0)*ОКРУГЛЕННЯ+MAX(0,F$8-$Z19)*$AA19*(1-$U$5)+F$8*$AB19*(1-$U$5*$U$6)+$AD19*(1-$U$5*$U$7))</f>
        <v/>
      </c>
      <c r="G19" s="19" t="str">
        <f aca="false">IF(OR($AF19=0,G$8&gt;$Y19),"",ROUND($W19*(1-$U$5)/ОКРУГЛЕННЯ,0)*ОКРУГЛЕННЯ+MAX(0,G$8-$Z19)*$AA19*(1-$U$5)+G$8*$AB19*(1-$U$5*$U$6)+$AD19*(1-$U$5*$U$7))</f>
        <v/>
      </c>
      <c r="H19" s="19" t="str">
        <f aca="false">IF(OR($AF19=0,H$8&gt;$Y19),"",ROUND($W19*(1-$U$5)/ОКРУГЛЕННЯ,0)*ОКРУГЛЕННЯ+MAX(0,H$8-$Z19)*$AA19*(1-$U$5)+H$8*$AB19*(1-$U$5*$U$6)+$AD19*(1-$U$5*$U$7))</f>
        <v/>
      </c>
      <c r="I19" s="19" t="str">
        <f aca="false">IF(OR($AF19=0,I$8&gt;$Y19),"",ROUND($W19*(1-$U$5)/ОКРУГЛЕННЯ,0)*ОКРУГЛЕННЯ+MAX(0,I$8-$Z19)*$AA19*(1-$U$5)+I$8*$AB19*(1-$U$5*$U$6)+$AD19*(1-$U$5*$U$7))</f>
        <v/>
      </c>
      <c r="J19" s="19" t="str">
        <f aca="false">IF(OR($AF19=0,J$8&gt;$Y19),"",ROUND($W19*(1-$U$5)/ОКРУГЛЕННЯ,0)*ОКРУГЛЕННЯ+MAX(0,J$8-$Z19)*$AA19*(1-$U$5)+J$8*$AB19*(1-$U$5*$U$6)+$AD19*(1-$U$5*$U$7))</f>
        <v/>
      </c>
      <c r="K19" s="20" t="str">
        <f aca="false">IF(OR($AF19=0,K$8&gt;$Y19),"",ROUND($W19*(1-$U$5)/ОКРУГЛЕННЯ,0)*ОКРУГЛЕННЯ+MAX(0,K$8-$Z19)*$AA19*(1-$U$5)+K$8*$AB19*(1-$U$5*$U$6)+$AD19*(1-$U$5*$U$7))</f>
        <v/>
      </c>
      <c r="M19" s="21" t="str">
        <f aca="false">IF(OR($AG19=0,M$8&gt;$Y19),"",ROUND($X19*(1-$U$5)/ОКРУГЛЕННЯ,0)*ОКРУГЛЕННЯ+MAX(0,M$8-$Z19)*$AA19*(1-$U$5)+M$8*$AC19*(1-$U$5*$U$6)+$AE19*(1-$U$5*$U$7))</f>
        <v/>
      </c>
      <c r="N19" s="19" t="str">
        <f aca="false">IF(OR($AG19=0,N$8&gt;$Y19),"",ROUND($X19*(1-$U$5)/ОКРУГЛЕННЯ,0)*ОКРУГЛЕННЯ+MAX(0,N$8-$Z19)*$AA19*(1-$U$5)+N$8*$AC19*(1-$U$5*$U$6)+$AE19*(1-$U$5*$U$7))</f>
        <v/>
      </c>
      <c r="O19" s="19" t="str">
        <f aca="false">IF(OR($AG19=0,O$8&gt;$Y19),"",ROUND($X19*(1-$U$5)/ОКРУГЛЕННЯ,0)*ОКРУГЛЕННЯ+MAX(0,O$8-$Z19)*$AA19*(1-$U$5)+O$8*$AC19*(1-$U$5*$U$6)+$AE19*(1-$U$5*$U$7))</f>
        <v/>
      </c>
      <c r="P19" s="19" t="str">
        <f aca="false">IF(OR($AG19=0,P$8&gt;$Y19),"",ROUND($X19*(1-$U$5)/ОКРУГЛЕННЯ,0)*ОКРУГЛЕННЯ+MAX(0,P$8-$Z19)*$AA19*(1-$U$5)+P$8*$AC19*(1-$U$5*$U$6)+$AE19*(1-$U$5*$U$7))</f>
        <v/>
      </c>
      <c r="Q19" s="19" t="str">
        <f aca="false">IF(OR($AG19=0,Q$8&gt;$Y19),"",ROUND($X19*(1-$U$5)/ОКРУГЛЕННЯ,0)*ОКРУГЛЕННЯ+MAX(0,Q$8-$Z19)*$AA19*(1-$U$5)+Q$8*$AC19*(1-$U$5*$U$6)+$AE19*(1-$U$5*$U$7))</f>
        <v/>
      </c>
      <c r="R19" s="19" t="str">
        <f aca="false">IF(OR($AG19=0,R$8&gt;$Y19),"",ROUND($X19*(1-$U$5)/ОКРУГЛЕННЯ,0)*ОКРУГЛЕННЯ+MAX(0,R$8-$Z19)*$AA19*(1-$U$5)+R$8*$AC19*(1-$U$5*$U$6)+$AE19*(1-$U$5*$U$7))</f>
        <v/>
      </c>
      <c r="S19" s="19" t="str">
        <f aca="false">IF(OR($AG19=0,S$8&gt;$Y19),"",ROUND($X19*(1-$U$5)/ОКРУГЛЕННЯ,0)*ОКРУГЛЕННЯ+MAX(0,S$8-$Z19)*$AA19*(1-$U$5)+S$8*$AC19*(1-$U$5*$U$6)+$AE19*(1-$U$5*$U$7))</f>
        <v/>
      </c>
      <c r="T19" s="19" t="str">
        <f aca="false">IF(OR($AG19=0,T$8&gt;$Y19),"",ROUND($X19*(1-$U$5)/ОКРУГЛЕННЯ,0)*ОКРУГЛЕННЯ+MAX(0,T$8-$Z19)*$AA19*(1-$U$5)+T$8*$AC19*(1-$U$5*$U$6)+$AE19*(1-$U$5*$U$7))</f>
        <v/>
      </c>
      <c r="W19" s="6" t="n">
        <f aca="false">IF(OR($U$3=0,$A19=""),0,IFERROR(INDEX(БАЗА_ЦІНИ,MATCH($A19,БАЗА_КАТ,0),$U$3),0))</f>
        <v>0</v>
      </c>
      <c r="X19" s="6" t="n">
        <f aca="false">IF(OR($U$3=0,$A19=""),0,IFERROR(INDEX(БАЗА_ЦІНИ,MATCH($A19,БАЗА_КАТ,0),$U$3+1),0))</f>
        <v>0</v>
      </c>
      <c r="Y19" s="6" t="n">
        <f aca="false">IF($A19="",0,IFERROR(INDEX(ДОВ_МАКС,MATCH($A19,КАТЕГОРІЇ,0)),0))</f>
        <v>0</v>
      </c>
      <c r="Z19" s="6" t="n">
        <f aca="false">IF($A19="",0,IFERROR(INDEX(ДОВ_ВКЛ,MATCH($A19,КАТЕГОРІЇ,0)),0))</f>
        <v>0</v>
      </c>
      <c r="AA19" s="6" t="n">
        <f aca="false">IF($A19="",0,IFERROR(INDEX(ДОВ_ДОПЛ_ДОР,MATCH($A19,КАТЕГОРІЇ,0)),0))</f>
        <v>0</v>
      </c>
      <c r="AB19" s="6" t="n">
        <f aca="false">IF(OR($U$3=0,$U$8=0),0,IFERROR(INDEX(ПАКЕТИ_ЦІНИ,MATCH($U$10&amp;"|Будні",ПАКЕТИ_КЛЮЧ,0),$U$3),0))</f>
        <v>0</v>
      </c>
      <c r="AC19" s="6" t="n">
        <f aca="false">IF(OR($U$3=0,$U$8=0),0,IFERROR(INDEX(ПАКЕТИ_ЦІНИ,MATCH($U$10&amp;"|Вихідні",ПАКЕТИ_КЛЮЧ,0),$U$3),0))</f>
        <v>0</v>
      </c>
      <c r="AD19" s="6" t="n">
        <f aca="false">IF(OR($U$3=0,$U$9=0,$A19=""),0,IFERROR(INDEX(SPA_ЦІНИ,MATCH(INDEX(ДОВ_SPA,MATCH($A19,КАТЕГОРІЇ,0)),SPA_РІВЕНЬ,0),$U$3),0))</f>
        <v>0</v>
      </c>
      <c r="AE19" s="6" t="n">
        <f aca="false">IF(OR($U$3=0,$U$9=0,$A19=""),0,IFERROR(INDEX(SPA_ЦІНИ,MATCH(INDEX(ДОВ_SPA,MATCH($A19,КАТЕГОРІЇ,0)),SPA_РІВЕНЬ,0),$U$3+1),0))</f>
        <v>0</v>
      </c>
      <c r="AF19" s="6" t="n">
        <f aca="false">IF(OR($A19="",W19=0,AND($U$8=1,AB19=0),AND($U$9=1,AD19=0)),0,1)</f>
        <v>0</v>
      </c>
      <c r="AG19" s="6" t="n">
        <f aca="false">IF(OR($A19="",X19=0,AND($U$8=1,AC19=0),AND($U$9=1,AE19=0)),0,1)</f>
        <v>0</v>
      </c>
    </row>
    <row r="20" customFormat="false" ht="15" hidden="false" customHeight="false" outlineLevel="0" collapsed="false">
      <c r="A20" s="23" t="str">
        <f aca="false">IF('Довідник категорій'!B16="","",'Довідник категорій'!B16)</f>
        <v/>
      </c>
      <c r="B20" s="24" t="str">
        <f aca="false">IF($A20="","",IFERROR(INDEX(ДОВ_BOOKING,MATCH($A20,КАТЕГОРІЇ,0)),""))</f>
        <v/>
      </c>
      <c r="C20" s="25" t="str">
        <f aca="false">IF($A20="","",IFERROR(INDEX(ДОВ_КОД,MATCH($A20,КАТЕГОРІЇ,0)),""))</f>
        <v/>
      </c>
      <c r="D20" s="26" t="str">
        <f aca="false">IF(OR($AF20=0,D$8&gt;$Y20),"",ROUND($W20*(1-$U$5)/ОКРУГЛЕННЯ,0)*ОКРУГЛЕННЯ+MAX(0,D$8-$Z20)*$AA20*(1-$U$5)+D$8*$AB20*(1-$U$5*$U$6)+$AD20*(1-$U$5*$U$7))</f>
        <v/>
      </c>
      <c r="E20" s="26" t="str">
        <f aca="false">IF(OR($AF20=0,E$8&gt;$Y20),"",ROUND($W20*(1-$U$5)/ОКРУГЛЕННЯ,0)*ОКРУГЛЕННЯ+MAX(0,E$8-$Z20)*$AA20*(1-$U$5)+E$8*$AB20*(1-$U$5*$U$6)+$AD20*(1-$U$5*$U$7))</f>
        <v/>
      </c>
      <c r="F20" s="26" t="str">
        <f aca="false">IF(OR($AF20=0,F$8&gt;$Y20),"",ROUND($W20*(1-$U$5)/ОКРУГЛЕННЯ,0)*ОКРУГЛЕННЯ+MAX(0,F$8-$Z20)*$AA20*(1-$U$5)+F$8*$AB20*(1-$U$5*$U$6)+$AD20*(1-$U$5*$U$7))</f>
        <v/>
      </c>
      <c r="G20" s="26" t="str">
        <f aca="false">IF(OR($AF20=0,G$8&gt;$Y20),"",ROUND($W20*(1-$U$5)/ОКРУГЛЕННЯ,0)*ОКРУГЛЕННЯ+MAX(0,G$8-$Z20)*$AA20*(1-$U$5)+G$8*$AB20*(1-$U$5*$U$6)+$AD20*(1-$U$5*$U$7))</f>
        <v/>
      </c>
      <c r="H20" s="26" t="str">
        <f aca="false">IF(OR($AF20=0,H$8&gt;$Y20),"",ROUND($W20*(1-$U$5)/ОКРУГЛЕННЯ,0)*ОКРУГЛЕННЯ+MAX(0,H$8-$Z20)*$AA20*(1-$U$5)+H$8*$AB20*(1-$U$5*$U$6)+$AD20*(1-$U$5*$U$7))</f>
        <v/>
      </c>
      <c r="I20" s="26" t="str">
        <f aca="false">IF(OR($AF20=0,I$8&gt;$Y20),"",ROUND($W20*(1-$U$5)/ОКРУГЛЕННЯ,0)*ОКРУГЛЕННЯ+MAX(0,I$8-$Z20)*$AA20*(1-$U$5)+I$8*$AB20*(1-$U$5*$U$6)+$AD20*(1-$U$5*$U$7))</f>
        <v/>
      </c>
      <c r="J20" s="26" t="str">
        <f aca="false">IF(OR($AF20=0,J$8&gt;$Y20),"",ROUND($W20*(1-$U$5)/ОКРУГЛЕННЯ,0)*ОКРУГЛЕННЯ+MAX(0,J$8-$Z20)*$AA20*(1-$U$5)+J$8*$AB20*(1-$U$5*$U$6)+$AD20*(1-$U$5*$U$7))</f>
        <v/>
      </c>
      <c r="K20" s="27" t="str">
        <f aca="false">IF(OR($AF20=0,K$8&gt;$Y20),"",ROUND($W20*(1-$U$5)/ОКРУГЛЕННЯ,0)*ОКРУГЛЕННЯ+MAX(0,K$8-$Z20)*$AA20*(1-$U$5)+K$8*$AB20*(1-$U$5*$U$6)+$AD20*(1-$U$5*$U$7))</f>
        <v/>
      </c>
      <c r="M20" s="28" t="str">
        <f aca="false">IF(OR($AG20=0,M$8&gt;$Y20),"",ROUND($X20*(1-$U$5)/ОКРУГЛЕННЯ,0)*ОКРУГЛЕННЯ+MAX(0,M$8-$Z20)*$AA20*(1-$U$5)+M$8*$AC20*(1-$U$5*$U$6)+$AE20*(1-$U$5*$U$7))</f>
        <v/>
      </c>
      <c r="N20" s="26" t="str">
        <f aca="false">IF(OR($AG20=0,N$8&gt;$Y20),"",ROUND($X20*(1-$U$5)/ОКРУГЛЕННЯ,0)*ОКРУГЛЕННЯ+MAX(0,N$8-$Z20)*$AA20*(1-$U$5)+N$8*$AC20*(1-$U$5*$U$6)+$AE20*(1-$U$5*$U$7))</f>
        <v/>
      </c>
      <c r="O20" s="26" t="str">
        <f aca="false">IF(OR($AG20=0,O$8&gt;$Y20),"",ROUND($X20*(1-$U$5)/ОКРУГЛЕННЯ,0)*ОКРУГЛЕННЯ+MAX(0,O$8-$Z20)*$AA20*(1-$U$5)+O$8*$AC20*(1-$U$5*$U$6)+$AE20*(1-$U$5*$U$7))</f>
        <v/>
      </c>
      <c r="P20" s="26" t="str">
        <f aca="false">IF(OR($AG20=0,P$8&gt;$Y20),"",ROUND($X20*(1-$U$5)/ОКРУГЛЕННЯ,0)*ОКРУГЛЕННЯ+MAX(0,P$8-$Z20)*$AA20*(1-$U$5)+P$8*$AC20*(1-$U$5*$U$6)+$AE20*(1-$U$5*$U$7))</f>
        <v/>
      </c>
      <c r="Q20" s="26" t="str">
        <f aca="false">IF(OR($AG20=0,Q$8&gt;$Y20),"",ROUND($X20*(1-$U$5)/ОКРУГЛЕННЯ,0)*ОКРУГЛЕННЯ+MAX(0,Q$8-$Z20)*$AA20*(1-$U$5)+Q$8*$AC20*(1-$U$5*$U$6)+$AE20*(1-$U$5*$U$7))</f>
        <v/>
      </c>
      <c r="R20" s="26" t="str">
        <f aca="false">IF(OR($AG20=0,R$8&gt;$Y20),"",ROUND($X20*(1-$U$5)/ОКРУГЛЕННЯ,0)*ОКРУГЛЕННЯ+MAX(0,R$8-$Z20)*$AA20*(1-$U$5)+R$8*$AC20*(1-$U$5*$U$6)+$AE20*(1-$U$5*$U$7))</f>
        <v/>
      </c>
      <c r="S20" s="26" t="str">
        <f aca="false">IF(OR($AG20=0,S$8&gt;$Y20),"",ROUND($X20*(1-$U$5)/ОКРУГЛЕННЯ,0)*ОКРУГЛЕННЯ+MAX(0,S$8-$Z20)*$AA20*(1-$U$5)+S$8*$AC20*(1-$U$5*$U$6)+$AE20*(1-$U$5*$U$7))</f>
        <v/>
      </c>
      <c r="T20" s="26" t="str">
        <f aca="false">IF(OR($AG20=0,T$8&gt;$Y20),"",ROUND($X20*(1-$U$5)/ОКРУГЛЕННЯ,0)*ОКРУГЛЕННЯ+MAX(0,T$8-$Z20)*$AA20*(1-$U$5)+T$8*$AC20*(1-$U$5*$U$6)+$AE20*(1-$U$5*$U$7))</f>
        <v/>
      </c>
      <c r="W20" s="6" t="n">
        <f aca="false">IF(OR($U$3=0,$A20=""),0,IFERROR(INDEX(БАЗА_ЦІНИ,MATCH($A20,БАЗА_КАТ,0),$U$3),0))</f>
        <v>0</v>
      </c>
      <c r="X20" s="6" t="n">
        <f aca="false">IF(OR($U$3=0,$A20=""),0,IFERROR(INDEX(БАЗА_ЦІНИ,MATCH($A20,БАЗА_КАТ,0),$U$3+1),0))</f>
        <v>0</v>
      </c>
      <c r="Y20" s="6" t="n">
        <f aca="false">IF($A20="",0,IFERROR(INDEX(ДОВ_МАКС,MATCH($A20,КАТЕГОРІЇ,0)),0))</f>
        <v>0</v>
      </c>
      <c r="Z20" s="6" t="n">
        <f aca="false">IF($A20="",0,IFERROR(INDEX(ДОВ_ВКЛ,MATCH($A20,КАТЕГОРІЇ,0)),0))</f>
        <v>0</v>
      </c>
      <c r="AA20" s="6" t="n">
        <f aca="false">IF($A20="",0,IFERROR(INDEX(ДОВ_ДОПЛ_ДОР,MATCH($A20,КАТЕГОРІЇ,0)),0))</f>
        <v>0</v>
      </c>
      <c r="AB20" s="6" t="n">
        <f aca="false">IF(OR($U$3=0,$U$8=0),0,IFERROR(INDEX(ПАКЕТИ_ЦІНИ,MATCH($U$10&amp;"|Будні",ПАКЕТИ_КЛЮЧ,0),$U$3),0))</f>
        <v>0</v>
      </c>
      <c r="AC20" s="6" t="n">
        <f aca="false">IF(OR($U$3=0,$U$8=0),0,IFERROR(INDEX(ПАКЕТИ_ЦІНИ,MATCH($U$10&amp;"|Вихідні",ПАКЕТИ_КЛЮЧ,0),$U$3),0))</f>
        <v>0</v>
      </c>
      <c r="AD20" s="6" t="n">
        <f aca="false">IF(OR($U$3=0,$U$9=0,$A20=""),0,IFERROR(INDEX(SPA_ЦІНИ,MATCH(INDEX(ДОВ_SPA,MATCH($A20,КАТЕГОРІЇ,0)),SPA_РІВЕНЬ,0),$U$3),0))</f>
        <v>0</v>
      </c>
      <c r="AE20" s="6" t="n">
        <f aca="false">IF(OR($U$3=0,$U$9=0,$A20=""),0,IFERROR(INDEX(SPA_ЦІНИ,MATCH(INDEX(ДОВ_SPA,MATCH($A20,КАТЕГОРІЇ,0)),SPA_РІВЕНЬ,0),$U$3+1),0))</f>
        <v>0</v>
      </c>
      <c r="AF20" s="6" t="n">
        <f aca="false">IF(OR($A20="",W20=0,AND($U$8=1,AB20=0),AND($U$9=1,AD20=0)),0,1)</f>
        <v>0</v>
      </c>
      <c r="AG20" s="6" t="n">
        <f aca="false">IF(OR($A20="",X20=0,AND($U$8=1,AC20=0),AND($U$9=1,AE20=0)),0,1)</f>
        <v>0</v>
      </c>
    </row>
  </sheetData>
  <sheetProtection sheet="true"/>
  <mergeCells count="7">
    <mergeCell ref="A1:T1"/>
    <mergeCell ref="D3:T3"/>
    <mergeCell ref="D4:T4"/>
    <mergeCell ref="D5:T5"/>
    <mergeCell ref="A6:T6"/>
    <mergeCell ref="D7:K7"/>
    <mergeCell ref="M7:T7"/>
  </mergeCells>
  <conditionalFormatting sqref="A6:T6">
    <cfRule type="expression" priority="2" aboveAverage="0" equalAverage="0" bottom="0" percent="0" rank="0" text="" dxfId="0">
      <formula>OR($U$3=0,$U$13=0)</formula>
    </cfRule>
  </conditionalFormatting>
  <dataValidations count="3">
    <dataValidation allowBlank="false" error="Значення має бути з випадаючого списку — інакше прайс не порахується." errorStyle="stop" errorTitle="Оберіть зі списку" operator="between" showDropDown="false" showErrorMessage="true" showInputMessage="false" sqref="B3" type="list">
      <formula1>ПРАЙС_ЛИСТИ</formula1>
      <formula2>0</formula2>
    </dataValidation>
    <dataValidation allowBlank="false" error="Значення має бути з випадаючого списку — інакше прайс не порахується." errorStyle="stop" errorTitle="Оберіть зі списку" operator="between" showDropDown="false" showErrorMessage="true" showInputMessage="false" sqref="B4" type="list">
      <formula1>ТАРИФИ_НАЗВИ</formula1>
      <formula2>0</formula2>
    </dataValidation>
    <dataValidation allowBlank="false" error="Значення має бути з випадаючого списку — інакше прайс не порахується." errorStyle="stop" errorTitle="Оберіть зі списку" operator="between" showDropDown="false" showErrorMessage="true" showInputMessage="false" sqref="B5" type="list">
      <formula1>СПИСОК_ПАКЕТІВ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&amp;LPhoenix Східниця&amp;C&amp;A&amp;RСторінка &amp;P 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3"/>
    <col collapsed="false" customWidth="true" hidden="false" outlineLevel="0" max="4" min="4" style="0" width="38"/>
    <col collapsed="false" customWidth="true" hidden="false" outlineLevel="0" max="5" min="5" style="0" width="3"/>
    <col collapsed="false" customWidth="true" hidden="false" outlineLevel="0" max="6" min="6" style="0" width="18"/>
    <col collapsed="false" customWidth="true" hidden="true" outlineLevel="0" max="22" min="21" style="0" width="13"/>
  </cols>
  <sheetData>
    <row r="1" customFormat="false" ht="27.75" hidden="false" customHeight="true" outlineLevel="0" collapsed="false">
      <c r="A1" s="1" t="s">
        <v>23</v>
      </c>
      <c r="B1" s="1"/>
      <c r="C1" s="1"/>
      <c r="D1" s="1"/>
      <c r="E1" s="1"/>
      <c r="F1" s="1"/>
      <c r="U1" s="2" t="s">
        <v>0</v>
      </c>
    </row>
    <row r="3" customFormat="false" ht="42" hidden="false" customHeight="true" outlineLevel="0" collapsed="false">
      <c r="A3" s="8" t="s">
        <v>24</v>
      </c>
      <c r="B3" s="8"/>
      <c r="C3" s="8"/>
      <c r="D3" s="8"/>
      <c r="E3" s="8"/>
      <c r="F3" s="8"/>
      <c r="U3" s="6" t="n">
        <f aca="false">IFERROR(MATCH($B$6,ПЛ_РЯДОК,0),0)</f>
        <v>5</v>
      </c>
      <c r="V3" s="7" t="s">
        <v>3</v>
      </c>
    </row>
    <row r="5" customFormat="false" ht="15" hidden="false" customHeight="false" outlineLevel="0" collapsed="false">
      <c r="A5" s="29" t="s">
        <v>25</v>
      </c>
      <c r="B5" s="29"/>
      <c r="D5" s="29" t="s">
        <v>26</v>
      </c>
      <c r="E5" s="29"/>
      <c r="F5" s="29"/>
    </row>
    <row r="6" customFormat="false" ht="15" hidden="false" customHeight="false" outlineLevel="0" collapsed="false">
      <c r="A6" s="30" t="s">
        <v>1</v>
      </c>
      <c r="B6" s="31" t="str">
        <f aca="false">Прайс!$B$3</f>
        <v>0сінь 26 0-10%</v>
      </c>
      <c r="D6" s="32" t="s">
        <v>27</v>
      </c>
      <c r="F6" s="17" t="str">
        <f aca="false">IF(OR($B$6="",$B$8="",$U$3=0,F7&lt;F8,F7&gt;F10,F11=0,AND($U$8=1,OR(AND($B$10&gt;0,F18=0),AND($B$11&gt;0,F19=0))),AND($U$9=1,F20=0)),"ПЕРЕВІРТЕ ПАРАМЕТРИ","OK")</f>
        <v>OK</v>
      </c>
    </row>
    <row r="7" customFormat="false" ht="15" hidden="false" customHeight="false" outlineLevel="0" collapsed="false">
      <c r="A7" s="3" t="s">
        <v>4</v>
      </c>
      <c r="B7" s="4" t="s">
        <v>5</v>
      </c>
      <c r="D7" s="32" t="s">
        <v>28</v>
      </c>
      <c r="F7" s="33" t="n">
        <f aca="false">$B$10+$B$11</f>
        <v>2</v>
      </c>
    </row>
    <row r="8" customFormat="false" ht="15" hidden="false" customHeight="false" outlineLevel="0" collapsed="false">
      <c r="A8" s="3" t="s">
        <v>14</v>
      </c>
      <c r="B8" s="4" t="s">
        <v>29</v>
      </c>
      <c r="D8" s="32" t="s">
        <v>30</v>
      </c>
      <c r="F8" s="33" t="n">
        <f aca="false">IFERROR(INDEX(ДОВ_МІН,MATCH($B$8,КАТЕГОРІЇ,0)),0)</f>
        <v>2</v>
      </c>
      <c r="U8" s="6" t="n">
        <f aca="false">IF(OR($B$12="BB",$B$12="BBSPA",$B$12="ROSPABB"),1,0)</f>
        <v>0</v>
      </c>
      <c r="V8" s="7" t="s">
        <v>17</v>
      </c>
    </row>
    <row r="9" customFormat="false" ht="15" hidden="false" customHeight="false" outlineLevel="0" collapsed="false">
      <c r="A9" s="3" t="s">
        <v>31</v>
      </c>
      <c r="B9" s="4" t="s">
        <v>32</v>
      </c>
      <c r="D9" s="32" t="s">
        <v>33</v>
      </c>
      <c r="F9" s="33" t="n">
        <f aca="false">IFERROR(INDEX(ДОВ_ВКЛ,MATCH($B$8,КАТЕГОРІЇ,0)),0)</f>
        <v>2</v>
      </c>
      <c r="U9" s="6" t="n">
        <f aca="false">IF(OR($B$12="ROSPA",$B$12="ROSPABB"),1,0)</f>
        <v>0</v>
      </c>
      <c r="V9" s="7" t="s">
        <v>18</v>
      </c>
    </row>
    <row r="10" customFormat="false" ht="15" hidden="false" customHeight="false" outlineLevel="0" collapsed="false">
      <c r="A10" s="3" t="s">
        <v>34</v>
      </c>
      <c r="B10" s="34" t="n">
        <v>2</v>
      </c>
      <c r="D10" s="32" t="s">
        <v>35</v>
      </c>
      <c r="F10" s="33" t="n">
        <f aca="false">IFERROR(INDEX(ДОВ_МАКС,MATCH($B$8,КАТЕГОРІЇ,0)),0)</f>
        <v>3</v>
      </c>
      <c r="U10" s="6" t="str">
        <f aca="false">IF($U$8=0,"",IF($B$12="ROSPABB","BB",$B$12))</f>
        <v/>
      </c>
      <c r="V10" s="7" t="s">
        <v>19</v>
      </c>
    </row>
    <row r="11" customFormat="false" ht="15" hidden="false" customHeight="false" outlineLevel="0" collapsed="false">
      <c r="A11" s="3" t="s">
        <v>36</v>
      </c>
      <c r="B11" s="34" t="n">
        <v>0</v>
      </c>
      <c r="D11" s="32" t="s">
        <v>37</v>
      </c>
      <c r="F11" s="35" t="n">
        <f aca="false">IF($U$3=0,0,IFERROR(INDEX(БАЗА_ЦІНИ,MATCH($B$8,БАЗА_КАТ,0),$U$3+IF($B$9="Вихідні",1,0)),0))</f>
        <v>4200</v>
      </c>
    </row>
    <row r="12" customFormat="false" ht="15" hidden="false" customHeight="false" outlineLevel="0" collapsed="false">
      <c r="A12" s="3" t="s">
        <v>7</v>
      </c>
      <c r="B12" s="4" t="s">
        <v>8</v>
      </c>
      <c r="D12" s="32" t="s">
        <v>38</v>
      </c>
      <c r="F12" s="33" t="n">
        <f aca="false">MAX(0,$B$10-F9)</f>
        <v>0</v>
      </c>
    </row>
    <row r="13" customFormat="false" ht="15" hidden="false" customHeight="false" outlineLevel="0" collapsed="false">
      <c r="A13" s="3" t="s">
        <v>39</v>
      </c>
      <c r="B13" s="34" t="n">
        <v>0</v>
      </c>
      <c r="D13" s="32" t="s">
        <v>40</v>
      </c>
      <c r="F13" s="33" t="n">
        <f aca="false">MAX(0,F7-F9)-F12</f>
        <v>0</v>
      </c>
    </row>
    <row r="14" customFormat="false" ht="15" hidden="false" customHeight="false" outlineLevel="0" collapsed="false">
      <c r="A14" s="3" t="s">
        <v>41</v>
      </c>
      <c r="B14" s="34" t="n">
        <v>1</v>
      </c>
      <c r="D14" s="32" t="s">
        <v>42</v>
      </c>
      <c r="F14" s="35" t="n">
        <f aca="false">F12*IFERROR(INDEX(ДОВ_ДОПЛ_ДОР,MATCH($B$8,КАТЕГОРІЇ,0)),0)+F13*IFERROR(INDEX(ДОВ_ДОПЛ_ДІТ,MATCH($B$8,КАТЕГОРІЇ,0)),0)</f>
        <v>0</v>
      </c>
    </row>
    <row r="15" customFormat="false" ht="15" hidden="false" customHeight="false" outlineLevel="0" collapsed="false">
      <c r="A15" s="3" t="s">
        <v>43</v>
      </c>
      <c r="B15" s="36"/>
      <c r="D15" s="32" t="s">
        <v>44</v>
      </c>
      <c r="F15" s="37" t="n">
        <f aca="false">IF($B$12="BBSPA",ЗНИЖКА_BBSPA,IFERROR(SUMIFS(ТАРИФИ_ЗНИЖКИ,ТАРИФИ_НАЗВИ,$B$7),0))</f>
        <v>0</v>
      </c>
    </row>
    <row r="16" customFormat="false" ht="15" hidden="false" customHeight="false" outlineLevel="0" collapsed="false">
      <c r="D16" s="32" t="s">
        <v>45</v>
      </c>
      <c r="F16" s="33" t="n">
        <f aca="false">IF($U$3=0,0,IFERROR(INDEX(ПЕРЕМИКАЧІ,IF($B$12="BBSPA",2,1),$U$3),0))</f>
        <v>0</v>
      </c>
    </row>
    <row r="17" customFormat="false" ht="15" hidden="false" customHeight="false" outlineLevel="0" collapsed="false">
      <c r="D17" s="32" t="s">
        <v>46</v>
      </c>
      <c r="F17" s="33" t="n">
        <f aca="false">IF($U$3=0,0,IFERROR(INDEX(ПЕРЕМИКАЧІ,3,$U$3),0))</f>
        <v>0</v>
      </c>
    </row>
    <row r="18" customFormat="false" ht="15" hidden="false" customHeight="false" outlineLevel="0" collapsed="false">
      <c r="D18" s="32" t="s">
        <v>47</v>
      </c>
      <c r="F18" s="35" t="n">
        <f aca="false">IF(OR($U$3=0,$U$8=0),0,IFERROR(INDEX(ПАКЕТИ_ЦІНИ,MATCH($U$10&amp;"|"&amp;$B$9,ПАКЕТИ_КЛЮЧ,0),$U$3),0))</f>
        <v>0</v>
      </c>
    </row>
    <row r="19" customFormat="false" ht="15" hidden="false" customHeight="false" outlineLevel="0" collapsed="false">
      <c r="D19" s="32" t="s">
        <v>48</v>
      </c>
      <c r="F19" s="35" t="n">
        <f aca="false">IF(OR($U$3=0,$U$8=0),0,IFERROR(INDEX(ПАКЕТИ_ЦІНИ,MATCH($U$10&amp;"|"&amp;$B$9,ПАКЕТИ_КЛЮЧ,0),$U$3+1),0))</f>
        <v>0</v>
      </c>
    </row>
    <row r="20" customFormat="false" ht="15" hidden="false" customHeight="false" outlineLevel="0" collapsed="false">
      <c r="D20" s="32" t="s">
        <v>49</v>
      </c>
      <c r="F20" s="35" t="n">
        <f aca="false">IF(OR($U$3=0,$U$9=0),0,IFERROR(INDEX(SPA_ЦІНИ,MATCH(INDEX(ДОВ_SPA,MATCH($B$8,КАТЕГОРІЇ,0)),SPA_РІВЕНЬ,0),$U$3+IF($B$9="Вихідні",1,0)),0))</f>
        <v>0</v>
      </c>
    </row>
    <row r="21" customFormat="false" ht="15" hidden="false" customHeight="false" outlineLevel="0" collapsed="false">
      <c r="D21" s="32" t="s">
        <v>50</v>
      </c>
      <c r="F21" s="35" t="n">
        <f aca="false">$B$13*ТВАРИНИ</f>
        <v>0</v>
      </c>
    </row>
    <row r="22" customFormat="false" ht="28.35" hidden="false" customHeight="false" outlineLevel="0" collapsed="false">
      <c r="D22" s="32" t="s">
        <v>51</v>
      </c>
      <c r="F22" s="38" t="n">
        <f aca="false">F11</f>
        <v>4200</v>
      </c>
    </row>
    <row r="23" customFormat="false" ht="21.75" hidden="false" customHeight="true" outlineLevel="0" collapsed="false">
      <c r="D23" s="39" t="s">
        <v>52</v>
      </c>
      <c r="F23" s="40" t="n">
        <f aca="false">IF($F$6&lt;&gt;"OK","",ROUND(F22*(1-F15)/ОКРУГЛЕННЯ,0)*ОКРУГЛЕННЯ+F14*(1-F15)+($B$10*F18+$B$11*F19)*(1-F15*F16)+F20*(1-F15*F17)+F21)</f>
        <v>4200</v>
      </c>
    </row>
    <row r="24" customFormat="false" ht="21.75" hidden="false" customHeight="true" outlineLevel="0" collapsed="false">
      <c r="D24" s="39" t="s">
        <v>53</v>
      </c>
      <c r="F24" s="40" t="n">
        <f aca="false">IF(F23="","",F23*$B$14)</f>
        <v>4200</v>
      </c>
    </row>
    <row r="26" customFormat="false" ht="15" hidden="false" customHeight="false" outlineLevel="0" collapsed="false">
      <c r="D26" s="29" t="s">
        <v>54</v>
      </c>
      <c r="E26" s="29"/>
      <c r="F26" s="29"/>
    </row>
    <row r="27" customFormat="false" ht="15" hidden="false" customHeight="false" outlineLevel="0" collapsed="false">
      <c r="D27" s="32" t="s">
        <v>55</v>
      </c>
      <c r="F27" s="24" t="str">
        <f aca="false">IF($B$15="","",IFERROR(INDEX(ПРАЙС_ЛИСТИ,SUMPRODUCT(MAX((ПЛ_ДАТА_З&lt;=$B$15)*(ПЛ_ДАТА_ПО&gt;=$B$15)*(ПЛ_СТАТУС="Активний")*(ПРАЙС_ЛИСТИ&lt;&gt;"")*ROW(ПРАЙС_ЛИСТИ)))-5),"— не знайдено —"))</f>
        <v/>
      </c>
    </row>
    <row r="28" customFormat="false" ht="15" hidden="false" customHeight="false" outlineLevel="0" collapsed="false">
      <c r="D28" s="32" t="s">
        <v>56</v>
      </c>
      <c r="F28" s="24" t="str">
        <f aca="false">IF($B$15="","",IF(WEEKDAY($B$15,2)&gt;=ПЕРШИЙ_ВИХІДНИЙ,"Вихідні","Будні"))</f>
        <v/>
      </c>
    </row>
    <row r="29" customFormat="false" ht="15" hidden="false" customHeight="false" outlineLevel="0" collapsed="false">
      <c r="D29" s="41" t="s">
        <v>57</v>
      </c>
      <c r="E29" s="41"/>
      <c r="F29" s="41"/>
    </row>
  </sheetData>
  <sheetProtection sheet="true"/>
  <mergeCells count="6">
    <mergeCell ref="A1:F1"/>
    <mergeCell ref="A3:F3"/>
    <mergeCell ref="A5:B5"/>
    <mergeCell ref="D5:F5"/>
    <mergeCell ref="D26:F26"/>
    <mergeCell ref="D29:F29"/>
  </mergeCells>
  <conditionalFormatting sqref="F6">
    <cfRule type="expression" priority="2" aboveAverage="0" equalAverage="0" bottom="0" percent="0" rank="0" text="" dxfId="1">
      <formula>$F$6="OK"</formula>
    </cfRule>
    <cfRule type="expression" priority="3" aboveAverage="0" equalAverage="0" bottom="0" percent="0" rank="0" text="" dxfId="2">
      <formula>$F$6&lt;&gt;"OK"</formula>
    </cfRule>
  </conditionalFormatting>
  <dataValidations count="7">
    <dataValidation allowBlank="false" error="Значення має бути з випадаючого списку." errorStyle="stop" errorTitle="Оберіть зі списку" operator="between" showDropDown="false" showErrorMessage="true" showInputMessage="false" sqref="B7" type="list">
      <formula1>ТАРИФИ_НАЗВИ</formula1>
      <formula2>0</formula2>
    </dataValidation>
    <dataValidation allowBlank="false" error="Значення має бути з випадаючого списку." errorStyle="stop" errorTitle="Оберіть зі списку" operator="between" showDropDown="false" showErrorMessage="true" showInputMessage="false" sqref="B8" type="list">
      <formula1>КАТЕГОРІЇ</formula1>
      <formula2>0</formula2>
    </dataValidation>
    <dataValidation allowBlank="false" error="Значення має бути з випадаючого списку." errorStyle="stop" errorTitle="Оберіть зі списку" operator="between" showDropDown="false" showErrorMessage="true" showInputMessage="false" sqref="B9" type="list">
      <formula1>СПИСОК_ДНІВ</formula1>
      <formula2>0</formula2>
    </dataValidation>
    <dataValidation allowBlank="false" error="Значення має бути з випадаючого списку." errorStyle="stop" errorTitle="Оберіть зі списку" operator="between" showDropDown="false" showErrorMessage="true" showInputMessage="false" sqref="B12" type="list">
      <formula1>СПИСОК_ПАКЕТІВ</formula1>
      <formula2>0</formula2>
    </dataValidation>
    <dataValidation allowBlank="false" error="Введіть ціле число від 0 до 30." errorStyle="stop" errorTitle="Кількість" operator="between" showDropDown="false" showErrorMessage="true" showInputMessage="false" sqref="B10:B11 B13" type="whole">
      <formula1>0</formula1>
      <formula2>30</formula2>
    </dataValidation>
    <dataValidation allowBlank="false" error="Введіть ціле число від 1 до 365." errorStyle="stop" errorTitle="Кількість ночей" operator="between" showDropDown="false" showErrorMessage="true" showInputMessage="false" sqref="B14" type="whole">
      <formula1>1</formula1>
      <formula2>365</formula2>
    </dataValidation>
    <dataValidation allowBlank="true" error="Введіть справжню дату у діапазоні 2020–2040." errorStyle="stop" errorTitle="Некоректна дата" operator="between" showDropDown="false" showErrorMessage="true" showInputMessage="false" sqref="B15" type="date">
      <formula1>DATE(2020,1,1)</formula1>
      <formula2>DATE(2040,12,31)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Z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4" topLeftCell="I5" activePane="bottomRight" state="frozen"/>
      <selection pane="topLeft" activeCell="A1" activeCellId="0" sqref="A1"/>
      <selection pane="topRight" activeCell="I1" activeCellId="0" sqref="I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26"/>
    <col collapsed="false" customWidth="true" hidden="false" outlineLevel="0" max="6" min="6" style="0" width="46"/>
    <col collapsed="false" customWidth="true" hidden="false" outlineLevel="0" max="7" min="7" style="0" width="24"/>
    <col collapsed="false" customWidth="true" hidden="false" outlineLevel="0" max="8" min="8" style="0" width="46"/>
    <col collapsed="false" customWidth="true" hidden="false" outlineLevel="0" max="208" min="9" style="0" width="15"/>
  </cols>
  <sheetData>
    <row r="1" customFormat="false" ht="27.75" hidden="false" customHeight="true" outlineLevel="0" collapsed="false">
      <c r="A1" s="1" t="s">
        <v>58</v>
      </c>
      <c r="B1" s="1"/>
      <c r="C1" s="1"/>
      <c r="D1" s="1"/>
      <c r="E1" s="1"/>
      <c r="F1" s="1"/>
      <c r="G1" s="1"/>
    </row>
    <row r="2" customFormat="false" ht="9.75" hidden="false" customHeight="true" outlineLevel="0" collapsed="false">
      <c r="A2" s="8" t="s">
        <v>59</v>
      </c>
      <c r="B2" s="8"/>
      <c r="C2" s="8"/>
      <c r="D2" s="8"/>
      <c r="E2" s="8"/>
      <c r="F2" s="8"/>
      <c r="G2" s="8"/>
      <c r="H2" s="42" t="s">
        <v>60</v>
      </c>
      <c r="I2" s="43" t="str">
        <f aca="false">IF($A$6="","",$A$6)</f>
        <v>Осінь 2025</v>
      </c>
      <c r="J2" s="44" t="str">
        <f aca="false">IF($A$6="","",$A$6)</f>
        <v>Осінь 2025</v>
      </c>
      <c r="K2" s="43" t="str">
        <f aca="false">IF($A$7="","",$A$7)</f>
        <v>Осінь 2026 Базовий Прайс</v>
      </c>
      <c r="L2" s="44" t="str">
        <f aca="false">IF($A$7="","",$A$7)</f>
        <v>Осінь 2026 Базовий Прайс</v>
      </c>
      <c r="M2" s="43" t="str">
        <f aca="false">IF($A$8="","",$A$8)</f>
        <v>0сінь 26 0-10%</v>
      </c>
      <c r="N2" s="44" t="str">
        <f aca="false">IF($A$8="","",$A$8)</f>
        <v>0сінь 26 0-10%</v>
      </c>
      <c r="O2" s="43" t="str">
        <f aca="false">IF($A$9="","",$A$9)</f>
        <v>Осінь 26  канікули 0-10%</v>
      </c>
      <c r="P2" s="44" t="str">
        <f aca="false">IF($A$9="","",$A$9)</f>
        <v>Осінь 26  канікули 0-10%</v>
      </c>
      <c r="Q2" s="43" t="str">
        <f aca="false">IF($A$10="","",$A$10)</f>
        <v>0сінь 26 10-20%</v>
      </c>
      <c r="R2" s="44" t="str">
        <f aca="false">IF($A$10="","",$A$10)</f>
        <v>0сінь 26 10-20%</v>
      </c>
      <c r="S2" s="43" t="str">
        <f aca="false">IF($A$11="","",$A$11)</f>
        <v>Осінь 26  канікули 10-20%</v>
      </c>
      <c r="T2" s="44" t="str">
        <f aca="false">IF($A$11="","",$A$11)</f>
        <v>Осінь 26  канікули 10-20%</v>
      </c>
      <c r="U2" s="43" t="str">
        <f aca="false">IF($A$12="","",$A$12)</f>
        <v>0сінь 26 20-30%</v>
      </c>
      <c r="V2" s="44" t="str">
        <f aca="false">IF($A$12="","",$A$12)</f>
        <v>0сінь 26 20-30%</v>
      </c>
      <c r="W2" s="43" t="str">
        <f aca="false">IF($A$13="","",$A$13)</f>
        <v>Осінь 26  канікули 20-30%</v>
      </c>
      <c r="X2" s="44" t="str">
        <f aca="false">IF($A$13="","",$A$13)</f>
        <v>Осінь 26  канікули 20-30%</v>
      </c>
      <c r="Y2" s="43" t="str">
        <f aca="false">IF($A$14="","",$A$14)</f>
        <v>0сінь 26 30-40%</v>
      </c>
      <c r="Z2" s="44" t="str">
        <f aca="false">IF($A$14="","",$A$14)</f>
        <v>0сінь 26 30-40%</v>
      </c>
      <c r="AA2" s="43" t="str">
        <f aca="false">IF($A$15="","",$A$15)</f>
        <v>Осінь 26  канікули 30-40%</v>
      </c>
      <c r="AB2" s="44" t="str">
        <f aca="false">IF($A$15="","",$A$15)</f>
        <v>Осінь 26  канікули 30-40%</v>
      </c>
      <c r="AC2" s="43" t="str">
        <f aca="false">IF($A$16="","",$A$16)</f>
        <v>0сінь 26 40-50%</v>
      </c>
      <c r="AD2" s="44" t="str">
        <f aca="false">IF($A$16="","",$A$16)</f>
        <v>0сінь 26 40-50%</v>
      </c>
      <c r="AE2" s="43" t="str">
        <f aca="false">IF($A$17="","",$A$17)</f>
        <v>Осінь 26  канікули 40-50%</v>
      </c>
      <c r="AF2" s="44" t="str">
        <f aca="false">IF($A$17="","",$A$17)</f>
        <v>Осінь 26  канікули 40-50%</v>
      </c>
      <c r="AG2" s="43" t="str">
        <f aca="false">IF($A$18="","",$A$18)</f>
        <v/>
      </c>
      <c r="AH2" s="44" t="str">
        <f aca="false">IF($A$18="","",$A$18)</f>
        <v/>
      </c>
      <c r="AI2" s="43" t="str">
        <f aca="false">IF($A$19="","",$A$19)</f>
        <v/>
      </c>
      <c r="AJ2" s="44" t="str">
        <f aca="false">IF($A$19="","",$A$19)</f>
        <v/>
      </c>
      <c r="AK2" s="43" t="str">
        <f aca="false">IF($A$20="","",$A$20)</f>
        <v/>
      </c>
      <c r="AL2" s="44" t="str">
        <f aca="false">IF($A$20="","",$A$20)</f>
        <v/>
      </c>
      <c r="AM2" s="43" t="str">
        <f aca="false">IF($A$21="","",$A$21)</f>
        <v/>
      </c>
      <c r="AN2" s="44" t="str">
        <f aca="false">IF($A$21="","",$A$21)</f>
        <v/>
      </c>
      <c r="AO2" s="43" t="str">
        <f aca="false">IF($A$22="","",$A$22)</f>
        <v/>
      </c>
      <c r="AP2" s="44" t="str">
        <f aca="false">IF($A$22="","",$A$22)</f>
        <v/>
      </c>
      <c r="AQ2" s="43" t="str">
        <f aca="false">IF($A$23="","",$A$23)</f>
        <v/>
      </c>
      <c r="AR2" s="44" t="str">
        <f aca="false">IF($A$23="","",$A$23)</f>
        <v/>
      </c>
      <c r="AS2" s="43" t="str">
        <f aca="false">IF($A$24="","",$A$24)</f>
        <v/>
      </c>
      <c r="AT2" s="44" t="str">
        <f aca="false">IF($A$24="","",$A$24)</f>
        <v/>
      </c>
      <c r="AU2" s="43" t="str">
        <f aca="false">IF($A$25="","",$A$25)</f>
        <v/>
      </c>
      <c r="AV2" s="44" t="str">
        <f aca="false">IF($A$25="","",$A$25)</f>
        <v/>
      </c>
      <c r="AW2" s="43" t="str">
        <f aca="false">IF($A$26="","",$A$26)</f>
        <v/>
      </c>
      <c r="AX2" s="44" t="str">
        <f aca="false">IF($A$26="","",$A$26)</f>
        <v/>
      </c>
      <c r="AY2" s="43" t="str">
        <f aca="false">IF($A$27="","",$A$27)</f>
        <v/>
      </c>
      <c r="AZ2" s="44" t="str">
        <f aca="false">IF($A$27="","",$A$27)</f>
        <v/>
      </c>
      <c r="BA2" s="43" t="str">
        <f aca="false">IF($A$28="","",$A$28)</f>
        <v/>
      </c>
      <c r="BB2" s="44" t="str">
        <f aca="false">IF($A$28="","",$A$28)</f>
        <v/>
      </c>
      <c r="BC2" s="43" t="str">
        <f aca="false">IF($A$29="","",$A$29)</f>
        <v/>
      </c>
      <c r="BD2" s="44" t="str">
        <f aca="false">IF($A$29="","",$A$29)</f>
        <v/>
      </c>
      <c r="BE2" s="43" t="str">
        <f aca="false">IF($A$30="","",$A$30)</f>
        <v/>
      </c>
      <c r="BF2" s="44" t="str">
        <f aca="false">IF($A$30="","",$A$30)</f>
        <v/>
      </c>
      <c r="BG2" s="43" t="str">
        <f aca="false">IF($A$31="","",$A$31)</f>
        <v/>
      </c>
      <c r="BH2" s="44" t="str">
        <f aca="false">IF($A$31="","",$A$31)</f>
        <v/>
      </c>
      <c r="BI2" s="43" t="str">
        <f aca="false">IF($A$32="","",$A$32)</f>
        <v/>
      </c>
      <c r="BJ2" s="44" t="str">
        <f aca="false">IF($A$32="","",$A$32)</f>
        <v/>
      </c>
      <c r="BK2" s="43" t="str">
        <f aca="false">IF($A$33="","",$A$33)</f>
        <v/>
      </c>
      <c r="BL2" s="44" t="str">
        <f aca="false">IF($A$33="","",$A$33)</f>
        <v/>
      </c>
      <c r="BM2" s="43" t="str">
        <f aca="false">IF($A$34="","",$A$34)</f>
        <v/>
      </c>
      <c r="BN2" s="44" t="str">
        <f aca="false">IF($A$34="","",$A$34)</f>
        <v/>
      </c>
      <c r="BO2" s="43" t="str">
        <f aca="false">IF($A$35="","",$A$35)</f>
        <v/>
      </c>
      <c r="BP2" s="44" t="str">
        <f aca="false">IF($A$35="","",$A$35)</f>
        <v/>
      </c>
      <c r="BQ2" s="43" t="str">
        <f aca="false">IF($A$36="","",$A$36)</f>
        <v/>
      </c>
      <c r="BR2" s="44" t="str">
        <f aca="false">IF($A$36="","",$A$36)</f>
        <v/>
      </c>
      <c r="BS2" s="43" t="str">
        <f aca="false">IF($A$37="","",$A$37)</f>
        <v/>
      </c>
      <c r="BT2" s="44" t="str">
        <f aca="false">IF($A$37="","",$A$37)</f>
        <v/>
      </c>
      <c r="BU2" s="43" t="str">
        <f aca="false">IF($A$38="","",$A$38)</f>
        <v/>
      </c>
      <c r="BV2" s="44" t="str">
        <f aca="false">IF($A$38="","",$A$38)</f>
        <v/>
      </c>
      <c r="BW2" s="43" t="str">
        <f aca="false">IF($A$39="","",$A$39)</f>
        <v/>
      </c>
      <c r="BX2" s="44" t="str">
        <f aca="false">IF($A$39="","",$A$39)</f>
        <v/>
      </c>
      <c r="BY2" s="43" t="str">
        <f aca="false">IF($A$40="","",$A$40)</f>
        <v/>
      </c>
      <c r="BZ2" s="44" t="str">
        <f aca="false">IF($A$40="","",$A$40)</f>
        <v/>
      </c>
      <c r="CA2" s="43" t="str">
        <f aca="false">IF($A$41="","",$A$41)</f>
        <v/>
      </c>
      <c r="CB2" s="44" t="str">
        <f aca="false">IF($A$41="","",$A$41)</f>
        <v/>
      </c>
      <c r="CC2" s="43" t="str">
        <f aca="false">IF($A$42="","",$A$42)</f>
        <v/>
      </c>
      <c r="CD2" s="44" t="str">
        <f aca="false">IF($A$42="","",$A$42)</f>
        <v/>
      </c>
      <c r="CE2" s="43" t="str">
        <f aca="false">IF($A$43="","",$A$43)</f>
        <v/>
      </c>
      <c r="CF2" s="44" t="str">
        <f aca="false">IF($A$43="","",$A$43)</f>
        <v/>
      </c>
      <c r="CG2" s="43" t="str">
        <f aca="false">IF($A$44="","",$A$44)</f>
        <v/>
      </c>
      <c r="CH2" s="44" t="str">
        <f aca="false">IF($A$44="","",$A$44)</f>
        <v/>
      </c>
      <c r="CI2" s="43" t="str">
        <f aca="false">IF($A$45="","",$A$45)</f>
        <v/>
      </c>
      <c r="CJ2" s="44" t="str">
        <f aca="false">IF($A$45="","",$A$45)</f>
        <v/>
      </c>
      <c r="CK2" s="43" t="str">
        <f aca="false">IF($A$46="","",$A$46)</f>
        <v/>
      </c>
      <c r="CL2" s="44" t="str">
        <f aca="false">IF($A$46="","",$A$46)</f>
        <v/>
      </c>
      <c r="CM2" s="43" t="str">
        <f aca="false">IF($A$47="","",$A$47)</f>
        <v/>
      </c>
      <c r="CN2" s="44" t="str">
        <f aca="false">IF($A$47="","",$A$47)</f>
        <v/>
      </c>
      <c r="CO2" s="43" t="str">
        <f aca="false">IF($A$48="","",$A$48)</f>
        <v/>
      </c>
      <c r="CP2" s="44" t="str">
        <f aca="false">IF($A$48="","",$A$48)</f>
        <v/>
      </c>
      <c r="CQ2" s="43" t="str">
        <f aca="false">IF($A$49="","",$A$49)</f>
        <v/>
      </c>
      <c r="CR2" s="44" t="str">
        <f aca="false">IF($A$49="","",$A$49)</f>
        <v/>
      </c>
      <c r="CS2" s="43" t="str">
        <f aca="false">IF($A$50="","",$A$50)</f>
        <v/>
      </c>
      <c r="CT2" s="44" t="str">
        <f aca="false">IF($A$50="","",$A$50)</f>
        <v/>
      </c>
      <c r="CU2" s="43" t="str">
        <f aca="false">IF($A$51="","",$A$51)</f>
        <v/>
      </c>
      <c r="CV2" s="44" t="str">
        <f aca="false">IF($A$51="","",$A$51)</f>
        <v/>
      </c>
      <c r="CW2" s="43" t="str">
        <f aca="false">IF($A$52="","",$A$52)</f>
        <v/>
      </c>
      <c r="CX2" s="44" t="str">
        <f aca="false">IF($A$52="","",$A$52)</f>
        <v/>
      </c>
      <c r="CY2" s="43" t="str">
        <f aca="false">IF($A$53="","",$A$53)</f>
        <v/>
      </c>
      <c r="CZ2" s="44" t="str">
        <f aca="false">IF($A$53="","",$A$53)</f>
        <v/>
      </c>
      <c r="DA2" s="43" t="str">
        <f aca="false">IF($A$54="","",$A$54)</f>
        <v/>
      </c>
      <c r="DB2" s="44" t="str">
        <f aca="false">IF($A$54="","",$A$54)</f>
        <v/>
      </c>
      <c r="DC2" s="43" t="str">
        <f aca="false">IF($A$55="","",$A$55)</f>
        <v/>
      </c>
      <c r="DD2" s="44" t="str">
        <f aca="false">IF($A$55="","",$A$55)</f>
        <v/>
      </c>
      <c r="DE2" s="43" t="str">
        <f aca="false">IF($A$56="","",$A$56)</f>
        <v/>
      </c>
      <c r="DF2" s="44" t="str">
        <f aca="false">IF($A$56="","",$A$56)</f>
        <v/>
      </c>
      <c r="DG2" s="43" t="str">
        <f aca="false">IF($A$57="","",$A$57)</f>
        <v/>
      </c>
      <c r="DH2" s="44" t="str">
        <f aca="false">IF($A$57="","",$A$57)</f>
        <v/>
      </c>
      <c r="DI2" s="43" t="str">
        <f aca="false">IF($A$58="","",$A$58)</f>
        <v/>
      </c>
      <c r="DJ2" s="44" t="str">
        <f aca="false">IF($A$58="","",$A$58)</f>
        <v/>
      </c>
      <c r="DK2" s="43" t="str">
        <f aca="false">IF($A$59="","",$A$59)</f>
        <v/>
      </c>
      <c r="DL2" s="44" t="str">
        <f aca="false">IF($A$59="","",$A$59)</f>
        <v/>
      </c>
      <c r="DM2" s="43" t="str">
        <f aca="false">IF($A$60="","",$A$60)</f>
        <v/>
      </c>
      <c r="DN2" s="44" t="str">
        <f aca="false">IF($A$60="","",$A$60)</f>
        <v/>
      </c>
      <c r="DO2" s="43" t="str">
        <f aca="false">IF($A$61="","",$A$61)</f>
        <v/>
      </c>
      <c r="DP2" s="44" t="str">
        <f aca="false">IF($A$61="","",$A$61)</f>
        <v/>
      </c>
      <c r="DQ2" s="43" t="str">
        <f aca="false">IF($A$62="","",$A$62)</f>
        <v/>
      </c>
      <c r="DR2" s="44" t="str">
        <f aca="false">IF($A$62="","",$A$62)</f>
        <v/>
      </c>
      <c r="DS2" s="43" t="str">
        <f aca="false">IF($A$63="","",$A$63)</f>
        <v/>
      </c>
      <c r="DT2" s="44" t="str">
        <f aca="false">IF($A$63="","",$A$63)</f>
        <v/>
      </c>
      <c r="DU2" s="43" t="str">
        <f aca="false">IF($A$64="","",$A$64)</f>
        <v/>
      </c>
      <c r="DV2" s="44" t="str">
        <f aca="false">IF($A$64="","",$A$64)</f>
        <v/>
      </c>
      <c r="DW2" s="43" t="str">
        <f aca="false">IF($A$65="","",$A$65)</f>
        <v/>
      </c>
      <c r="DX2" s="44" t="str">
        <f aca="false">IF($A$65="","",$A$65)</f>
        <v/>
      </c>
      <c r="DY2" s="43" t="str">
        <f aca="false">IF($A$66="","",$A$66)</f>
        <v/>
      </c>
      <c r="DZ2" s="44" t="str">
        <f aca="false">IF($A$66="","",$A$66)</f>
        <v/>
      </c>
      <c r="EA2" s="43" t="str">
        <f aca="false">IF($A$67="","",$A$67)</f>
        <v/>
      </c>
      <c r="EB2" s="44" t="str">
        <f aca="false">IF($A$67="","",$A$67)</f>
        <v/>
      </c>
      <c r="EC2" s="43" t="str">
        <f aca="false">IF($A$68="","",$A$68)</f>
        <v/>
      </c>
      <c r="ED2" s="44" t="str">
        <f aca="false">IF($A$68="","",$A$68)</f>
        <v/>
      </c>
      <c r="EE2" s="43" t="str">
        <f aca="false">IF($A$69="","",$A$69)</f>
        <v/>
      </c>
      <c r="EF2" s="44" t="str">
        <f aca="false">IF($A$69="","",$A$69)</f>
        <v/>
      </c>
      <c r="EG2" s="43" t="str">
        <f aca="false">IF($A$70="","",$A$70)</f>
        <v/>
      </c>
      <c r="EH2" s="44" t="str">
        <f aca="false">IF($A$70="","",$A$70)</f>
        <v/>
      </c>
      <c r="EI2" s="43" t="str">
        <f aca="false">IF($A$71="","",$A$71)</f>
        <v/>
      </c>
      <c r="EJ2" s="44" t="str">
        <f aca="false">IF($A$71="","",$A$71)</f>
        <v/>
      </c>
      <c r="EK2" s="43" t="str">
        <f aca="false">IF($A$72="","",$A$72)</f>
        <v/>
      </c>
      <c r="EL2" s="44" t="str">
        <f aca="false">IF($A$72="","",$A$72)</f>
        <v/>
      </c>
      <c r="EM2" s="43" t="str">
        <f aca="false">IF($A$73="","",$A$73)</f>
        <v/>
      </c>
      <c r="EN2" s="44" t="str">
        <f aca="false">IF($A$73="","",$A$73)</f>
        <v/>
      </c>
      <c r="EO2" s="43" t="str">
        <f aca="false">IF($A$74="","",$A$74)</f>
        <v/>
      </c>
      <c r="EP2" s="44" t="str">
        <f aca="false">IF($A$74="","",$A$74)</f>
        <v/>
      </c>
      <c r="EQ2" s="43" t="str">
        <f aca="false">IF($A$75="","",$A$75)</f>
        <v/>
      </c>
      <c r="ER2" s="44" t="str">
        <f aca="false">IF($A$75="","",$A$75)</f>
        <v/>
      </c>
      <c r="ES2" s="43" t="str">
        <f aca="false">IF($A$76="","",$A$76)</f>
        <v/>
      </c>
      <c r="ET2" s="44" t="str">
        <f aca="false">IF($A$76="","",$A$76)</f>
        <v/>
      </c>
      <c r="EU2" s="43" t="str">
        <f aca="false">IF($A$77="","",$A$77)</f>
        <v/>
      </c>
      <c r="EV2" s="44" t="str">
        <f aca="false">IF($A$77="","",$A$77)</f>
        <v/>
      </c>
      <c r="EW2" s="43" t="str">
        <f aca="false">IF($A$78="","",$A$78)</f>
        <v/>
      </c>
      <c r="EX2" s="44" t="str">
        <f aca="false">IF($A$78="","",$A$78)</f>
        <v/>
      </c>
      <c r="EY2" s="43" t="str">
        <f aca="false">IF($A$79="","",$A$79)</f>
        <v/>
      </c>
      <c r="EZ2" s="44" t="str">
        <f aca="false">IF($A$79="","",$A$79)</f>
        <v/>
      </c>
      <c r="FA2" s="43" t="str">
        <f aca="false">IF($A$80="","",$A$80)</f>
        <v/>
      </c>
      <c r="FB2" s="44" t="str">
        <f aca="false">IF($A$80="","",$A$80)</f>
        <v/>
      </c>
      <c r="FC2" s="43" t="str">
        <f aca="false">IF($A$81="","",$A$81)</f>
        <v/>
      </c>
      <c r="FD2" s="44" t="str">
        <f aca="false">IF($A$81="","",$A$81)</f>
        <v/>
      </c>
      <c r="FE2" s="43" t="str">
        <f aca="false">IF($A$82="","",$A$82)</f>
        <v/>
      </c>
      <c r="FF2" s="44" t="str">
        <f aca="false">IF($A$82="","",$A$82)</f>
        <v/>
      </c>
      <c r="FG2" s="43" t="str">
        <f aca="false">IF($A$83="","",$A$83)</f>
        <v/>
      </c>
      <c r="FH2" s="44" t="str">
        <f aca="false">IF($A$83="","",$A$83)</f>
        <v/>
      </c>
      <c r="FI2" s="43" t="str">
        <f aca="false">IF($A$84="","",$A$84)</f>
        <v/>
      </c>
      <c r="FJ2" s="44" t="str">
        <f aca="false">IF($A$84="","",$A$84)</f>
        <v/>
      </c>
      <c r="FK2" s="43" t="str">
        <f aca="false">IF($A$85="","",$A$85)</f>
        <v/>
      </c>
      <c r="FL2" s="44" t="str">
        <f aca="false">IF($A$85="","",$A$85)</f>
        <v/>
      </c>
      <c r="FM2" s="43" t="str">
        <f aca="false">IF($A$86="","",$A$86)</f>
        <v/>
      </c>
      <c r="FN2" s="44" t="str">
        <f aca="false">IF($A$86="","",$A$86)</f>
        <v/>
      </c>
      <c r="FO2" s="43" t="str">
        <f aca="false">IF($A$87="","",$A$87)</f>
        <v/>
      </c>
      <c r="FP2" s="44" t="str">
        <f aca="false">IF($A$87="","",$A$87)</f>
        <v/>
      </c>
      <c r="FQ2" s="43" t="str">
        <f aca="false">IF($A$88="","",$A$88)</f>
        <v/>
      </c>
      <c r="FR2" s="44" t="str">
        <f aca="false">IF($A$88="","",$A$88)</f>
        <v/>
      </c>
      <c r="FS2" s="43" t="str">
        <f aca="false">IF($A$89="","",$A$89)</f>
        <v/>
      </c>
      <c r="FT2" s="44" t="str">
        <f aca="false">IF($A$89="","",$A$89)</f>
        <v/>
      </c>
      <c r="FU2" s="43" t="str">
        <f aca="false">IF($A$90="","",$A$90)</f>
        <v/>
      </c>
      <c r="FV2" s="44" t="str">
        <f aca="false">IF($A$90="","",$A$90)</f>
        <v/>
      </c>
      <c r="FW2" s="43" t="str">
        <f aca="false">IF($A$91="","",$A$91)</f>
        <v/>
      </c>
      <c r="FX2" s="44" t="str">
        <f aca="false">IF($A$91="","",$A$91)</f>
        <v/>
      </c>
      <c r="FY2" s="43" t="str">
        <f aca="false">IF($A$92="","",$A$92)</f>
        <v/>
      </c>
      <c r="FZ2" s="44" t="str">
        <f aca="false">IF($A$92="","",$A$92)</f>
        <v/>
      </c>
      <c r="GA2" s="43" t="str">
        <f aca="false">IF($A$93="","",$A$93)</f>
        <v/>
      </c>
      <c r="GB2" s="44" t="str">
        <f aca="false">IF($A$93="","",$A$93)</f>
        <v/>
      </c>
      <c r="GC2" s="43" t="str">
        <f aca="false">IF($A$94="","",$A$94)</f>
        <v/>
      </c>
      <c r="GD2" s="44" t="str">
        <f aca="false">IF($A$94="","",$A$94)</f>
        <v/>
      </c>
      <c r="GE2" s="43" t="str">
        <f aca="false">IF($A$95="","",$A$95)</f>
        <v/>
      </c>
      <c r="GF2" s="44" t="str">
        <f aca="false">IF($A$95="","",$A$95)</f>
        <v/>
      </c>
      <c r="GG2" s="43" t="str">
        <f aca="false">IF($A$96="","",$A$96)</f>
        <v/>
      </c>
      <c r="GH2" s="44" t="str">
        <f aca="false">IF($A$96="","",$A$96)</f>
        <v/>
      </c>
      <c r="GI2" s="43" t="str">
        <f aca="false">IF($A$97="","",$A$97)</f>
        <v/>
      </c>
      <c r="GJ2" s="44" t="str">
        <f aca="false">IF($A$97="","",$A$97)</f>
        <v/>
      </c>
      <c r="GK2" s="43" t="str">
        <f aca="false">IF($A$98="","",$A$98)</f>
        <v/>
      </c>
      <c r="GL2" s="44" t="str">
        <f aca="false">IF($A$98="","",$A$98)</f>
        <v/>
      </c>
      <c r="GM2" s="43" t="str">
        <f aca="false">IF($A$99="","",$A$99)</f>
        <v/>
      </c>
      <c r="GN2" s="44" t="str">
        <f aca="false">IF($A$99="","",$A$99)</f>
        <v/>
      </c>
      <c r="GO2" s="43" t="str">
        <f aca="false">IF($A$100="","",$A$100)</f>
        <v/>
      </c>
      <c r="GP2" s="44" t="str">
        <f aca="false">IF($A$100="","",$A$100)</f>
        <v/>
      </c>
      <c r="GQ2" s="43" t="str">
        <f aca="false">IF($A$101="","",$A$101)</f>
        <v/>
      </c>
      <c r="GR2" s="44" t="str">
        <f aca="false">IF($A$101="","",$A$101)</f>
        <v/>
      </c>
      <c r="GS2" s="43" t="str">
        <f aca="false">IF($A$102="","",$A$102)</f>
        <v/>
      </c>
      <c r="GT2" s="44" t="str">
        <f aca="false">IF($A$102="","",$A$102)</f>
        <v/>
      </c>
      <c r="GU2" s="43" t="str">
        <f aca="false">IF($A$103="","",$A$103)</f>
        <v/>
      </c>
      <c r="GV2" s="44" t="str">
        <f aca="false">IF($A$103="","",$A$103)</f>
        <v/>
      </c>
      <c r="GW2" s="43" t="str">
        <f aca="false">IF($A$104="","",$A$104)</f>
        <v/>
      </c>
      <c r="GX2" s="44" t="str">
        <f aca="false">IF($A$104="","",$A$104)</f>
        <v/>
      </c>
      <c r="GY2" s="43" t="str">
        <f aca="false">IF($A$105="","",$A$105)</f>
        <v/>
      </c>
      <c r="GZ2" s="44" t="str">
        <f aca="false">IF($A$105="","",$A$105)</f>
        <v/>
      </c>
    </row>
    <row r="3" customFormat="false" ht="15" hidden="false" customHeight="false" outlineLevel="0" collapsed="false">
      <c r="I3" s="45"/>
      <c r="K3" s="45"/>
      <c r="M3" s="45"/>
      <c r="O3" s="45"/>
      <c r="Q3" s="45"/>
      <c r="S3" s="45"/>
      <c r="U3" s="45"/>
      <c r="W3" s="45"/>
      <c r="Y3" s="45"/>
      <c r="AA3" s="45"/>
      <c r="AC3" s="45"/>
      <c r="AE3" s="45"/>
      <c r="AG3" s="45"/>
      <c r="AI3" s="45"/>
      <c r="AK3" s="45"/>
      <c r="AM3" s="45"/>
      <c r="AO3" s="45"/>
      <c r="AQ3" s="45"/>
      <c r="AS3" s="45"/>
      <c r="AU3" s="45"/>
      <c r="AW3" s="45"/>
      <c r="AY3" s="45"/>
      <c r="BA3" s="45"/>
      <c r="BC3" s="45"/>
      <c r="BE3" s="45"/>
      <c r="BG3" s="45"/>
      <c r="BI3" s="45"/>
      <c r="BK3" s="45"/>
      <c r="BM3" s="45"/>
      <c r="BO3" s="45"/>
      <c r="BQ3" s="45"/>
      <c r="BS3" s="45"/>
      <c r="BU3" s="45"/>
      <c r="BW3" s="45"/>
      <c r="BY3" s="45"/>
      <c r="CA3" s="45"/>
      <c r="CC3" s="45"/>
      <c r="CE3" s="45"/>
      <c r="CG3" s="45"/>
      <c r="CI3" s="45"/>
      <c r="CK3" s="45"/>
      <c r="CM3" s="45"/>
      <c r="CO3" s="45"/>
      <c r="CQ3" s="45"/>
      <c r="CS3" s="45"/>
      <c r="CU3" s="45"/>
      <c r="CW3" s="45"/>
      <c r="CY3" s="45"/>
      <c r="DA3" s="45"/>
      <c r="DC3" s="45"/>
      <c r="DE3" s="45"/>
      <c r="DG3" s="45"/>
      <c r="DI3" s="45"/>
      <c r="DK3" s="45"/>
      <c r="DM3" s="45"/>
      <c r="DO3" s="45"/>
      <c r="DQ3" s="45"/>
      <c r="DS3" s="45"/>
      <c r="DU3" s="45"/>
      <c r="DW3" s="45"/>
      <c r="DY3" s="45"/>
      <c r="EA3" s="45"/>
      <c r="EC3" s="45"/>
      <c r="EE3" s="45"/>
      <c r="EG3" s="45"/>
      <c r="EI3" s="45"/>
      <c r="EK3" s="45"/>
      <c r="EM3" s="45"/>
      <c r="EO3" s="45"/>
      <c r="EQ3" s="45"/>
      <c r="ES3" s="45"/>
      <c r="EU3" s="45"/>
      <c r="EW3" s="45"/>
      <c r="EY3" s="45"/>
      <c r="FA3" s="45"/>
      <c r="FC3" s="45"/>
      <c r="FE3" s="45"/>
      <c r="FG3" s="45"/>
      <c r="FI3" s="45"/>
      <c r="FK3" s="45"/>
      <c r="FM3" s="45"/>
      <c r="FO3" s="45"/>
      <c r="FQ3" s="45"/>
      <c r="FS3" s="45"/>
      <c r="FU3" s="45"/>
      <c r="FW3" s="45"/>
      <c r="FY3" s="45"/>
      <c r="GA3" s="45"/>
      <c r="GC3" s="45"/>
      <c r="GE3" s="45"/>
      <c r="GG3" s="45"/>
      <c r="GI3" s="45"/>
      <c r="GK3" s="45"/>
      <c r="GM3" s="45"/>
      <c r="GO3" s="45"/>
      <c r="GQ3" s="45"/>
      <c r="GS3" s="45"/>
      <c r="GU3" s="45"/>
      <c r="GW3" s="45"/>
      <c r="GY3" s="45"/>
    </row>
    <row r="4" customFormat="false" ht="15" hidden="false" customHeight="false" outlineLevel="0" collapsed="false">
      <c r="A4" s="46" t="s">
        <v>61</v>
      </c>
      <c r="F4" s="46" t="s">
        <v>62</v>
      </c>
      <c r="I4" s="45"/>
      <c r="K4" s="45"/>
      <c r="M4" s="45"/>
      <c r="O4" s="45"/>
      <c r="Q4" s="45"/>
      <c r="S4" s="45"/>
      <c r="U4" s="45"/>
      <c r="W4" s="45"/>
      <c r="Y4" s="45"/>
      <c r="AA4" s="45"/>
      <c r="AC4" s="45"/>
      <c r="AE4" s="45"/>
      <c r="AG4" s="45"/>
      <c r="AI4" s="45"/>
      <c r="AK4" s="45"/>
      <c r="AM4" s="45"/>
      <c r="AO4" s="45"/>
      <c r="AQ4" s="45"/>
      <c r="AS4" s="45"/>
      <c r="AU4" s="45"/>
      <c r="AW4" s="45"/>
      <c r="AY4" s="45"/>
      <c r="BA4" s="45"/>
      <c r="BC4" s="45"/>
      <c r="BE4" s="45"/>
      <c r="BG4" s="45"/>
      <c r="BI4" s="45"/>
      <c r="BK4" s="45"/>
      <c r="BM4" s="45"/>
      <c r="BO4" s="45"/>
      <c r="BQ4" s="45"/>
      <c r="BS4" s="45"/>
      <c r="BU4" s="45"/>
      <c r="BW4" s="45"/>
      <c r="BY4" s="45"/>
      <c r="CA4" s="45"/>
      <c r="CC4" s="45"/>
      <c r="CE4" s="45"/>
      <c r="CG4" s="45"/>
      <c r="CI4" s="45"/>
      <c r="CK4" s="45"/>
      <c r="CM4" s="45"/>
      <c r="CO4" s="45"/>
      <c r="CQ4" s="45"/>
      <c r="CS4" s="45"/>
      <c r="CU4" s="45"/>
      <c r="CW4" s="45"/>
      <c r="CY4" s="45"/>
      <c r="DA4" s="45"/>
      <c r="DC4" s="45"/>
      <c r="DE4" s="45"/>
      <c r="DG4" s="45"/>
      <c r="DI4" s="45"/>
      <c r="DK4" s="45"/>
      <c r="DM4" s="45"/>
      <c r="DO4" s="45"/>
      <c r="DQ4" s="45"/>
      <c r="DS4" s="45"/>
      <c r="DU4" s="45"/>
      <c r="DW4" s="45"/>
      <c r="DY4" s="45"/>
      <c r="EA4" s="45"/>
      <c r="EC4" s="45"/>
      <c r="EE4" s="45"/>
      <c r="EG4" s="45"/>
      <c r="EI4" s="45"/>
      <c r="EK4" s="45"/>
      <c r="EM4" s="45"/>
      <c r="EO4" s="45"/>
      <c r="EQ4" s="45"/>
      <c r="ES4" s="45"/>
      <c r="EU4" s="45"/>
      <c r="EW4" s="45"/>
      <c r="EY4" s="45"/>
      <c r="FA4" s="45"/>
      <c r="FC4" s="45"/>
      <c r="FE4" s="45"/>
      <c r="FG4" s="45"/>
      <c r="FI4" s="45"/>
      <c r="FK4" s="45"/>
      <c r="FM4" s="45"/>
      <c r="FO4" s="45"/>
      <c r="FQ4" s="45"/>
      <c r="FS4" s="45"/>
      <c r="FU4" s="45"/>
      <c r="FW4" s="45"/>
      <c r="FY4" s="45"/>
      <c r="GA4" s="45"/>
      <c r="GC4" s="45"/>
      <c r="GE4" s="45"/>
      <c r="GG4" s="45"/>
      <c r="GI4" s="45"/>
      <c r="GK4" s="45"/>
      <c r="GM4" s="45"/>
      <c r="GO4" s="45"/>
      <c r="GQ4" s="45"/>
      <c r="GS4" s="45"/>
      <c r="GU4" s="45"/>
      <c r="GW4" s="45"/>
      <c r="GY4" s="45"/>
    </row>
    <row r="5" customFormat="false" ht="30" hidden="false" customHeight="true" outlineLevel="0" collapsed="false">
      <c r="A5" s="11" t="s">
        <v>63</v>
      </c>
      <c r="B5" s="11" t="s">
        <v>64</v>
      </c>
      <c r="C5" s="11" t="s">
        <v>65</v>
      </c>
      <c r="D5" s="11" t="s">
        <v>27</v>
      </c>
      <c r="E5" s="12" t="s">
        <v>66</v>
      </c>
      <c r="F5" s="32" t="s">
        <v>67</v>
      </c>
      <c r="G5" s="31" t="str">
        <f aca="false">Прайс!$B$3</f>
        <v>0сінь 26 0-10%</v>
      </c>
      <c r="H5" s="47" t="s">
        <v>68</v>
      </c>
      <c r="I5" s="48" t="str">
        <f aca="false">IF($A$6="","",$A$6)</f>
        <v>Осінь 2025</v>
      </c>
      <c r="J5" s="48"/>
      <c r="K5" s="48" t="str">
        <f aca="false">IF($A$7="","",$A$7)</f>
        <v>Осінь 2026 Базовий Прайс</v>
      </c>
      <c r="L5" s="48"/>
      <c r="M5" s="48" t="str">
        <f aca="false">IF($A$8="","",$A$8)</f>
        <v>0сінь 26 0-10%</v>
      </c>
      <c r="N5" s="48"/>
      <c r="O5" s="48" t="str">
        <f aca="false">IF($A$9="","",$A$9)</f>
        <v>Осінь 26  канікули 0-10%</v>
      </c>
      <c r="P5" s="48"/>
      <c r="Q5" s="48" t="str">
        <f aca="false">IF($A$10="","",$A$10)</f>
        <v>0сінь 26 10-20%</v>
      </c>
      <c r="R5" s="48"/>
      <c r="S5" s="48" t="str">
        <f aca="false">IF($A$11="","",$A$11)</f>
        <v>Осінь 26  канікули 10-20%</v>
      </c>
      <c r="T5" s="48"/>
      <c r="U5" s="48" t="str">
        <f aca="false">IF($A$12="","",$A$12)</f>
        <v>0сінь 26 20-30%</v>
      </c>
      <c r="V5" s="48"/>
      <c r="W5" s="48" t="str">
        <f aca="false">IF($A$13="","",$A$13)</f>
        <v>Осінь 26  канікули 20-30%</v>
      </c>
      <c r="X5" s="48"/>
      <c r="Y5" s="48" t="str">
        <f aca="false">IF($A$14="","",$A$14)</f>
        <v>0сінь 26 30-40%</v>
      </c>
      <c r="Z5" s="48"/>
      <c r="AA5" s="48" t="str">
        <f aca="false">IF($A$15="","",$A$15)</f>
        <v>Осінь 26  канікули 30-40%</v>
      </c>
      <c r="AB5" s="48"/>
      <c r="AC5" s="48" t="str">
        <f aca="false">IF($A$16="","",$A$16)</f>
        <v>0сінь 26 40-50%</v>
      </c>
      <c r="AD5" s="48"/>
      <c r="AE5" s="48" t="str">
        <f aca="false">IF($A$17="","",$A$17)</f>
        <v>Осінь 26  канікули 40-50%</v>
      </c>
      <c r="AF5" s="48"/>
      <c r="AG5" s="48" t="str">
        <f aca="false">IF($A$18="","",$A$18)</f>
        <v/>
      </c>
      <c r="AH5" s="48"/>
      <c r="AI5" s="48" t="str">
        <f aca="false">IF($A$19="","",$A$19)</f>
        <v/>
      </c>
      <c r="AJ5" s="48"/>
      <c r="AK5" s="48" t="str">
        <f aca="false">IF($A$20="","",$A$20)</f>
        <v/>
      </c>
      <c r="AL5" s="48"/>
      <c r="AM5" s="48" t="str">
        <f aca="false">IF($A$21="","",$A$21)</f>
        <v/>
      </c>
      <c r="AN5" s="48"/>
      <c r="AO5" s="48" t="str">
        <f aca="false">IF($A$22="","",$A$22)</f>
        <v/>
      </c>
      <c r="AP5" s="48"/>
      <c r="AQ5" s="48" t="str">
        <f aca="false">IF($A$23="","",$A$23)</f>
        <v/>
      </c>
      <c r="AR5" s="48"/>
      <c r="AS5" s="48" t="str">
        <f aca="false">IF($A$24="","",$A$24)</f>
        <v/>
      </c>
      <c r="AT5" s="48"/>
      <c r="AU5" s="48" t="str">
        <f aca="false">IF($A$25="","",$A$25)</f>
        <v/>
      </c>
      <c r="AV5" s="48"/>
      <c r="AW5" s="48" t="str">
        <f aca="false">IF($A$26="","",$A$26)</f>
        <v/>
      </c>
      <c r="AX5" s="48"/>
      <c r="AY5" s="48" t="str">
        <f aca="false">IF($A$27="","",$A$27)</f>
        <v/>
      </c>
      <c r="AZ5" s="48"/>
      <c r="BA5" s="48" t="str">
        <f aca="false">IF($A$28="","",$A$28)</f>
        <v/>
      </c>
      <c r="BB5" s="48"/>
      <c r="BC5" s="48" t="str">
        <f aca="false">IF($A$29="","",$A$29)</f>
        <v/>
      </c>
      <c r="BD5" s="48"/>
      <c r="BE5" s="48" t="str">
        <f aca="false">IF($A$30="","",$A$30)</f>
        <v/>
      </c>
      <c r="BF5" s="48"/>
      <c r="BG5" s="48" t="str">
        <f aca="false">IF($A$31="","",$A$31)</f>
        <v/>
      </c>
      <c r="BH5" s="48"/>
      <c r="BI5" s="48" t="str">
        <f aca="false">IF($A$32="","",$A$32)</f>
        <v/>
      </c>
      <c r="BJ5" s="48"/>
      <c r="BK5" s="48" t="str">
        <f aca="false">IF($A$33="","",$A$33)</f>
        <v/>
      </c>
      <c r="BL5" s="48"/>
      <c r="BM5" s="48" t="str">
        <f aca="false">IF($A$34="","",$A$34)</f>
        <v/>
      </c>
      <c r="BN5" s="48"/>
      <c r="BO5" s="48" t="str">
        <f aca="false">IF($A$35="","",$A$35)</f>
        <v/>
      </c>
      <c r="BP5" s="48"/>
      <c r="BQ5" s="48" t="str">
        <f aca="false">IF($A$36="","",$A$36)</f>
        <v/>
      </c>
      <c r="BR5" s="48"/>
      <c r="BS5" s="48" t="str">
        <f aca="false">IF($A$37="","",$A$37)</f>
        <v/>
      </c>
      <c r="BT5" s="48"/>
      <c r="BU5" s="48" t="str">
        <f aca="false">IF($A$38="","",$A$38)</f>
        <v/>
      </c>
      <c r="BV5" s="48"/>
      <c r="BW5" s="48" t="str">
        <f aca="false">IF($A$39="","",$A$39)</f>
        <v/>
      </c>
      <c r="BX5" s="48"/>
      <c r="BY5" s="48" t="str">
        <f aca="false">IF($A$40="","",$A$40)</f>
        <v/>
      </c>
      <c r="BZ5" s="48"/>
      <c r="CA5" s="48" t="str">
        <f aca="false">IF($A$41="","",$A$41)</f>
        <v/>
      </c>
      <c r="CB5" s="48"/>
      <c r="CC5" s="48" t="str">
        <f aca="false">IF($A$42="","",$A$42)</f>
        <v/>
      </c>
      <c r="CD5" s="48"/>
      <c r="CE5" s="48" t="str">
        <f aca="false">IF($A$43="","",$A$43)</f>
        <v/>
      </c>
      <c r="CF5" s="48"/>
      <c r="CG5" s="48" t="str">
        <f aca="false">IF($A$44="","",$A$44)</f>
        <v/>
      </c>
      <c r="CH5" s="48"/>
      <c r="CI5" s="48" t="str">
        <f aca="false">IF($A$45="","",$A$45)</f>
        <v/>
      </c>
      <c r="CJ5" s="48"/>
      <c r="CK5" s="48" t="str">
        <f aca="false">IF($A$46="","",$A$46)</f>
        <v/>
      </c>
      <c r="CL5" s="48"/>
      <c r="CM5" s="48" t="str">
        <f aca="false">IF($A$47="","",$A$47)</f>
        <v/>
      </c>
      <c r="CN5" s="48"/>
      <c r="CO5" s="48" t="str">
        <f aca="false">IF($A$48="","",$A$48)</f>
        <v/>
      </c>
      <c r="CP5" s="48"/>
      <c r="CQ5" s="48" t="str">
        <f aca="false">IF($A$49="","",$A$49)</f>
        <v/>
      </c>
      <c r="CR5" s="48"/>
      <c r="CS5" s="48" t="str">
        <f aca="false">IF($A$50="","",$A$50)</f>
        <v/>
      </c>
      <c r="CT5" s="48"/>
      <c r="CU5" s="48" t="str">
        <f aca="false">IF($A$51="","",$A$51)</f>
        <v/>
      </c>
      <c r="CV5" s="48"/>
      <c r="CW5" s="48" t="str">
        <f aca="false">IF($A$52="","",$A$52)</f>
        <v/>
      </c>
      <c r="CX5" s="48"/>
      <c r="CY5" s="48" t="str">
        <f aca="false">IF($A$53="","",$A$53)</f>
        <v/>
      </c>
      <c r="CZ5" s="48"/>
      <c r="DA5" s="48" t="str">
        <f aca="false">IF($A$54="","",$A$54)</f>
        <v/>
      </c>
      <c r="DB5" s="48"/>
      <c r="DC5" s="48" t="str">
        <f aca="false">IF($A$55="","",$A$55)</f>
        <v/>
      </c>
      <c r="DD5" s="48"/>
      <c r="DE5" s="48" t="str">
        <f aca="false">IF($A$56="","",$A$56)</f>
        <v/>
      </c>
      <c r="DF5" s="48"/>
      <c r="DG5" s="48" t="str">
        <f aca="false">IF($A$57="","",$A$57)</f>
        <v/>
      </c>
      <c r="DH5" s="48"/>
      <c r="DI5" s="48" t="str">
        <f aca="false">IF($A$58="","",$A$58)</f>
        <v/>
      </c>
      <c r="DJ5" s="48"/>
      <c r="DK5" s="48" t="str">
        <f aca="false">IF($A$59="","",$A$59)</f>
        <v/>
      </c>
      <c r="DL5" s="48"/>
      <c r="DM5" s="48" t="str">
        <f aca="false">IF($A$60="","",$A$60)</f>
        <v/>
      </c>
      <c r="DN5" s="48"/>
      <c r="DO5" s="48" t="str">
        <f aca="false">IF($A$61="","",$A$61)</f>
        <v/>
      </c>
      <c r="DP5" s="48"/>
      <c r="DQ5" s="48" t="str">
        <f aca="false">IF($A$62="","",$A$62)</f>
        <v/>
      </c>
      <c r="DR5" s="48"/>
      <c r="DS5" s="48" t="str">
        <f aca="false">IF($A$63="","",$A$63)</f>
        <v/>
      </c>
      <c r="DT5" s="48"/>
      <c r="DU5" s="48" t="str">
        <f aca="false">IF($A$64="","",$A$64)</f>
        <v/>
      </c>
      <c r="DV5" s="48"/>
      <c r="DW5" s="48" t="str">
        <f aca="false">IF($A$65="","",$A$65)</f>
        <v/>
      </c>
      <c r="DX5" s="48"/>
      <c r="DY5" s="48" t="str">
        <f aca="false">IF($A$66="","",$A$66)</f>
        <v/>
      </c>
      <c r="DZ5" s="48"/>
      <c r="EA5" s="48" t="str">
        <f aca="false">IF($A$67="","",$A$67)</f>
        <v/>
      </c>
      <c r="EB5" s="48"/>
      <c r="EC5" s="48" t="str">
        <f aca="false">IF($A$68="","",$A$68)</f>
        <v/>
      </c>
      <c r="ED5" s="48"/>
      <c r="EE5" s="48" t="str">
        <f aca="false">IF($A$69="","",$A$69)</f>
        <v/>
      </c>
      <c r="EF5" s="48"/>
      <c r="EG5" s="48" t="str">
        <f aca="false">IF($A$70="","",$A$70)</f>
        <v/>
      </c>
      <c r="EH5" s="48"/>
      <c r="EI5" s="48" t="str">
        <f aca="false">IF($A$71="","",$A$71)</f>
        <v/>
      </c>
      <c r="EJ5" s="48"/>
      <c r="EK5" s="48" t="str">
        <f aca="false">IF($A$72="","",$A$72)</f>
        <v/>
      </c>
      <c r="EL5" s="48"/>
      <c r="EM5" s="48" t="str">
        <f aca="false">IF($A$73="","",$A$73)</f>
        <v/>
      </c>
      <c r="EN5" s="48"/>
      <c r="EO5" s="48" t="str">
        <f aca="false">IF($A$74="","",$A$74)</f>
        <v/>
      </c>
      <c r="EP5" s="48"/>
      <c r="EQ5" s="48" t="str">
        <f aca="false">IF($A$75="","",$A$75)</f>
        <v/>
      </c>
      <c r="ER5" s="48"/>
      <c r="ES5" s="48" t="str">
        <f aca="false">IF($A$76="","",$A$76)</f>
        <v/>
      </c>
      <c r="ET5" s="48"/>
      <c r="EU5" s="48" t="str">
        <f aca="false">IF($A$77="","",$A$77)</f>
        <v/>
      </c>
      <c r="EV5" s="48"/>
      <c r="EW5" s="48" t="str">
        <f aca="false">IF($A$78="","",$A$78)</f>
        <v/>
      </c>
      <c r="EX5" s="48"/>
      <c r="EY5" s="48" t="str">
        <f aca="false">IF($A$79="","",$A$79)</f>
        <v/>
      </c>
      <c r="EZ5" s="48"/>
      <c r="FA5" s="48" t="str">
        <f aca="false">IF($A$80="","",$A$80)</f>
        <v/>
      </c>
      <c r="FB5" s="48"/>
      <c r="FC5" s="48" t="str">
        <f aca="false">IF($A$81="","",$A$81)</f>
        <v/>
      </c>
      <c r="FD5" s="48"/>
      <c r="FE5" s="48" t="str">
        <f aca="false">IF($A$82="","",$A$82)</f>
        <v/>
      </c>
      <c r="FF5" s="48"/>
      <c r="FG5" s="48" t="str">
        <f aca="false">IF($A$83="","",$A$83)</f>
        <v/>
      </c>
      <c r="FH5" s="48"/>
      <c r="FI5" s="48" t="str">
        <f aca="false">IF($A$84="","",$A$84)</f>
        <v/>
      </c>
      <c r="FJ5" s="48"/>
      <c r="FK5" s="48" t="str">
        <f aca="false">IF($A$85="","",$A$85)</f>
        <v/>
      </c>
      <c r="FL5" s="48"/>
      <c r="FM5" s="48" t="str">
        <f aca="false">IF($A$86="","",$A$86)</f>
        <v/>
      </c>
      <c r="FN5" s="48"/>
      <c r="FO5" s="48" t="str">
        <f aca="false">IF($A$87="","",$A$87)</f>
        <v/>
      </c>
      <c r="FP5" s="48"/>
      <c r="FQ5" s="48" t="str">
        <f aca="false">IF($A$88="","",$A$88)</f>
        <v/>
      </c>
      <c r="FR5" s="48"/>
      <c r="FS5" s="48" t="str">
        <f aca="false">IF($A$89="","",$A$89)</f>
        <v/>
      </c>
      <c r="FT5" s="48"/>
      <c r="FU5" s="48" t="str">
        <f aca="false">IF($A$90="","",$A$90)</f>
        <v/>
      </c>
      <c r="FV5" s="48"/>
      <c r="FW5" s="48" t="str">
        <f aca="false">IF($A$91="","",$A$91)</f>
        <v/>
      </c>
      <c r="FX5" s="48"/>
      <c r="FY5" s="48" t="str">
        <f aca="false">IF($A$92="","",$A$92)</f>
        <v/>
      </c>
      <c r="FZ5" s="48"/>
      <c r="GA5" s="48" t="str">
        <f aca="false">IF($A$93="","",$A$93)</f>
        <v/>
      </c>
      <c r="GB5" s="48"/>
      <c r="GC5" s="48" t="str">
        <f aca="false">IF($A$94="","",$A$94)</f>
        <v/>
      </c>
      <c r="GD5" s="48"/>
      <c r="GE5" s="48" t="str">
        <f aca="false">IF($A$95="","",$A$95)</f>
        <v/>
      </c>
      <c r="GF5" s="48"/>
      <c r="GG5" s="48" t="str">
        <f aca="false">IF($A$96="","",$A$96)</f>
        <v/>
      </c>
      <c r="GH5" s="48"/>
      <c r="GI5" s="48" t="str">
        <f aca="false">IF($A$97="","",$A$97)</f>
        <v/>
      </c>
      <c r="GJ5" s="48"/>
      <c r="GK5" s="48" t="str">
        <f aca="false">IF($A$98="","",$A$98)</f>
        <v/>
      </c>
      <c r="GL5" s="48"/>
      <c r="GM5" s="48" t="str">
        <f aca="false">IF($A$99="","",$A$99)</f>
        <v/>
      </c>
      <c r="GN5" s="48"/>
      <c r="GO5" s="48" t="str">
        <f aca="false">IF($A$100="","",$A$100)</f>
        <v/>
      </c>
      <c r="GP5" s="48"/>
      <c r="GQ5" s="48" t="str">
        <f aca="false">IF($A$101="","",$A$101)</f>
        <v/>
      </c>
      <c r="GR5" s="48"/>
      <c r="GS5" s="48" t="str">
        <f aca="false">IF($A$102="","",$A$102)</f>
        <v/>
      </c>
      <c r="GT5" s="48"/>
      <c r="GU5" s="48" t="str">
        <f aca="false">IF($A$103="","",$A$103)</f>
        <v/>
      </c>
      <c r="GV5" s="48"/>
      <c r="GW5" s="48" t="str">
        <f aca="false">IF($A$104="","",$A$104)</f>
        <v/>
      </c>
      <c r="GX5" s="48"/>
      <c r="GY5" s="48" t="str">
        <f aca="false">IF($A$105="","",$A$105)</f>
        <v/>
      </c>
      <c r="GZ5" s="48"/>
    </row>
    <row r="6" customFormat="false" ht="15" hidden="false" customHeight="false" outlineLevel="0" collapsed="false">
      <c r="A6" s="4" t="s">
        <v>69</v>
      </c>
      <c r="B6" s="36" t="n">
        <v>45901</v>
      </c>
      <c r="C6" s="36" t="n">
        <v>45991</v>
      </c>
      <c r="D6" s="49" t="s">
        <v>70</v>
      </c>
      <c r="E6" s="50"/>
      <c r="F6" s="32" t="s">
        <v>71</v>
      </c>
      <c r="G6" s="51" t="n">
        <v>100</v>
      </c>
      <c r="H6" s="52" t="s">
        <v>72</v>
      </c>
      <c r="I6" s="53" t="str">
        <f aca="false">IF($A$6="","",IF(OR($B$6="",$C$6=""),IF($E$6="","— період не заданий —",$E$6),TEXT(DAY($B$6),"00")&amp;"."&amp;TEXT(MONTH($B$6),"00")&amp;"."&amp;YEAR($B$6)&amp;" – "&amp;TEXT(DAY($C$6),"00")&amp;"."&amp;TEXT(MONTH($C$6),"00")&amp;"."&amp;YEAR($C$6)))</f>
        <v>01.09.2025 – 30.11.2025</v>
      </c>
      <c r="J6" s="53"/>
      <c r="K6" s="53" t="str">
        <f aca="false">IF($A$7="","",IF(OR($B$7="",$C$7=""),IF($E$7="","— період не заданий —",$E$7),TEXT(DAY($B$7),"00")&amp;"."&amp;TEXT(MONTH($B$7),"00")&amp;"."&amp;YEAR($B$7)&amp;" – "&amp;TEXT(DAY($C$7),"00")&amp;"."&amp;TEXT(MONTH($C$7),"00")&amp;"."&amp;YEAR($C$7)))</f>
        <v>01.09.2026 – 30.11.2026</v>
      </c>
      <c r="L6" s="53"/>
      <c r="M6" s="53" t="str">
        <f aca="false">IF($A$8="","",IF(OR($B$8="",$C$8=""),IF($E$8="","— період не заданий —",$E$8),TEXT(DAY($B$8),"00")&amp;"."&amp;TEXT(MONTH($B$8),"00")&amp;"."&amp;YEAR($B$8)&amp;" – "&amp;TEXT(DAY($C$8),"00")&amp;"."&amp;TEXT(MONTH($C$8),"00")&amp;"."&amp;YEAR($C$8)))</f>
        <v>01.10.2026 – 30.11.2026</v>
      </c>
      <c r="N6" s="53"/>
      <c r="O6" s="53" t="str">
        <f aca="false">IF($A$9="","",IF(OR($B$9="",$C$9=""),IF($E$9="","— період не заданий —",$E$9),TEXT(DAY($B$9),"00")&amp;"."&amp;TEXT(MONTH($B$9),"00")&amp;"."&amp;YEAR($B$9)&amp;" – "&amp;TEXT(DAY($C$9),"00")&amp;"."&amp;TEXT(MONTH($C$9),"00")&amp;"."&amp;YEAR($C$9)))</f>
        <v>до 15.09 та  26.10 -01.11</v>
      </c>
      <c r="P6" s="53"/>
      <c r="Q6" s="53" t="str">
        <f aca="false">IF($A$10="","",IF(OR($B$10="",$C$10=""),IF($E$10="","— період не заданий —",$E$10),TEXT(DAY($B$10),"00")&amp;"."&amp;TEXT(MONTH($B$10),"00")&amp;"."&amp;YEAR($B$10)&amp;" – "&amp;TEXT(DAY($C$10),"00")&amp;"."&amp;TEXT(MONTH($C$10),"00")&amp;"."&amp;YEAR($C$10)))</f>
        <v>— період не заданий —</v>
      </c>
      <c r="R6" s="53"/>
      <c r="S6" s="53" t="str">
        <f aca="false">IF($A$11="","",IF(OR($B$11="",$C$11=""),IF($E$11="","— період не заданий —",$E$11),TEXT(DAY($B$11),"00")&amp;"."&amp;TEXT(MONTH($B$11),"00")&amp;"."&amp;YEAR($B$11)&amp;" – "&amp;TEXT(DAY($C$11),"00")&amp;"."&amp;TEXT(MONTH($C$11),"00")&amp;"."&amp;YEAR($C$11)))</f>
        <v>— період не заданий —</v>
      </c>
      <c r="T6" s="53"/>
      <c r="U6" s="53" t="str">
        <f aca="false">IF($A$12="","",IF(OR($B$12="",$C$12=""),IF($E$12="","— період не заданий —",$E$12),TEXT(DAY($B$12),"00")&amp;"."&amp;TEXT(MONTH($B$12),"00")&amp;"."&amp;YEAR($B$12)&amp;" – "&amp;TEXT(DAY($C$12),"00")&amp;"."&amp;TEXT(MONTH($C$12),"00")&amp;"."&amp;YEAR($C$12)))</f>
        <v>16.09.2026 – 30.09.2026</v>
      </c>
      <c r="V6" s="53"/>
      <c r="W6" s="53" t="str">
        <f aca="false">IF($A$13="","",IF(OR($B$13="",$C$13=""),IF($E$13="","— період не заданий —",$E$13),TEXT(DAY($B$13),"00")&amp;"."&amp;TEXT(MONTH($B$13),"00")&amp;"."&amp;YEAR($B$13)&amp;" – "&amp;TEXT(DAY($C$13),"00")&amp;"."&amp;TEXT(MONTH($C$13),"00")&amp;"."&amp;YEAR($C$13)))</f>
        <v>— період не заданий —</v>
      </c>
      <c r="X6" s="53"/>
      <c r="Y6" s="53" t="str">
        <f aca="false">IF($A$14="","",IF(OR($B$14="",$C$14=""),IF($E$14="","— період не заданий —",$E$14),TEXT(DAY($B$14),"00")&amp;"."&amp;TEXT(MONTH($B$14),"00")&amp;"."&amp;YEAR($B$14)&amp;" – "&amp;TEXT(DAY($C$14),"00")&amp;"."&amp;TEXT(MONTH($C$14),"00")&amp;"."&amp;YEAR($C$14)))</f>
        <v>— період не заданий —</v>
      </c>
      <c r="Z6" s="53"/>
      <c r="AA6" s="53" t="str">
        <f aca="false">IF($A$15="","",IF(OR($B$15="",$C$15=""),IF($E$15="","— період не заданий —",$E$15),TEXT(DAY($B$15),"00")&amp;"."&amp;TEXT(MONTH($B$15),"00")&amp;"."&amp;YEAR($B$15)&amp;" – "&amp;TEXT(DAY($C$15),"00")&amp;"."&amp;TEXT(MONTH($C$15),"00")&amp;"."&amp;YEAR($C$15)))</f>
        <v>— період не заданий —</v>
      </c>
      <c r="AB6" s="53"/>
      <c r="AC6" s="53" t="str">
        <f aca="false">IF($A$16="","",IF(OR($B$16="",$C$16=""),IF($E$16="","— період не заданий —",$E$16),TEXT(DAY($B$16),"00")&amp;"."&amp;TEXT(MONTH($B$16),"00")&amp;"."&amp;YEAR($B$16)&amp;" – "&amp;TEXT(DAY($C$16),"00")&amp;"."&amp;TEXT(MONTH($C$16),"00")&amp;"."&amp;YEAR($C$16)))</f>
        <v>— період не заданий —</v>
      </c>
      <c r="AD6" s="53"/>
      <c r="AE6" s="53" t="str">
        <f aca="false">IF($A$17="","",IF(OR($B$17="",$C$17=""),IF($E$17="","— період не заданий —",$E$17),TEXT(DAY($B$17),"00")&amp;"."&amp;TEXT(MONTH($B$17),"00")&amp;"."&amp;YEAR($B$17)&amp;" – "&amp;TEXT(DAY($C$17),"00")&amp;"."&amp;TEXT(MONTH($C$17),"00")&amp;"."&amp;YEAR($C$17)))</f>
        <v>— період не заданий —</v>
      </c>
      <c r="AF6" s="53"/>
      <c r="AG6" s="53" t="str">
        <f aca="false">IF($A$18="","",IF(OR($B$18="",$C$18=""),IF($E$18="","— період не заданий —",$E$18),TEXT(DAY($B$18),"00")&amp;"."&amp;TEXT(MONTH($B$18),"00")&amp;"."&amp;YEAR($B$18)&amp;" – "&amp;TEXT(DAY($C$18),"00")&amp;"."&amp;TEXT(MONTH($C$18),"00")&amp;"."&amp;YEAR($C$18)))</f>
        <v/>
      </c>
      <c r="AH6" s="53"/>
      <c r="AI6" s="53" t="str">
        <f aca="false">IF($A$19="","",IF(OR($B$19="",$C$19=""),IF($E$19="","— період не заданий —",$E$19),TEXT(DAY($B$19),"00")&amp;"."&amp;TEXT(MONTH($B$19),"00")&amp;"."&amp;YEAR($B$19)&amp;" – "&amp;TEXT(DAY($C$19),"00")&amp;"."&amp;TEXT(MONTH($C$19),"00")&amp;"."&amp;YEAR($C$19)))</f>
        <v/>
      </c>
      <c r="AJ6" s="53"/>
      <c r="AK6" s="53" t="str">
        <f aca="false">IF($A$20="","",IF(OR($B$20="",$C$20=""),IF($E$20="","— період не заданий —",$E$20),TEXT(DAY($B$20),"00")&amp;"."&amp;TEXT(MONTH($B$20),"00")&amp;"."&amp;YEAR($B$20)&amp;" – "&amp;TEXT(DAY($C$20),"00")&amp;"."&amp;TEXT(MONTH($C$20),"00")&amp;"."&amp;YEAR($C$20)))</f>
        <v/>
      </c>
      <c r="AL6" s="53"/>
      <c r="AM6" s="53" t="str">
        <f aca="false">IF($A$21="","",IF(OR($B$21="",$C$21=""),IF($E$21="","— період не заданий —",$E$21),TEXT(DAY($B$21),"00")&amp;"."&amp;TEXT(MONTH($B$21),"00")&amp;"."&amp;YEAR($B$21)&amp;" – "&amp;TEXT(DAY($C$21),"00")&amp;"."&amp;TEXT(MONTH($C$21),"00")&amp;"."&amp;YEAR($C$21)))</f>
        <v/>
      </c>
      <c r="AN6" s="53"/>
      <c r="AO6" s="53" t="str">
        <f aca="false">IF($A$22="","",IF(OR($B$22="",$C$22=""),IF($E$22="","— період не заданий —",$E$22),TEXT(DAY($B$22),"00")&amp;"."&amp;TEXT(MONTH($B$22),"00")&amp;"."&amp;YEAR($B$22)&amp;" – "&amp;TEXT(DAY($C$22),"00")&amp;"."&amp;TEXT(MONTH($C$22),"00")&amp;"."&amp;YEAR($C$22)))</f>
        <v/>
      </c>
      <c r="AP6" s="53"/>
      <c r="AQ6" s="53" t="str">
        <f aca="false">IF($A$23="","",IF(OR($B$23="",$C$23=""),IF($E$23="","— період не заданий —",$E$23),TEXT(DAY($B$23),"00")&amp;"."&amp;TEXT(MONTH($B$23),"00")&amp;"."&amp;YEAR($B$23)&amp;" – "&amp;TEXT(DAY($C$23),"00")&amp;"."&amp;TEXT(MONTH($C$23),"00")&amp;"."&amp;YEAR($C$23)))</f>
        <v/>
      </c>
      <c r="AR6" s="53"/>
      <c r="AS6" s="53" t="str">
        <f aca="false">IF($A$24="","",IF(OR($B$24="",$C$24=""),IF($E$24="","— період не заданий —",$E$24),TEXT(DAY($B$24),"00")&amp;"."&amp;TEXT(MONTH($B$24),"00")&amp;"."&amp;YEAR($B$24)&amp;" – "&amp;TEXT(DAY($C$24),"00")&amp;"."&amp;TEXT(MONTH($C$24),"00")&amp;"."&amp;YEAR($C$24)))</f>
        <v/>
      </c>
      <c r="AT6" s="53"/>
      <c r="AU6" s="53" t="str">
        <f aca="false">IF($A$25="","",IF(OR($B$25="",$C$25=""),IF($E$25="","— період не заданий —",$E$25),TEXT(DAY($B$25),"00")&amp;"."&amp;TEXT(MONTH($B$25),"00")&amp;"."&amp;YEAR($B$25)&amp;" – "&amp;TEXT(DAY($C$25),"00")&amp;"."&amp;TEXT(MONTH($C$25),"00")&amp;"."&amp;YEAR($C$25)))</f>
        <v/>
      </c>
      <c r="AV6" s="53"/>
      <c r="AW6" s="53" t="str">
        <f aca="false">IF($A$26="","",IF(OR($B$26="",$C$26=""),IF($E$26="","— період не заданий —",$E$26),TEXT(DAY($B$26),"00")&amp;"."&amp;TEXT(MONTH($B$26),"00")&amp;"."&amp;YEAR($B$26)&amp;" – "&amp;TEXT(DAY($C$26),"00")&amp;"."&amp;TEXT(MONTH($C$26),"00")&amp;"."&amp;YEAR($C$26)))</f>
        <v/>
      </c>
      <c r="AX6" s="53"/>
      <c r="AY6" s="53" t="str">
        <f aca="false">IF($A$27="","",IF(OR($B$27="",$C$27=""),IF($E$27="","— період не заданий —",$E$27),TEXT(DAY($B$27),"00")&amp;"."&amp;TEXT(MONTH($B$27),"00")&amp;"."&amp;YEAR($B$27)&amp;" – "&amp;TEXT(DAY($C$27),"00")&amp;"."&amp;TEXT(MONTH($C$27),"00")&amp;"."&amp;YEAR($C$27)))</f>
        <v/>
      </c>
      <c r="AZ6" s="53"/>
      <c r="BA6" s="53" t="str">
        <f aca="false">IF($A$28="","",IF(OR($B$28="",$C$28=""),IF($E$28="","— період не заданий —",$E$28),TEXT(DAY($B$28),"00")&amp;"."&amp;TEXT(MONTH($B$28),"00")&amp;"."&amp;YEAR($B$28)&amp;" – "&amp;TEXT(DAY($C$28),"00")&amp;"."&amp;TEXT(MONTH($C$28),"00")&amp;"."&amp;YEAR($C$28)))</f>
        <v/>
      </c>
      <c r="BB6" s="53"/>
      <c r="BC6" s="53" t="str">
        <f aca="false">IF($A$29="","",IF(OR($B$29="",$C$29=""),IF($E$29="","— період не заданий —",$E$29),TEXT(DAY($B$29),"00")&amp;"."&amp;TEXT(MONTH($B$29),"00")&amp;"."&amp;YEAR($B$29)&amp;" – "&amp;TEXT(DAY($C$29),"00")&amp;"."&amp;TEXT(MONTH($C$29),"00")&amp;"."&amp;YEAR($C$29)))</f>
        <v/>
      </c>
      <c r="BD6" s="53"/>
      <c r="BE6" s="53" t="str">
        <f aca="false">IF($A$30="","",IF(OR($B$30="",$C$30=""),IF($E$30="","— період не заданий —",$E$30),TEXT(DAY($B$30),"00")&amp;"."&amp;TEXT(MONTH($B$30),"00")&amp;"."&amp;YEAR($B$30)&amp;" – "&amp;TEXT(DAY($C$30),"00")&amp;"."&amp;TEXT(MONTH($C$30),"00")&amp;"."&amp;YEAR($C$30)))</f>
        <v/>
      </c>
      <c r="BF6" s="53"/>
      <c r="BG6" s="53" t="str">
        <f aca="false">IF($A$31="","",IF(OR($B$31="",$C$31=""),IF($E$31="","— період не заданий —",$E$31),TEXT(DAY($B$31),"00")&amp;"."&amp;TEXT(MONTH($B$31),"00")&amp;"."&amp;YEAR($B$31)&amp;" – "&amp;TEXT(DAY($C$31),"00")&amp;"."&amp;TEXT(MONTH($C$31),"00")&amp;"."&amp;YEAR($C$31)))</f>
        <v/>
      </c>
      <c r="BH6" s="53"/>
      <c r="BI6" s="53" t="str">
        <f aca="false">IF($A$32="","",IF(OR($B$32="",$C$32=""),IF($E$32="","— період не заданий —",$E$32),TEXT(DAY($B$32),"00")&amp;"."&amp;TEXT(MONTH($B$32),"00")&amp;"."&amp;YEAR($B$32)&amp;" – "&amp;TEXT(DAY($C$32),"00")&amp;"."&amp;TEXT(MONTH($C$32),"00")&amp;"."&amp;YEAR($C$32)))</f>
        <v/>
      </c>
      <c r="BJ6" s="53"/>
      <c r="BK6" s="53" t="str">
        <f aca="false">IF($A$33="","",IF(OR($B$33="",$C$33=""),IF($E$33="","— період не заданий —",$E$33),TEXT(DAY($B$33),"00")&amp;"."&amp;TEXT(MONTH($B$33),"00")&amp;"."&amp;YEAR($B$33)&amp;" – "&amp;TEXT(DAY($C$33),"00")&amp;"."&amp;TEXT(MONTH($C$33),"00")&amp;"."&amp;YEAR($C$33)))</f>
        <v/>
      </c>
      <c r="BL6" s="53"/>
      <c r="BM6" s="53" t="str">
        <f aca="false">IF($A$34="","",IF(OR($B$34="",$C$34=""),IF($E$34="","— період не заданий —",$E$34),TEXT(DAY($B$34),"00")&amp;"."&amp;TEXT(MONTH($B$34),"00")&amp;"."&amp;YEAR($B$34)&amp;" – "&amp;TEXT(DAY($C$34),"00")&amp;"."&amp;TEXT(MONTH($C$34),"00")&amp;"."&amp;YEAR($C$34)))</f>
        <v/>
      </c>
      <c r="BN6" s="53"/>
      <c r="BO6" s="53" t="str">
        <f aca="false">IF($A$35="","",IF(OR($B$35="",$C$35=""),IF($E$35="","— період не заданий —",$E$35),TEXT(DAY($B$35),"00")&amp;"."&amp;TEXT(MONTH($B$35),"00")&amp;"."&amp;YEAR($B$35)&amp;" – "&amp;TEXT(DAY($C$35),"00")&amp;"."&amp;TEXT(MONTH($C$35),"00")&amp;"."&amp;YEAR($C$35)))</f>
        <v/>
      </c>
      <c r="BP6" s="53"/>
      <c r="BQ6" s="53" t="str">
        <f aca="false">IF($A$36="","",IF(OR($B$36="",$C$36=""),IF($E$36="","— період не заданий —",$E$36),TEXT(DAY($B$36),"00")&amp;"."&amp;TEXT(MONTH($B$36),"00")&amp;"."&amp;YEAR($B$36)&amp;" – "&amp;TEXT(DAY($C$36),"00")&amp;"."&amp;TEXT(MONTH($C$36),"00")&amp;"."&amp;YEAR($C$36)))</f>
        <v/>
      </c>
      <c r="BR6" s="53"/>
      <c r="BS6" s="53" t="str">
        <f aca="false">IF($A$37="","",IF(OR($B$37="",$C$37=""),IF($E$37="","— період не заданий —",$E$37),TEXT(DAY($B$37),"00")&amp;"."&amp;TEXT(MONTH($B$37),"00")&amp;"."&amp;YEAR($B$37)&amp;" – "&amp;TEXT(DAY($C$37),"00")&amp;"."&amp;TEXT(MONTH($C$37),"00")&amp;"."&amp;YEAR($C$37)))</f>
        <v/>
      </c>
      <c r="BT6" s="53"/>
      <c r="BU6" s="53" t="str">
        <f aca="false">IF($A$38="","",IF(OR($B$38="",$C$38=""),IF($E$38="","— період не заданий —",$E$38),TEXT(DAY($B$38),"00")&amp;"."&amp;TEXT(MONTH($B$38),"00")&amp;"."&amp;YEAR($B$38)&amp;" – "&amp;TEXT(DAY($C$38),"00")&amp;"."&amp;TEXT(MONTH($C$38),"00")&amp;"."&amp;YEAR($C$38)))</f>
        <v/>
      </c>
      <c r="BV6" s="53"/>
      <c r="BW6" s="53" t="str">
        <f aca="false">IF($A$39="","",IF(OR($B$39="",$C$39=""),IF($E$39="","— період не заданий —",$E$39),TEXT(DAY($B$39),"00")&amp;"."&amp;TEXT(MONTH($B$39),"00")&amp;"."&amp;YEAR($B$39)&amp;" – "&amp;TEXT(DAY($C$39),"00")&amp;"."&amp;TEXT(MONTH($C$39),"00")&amp;"."&amp;YEAR($C$39)))</f>
        <v/>
      </c>
      <c r="BX6" s="53"/>
      <c r="BY6" s="53" t="str">
        <f aca="false">IF($A$40="","",IF(OR($B$40="",$C$40=""),IF($E$40="","— період не заданий —",$E$40),TEXT(DAY($B$40),"00")&amp;"."&amp;TEXT(MONTH($B$40),"00")&amp;"."&amp;YEAR($B$40)&amp;" – "&amp;TEXT(DAY($C$40),"00")&amp;"."&amp;TEXT(MONTH($C$40),"00")&amp;"."&amp;YEAR($C$40)))</f>
        <v/>
      </c>
      <c r="BZ6" s="53"/>
      <c r="CA6" s="53" t="str">
        <f aca="false">IF($A$41="","",IF(OR($B$41="",$C$41=""),IF($E$41="","— період не заданий —",$E$41),TEXT(DAY($B$41),"00")&amp;"."&amp;TEXT(MONTH($B$41),"00")&amp;"."&amp;YEAR($B$41)&amp;" – "&amp;TEXT(DAY($C$41),"00")&amp;"."&amp;TEXT(MONTH($C$41),"00")&amp;"."&amp;YEAR($C$41)))</f>
        <v/>
      </c>
      <c r="CB6" s="53"/>
      <c r="CC6" s="53" t="str">
        <f aca="false">IF($A$42="","",IF(OR($B$42="",$C$42=""),IF($E$42="","— період не заданий —",$E$42),TEXT(DAY($B$42),"00")&amp;"."&amp;TEXT(MONTH($B$42),"00")&amp;"."&amp;YEAR($B$42)&amp;" – "&amp;TEXT(DAY($C$42),"00")&amp;"."&amp;TEXT(MONTH($C$42),"00")&amp;"."&amp;YEAR($C$42)))</f>
        <v/>
      </c>
      <c r="CD6" s="53"/>
      <c r="CE6" s="53" t="str">
        <f aca="false">IF($A$43="","",IF(OR($B$43="",$C$43=""),IF($E$43="","— період не заданий —",$E$43),TEXT(DAY($B$43),"00")&amp;"."&amp;TEXT(MONTH($B$43),"00")&amp;"."&amp;YEAR($B$43)&amp;" – "&amp;TEXT(DAY($C$43),"00")&amp;"."&amp;TEXT(MONTH($C$43),"00")&amp;"."&amp;YEAR($C$43)))</f>
        <v/>
      </c>
      <c r="CF6" s="53"/>
      <c r="CG6" s="53" t="str">
        <f aca="false">IF($A$44="","",IF(OR($B$44="",$C$44=""),IF($E$44="","— період не заданий —",$E$44),TEXT(DAY($B$44),"00")&amp;"."&amp;TEXT(MONTH($B$44),"00")&amp;"."&amp;YEAR($B$44)&amp;" – "&amp;TEXT(DAY($C$44),"00")&amp;"."&amp;TEXT(MONTH($C$44),"00")&amp;"."&amp;YEAR($C$44)))</f>
        <v/>
      </c>
      <c r="CH6" s="53"/>
      <c r="CI6" s="53" t="str">
        <f aca="false">IF($A$45="","",IF(OR($B$45="",$C$45=""),IF($E$45="","— період не заданий —",$E$45),TEXT(DAY($B$45),"00")&amp;"."&amp;TEXT(MONTH($B$45),"00")&amp;"."&amp;YEAR($B$45)&amp;" – "&amp;TEXT(DAY($C$45),"00")&amp;"."&amp;TEXT(MONTH($C$45),"00")&amp;"."&amp;YEAR($C$45)))</f>
        <v/>
      </c>
      <c r="CJ6" s="53"/>
      <c r="CK6" s="53" t="str">
        <f aca="false">IF($A$46="","",IF(OR($B$46="",$C$46=""),IF($E$46="","— період не заданий —",$E$46),TEXT(DAY($B$46),"00")&amp;"."&amp;TEXT(MONTH($B$46),"00")&amp;"."&amp;YEAR($B$46)&amp;" – "&amp;TEXT(DAY($C$46),"00")&amp;"."&amp;TEXT(MONTH($C$46),"00")&amp;"."&amp;YEAR($C$46)))</f>
        <v/>
      </c>
      <c r="CL6" s="53"/>
      <c r="CM6" s="53" t="str">
        <f aca="false">IF($A$47="","",IF(OR($B$47="",$C$47=""),IF($E$47="","— період не заданий —",$E$47),TEXT(DAY($B$47),"00")&amp;"."&amp;TEXT(MONTH($B$47),"00")&amp;"."&amp;YEAR($B$47)&amp;" – "&amp;TEXT(DAY($C$47),"00")&amp;"."&amp;TEXT(MONTH($C$47),"00")&amp;"."&amp;YEAR($C$47)))</f>
        <v/>
      </c>
      <c r="CN6" s="53"/>
      <c r="CO6" s="53" t="str">
        <f aca="false">IF($A$48="","",IF(OR($B$48="",$C$48=""),IF($E$48="","— період не заданий —",$E$48),TEXT(DAY($B$48),"00")&amp;"."&amp;TEXT(MONTH($B$48),"00")&amp;"."&amp;YEAR($B$48)&amp;" – "&amp;TEXT(DAY($C$48),"00")&amp;"."&amp;TEXT(MONTH($C$48),"00")&amp;"."&amp;YEAR($C$48)))</f>
        <v/>
      </c>
      <c r="CP6" s="53"/>
      <c r="CQ6" s="53" t="str">
        <f aca="false">IF($A$49="","",IF(OR($B$49="",$C$49=""),IF($E$49="","— період не заданий —",$E$49),TEXT(DAY($B$49),"00")&amp;"."&amp;TEXT(MONTH($B$49),"00")&amp;"."&amp;YEAR($B$49)&amp;" – "&amp;TEXT(DAY($C$49),"00")&amp;"."&amp;TEXT(MONTH($C$49),"00")&amp;"."&amp;YEAR($C$49)))</f>
        <v/>
      </c>
      <c r="CR6" s="53"/>
      <c r="CS6" s="53" t="str">
        <f aca="false">IF($A$50="","",IF(OR($B$50="",$C$50=""),IF($E$50="","— період не заданий —",$E$50),TEXT(DAY($B$50),"00")&amp;"."&amp;TEXT(MONTH($B$50),"00")&amp;"."&amp;YEAR($B$50)&amp;" – "&amp;TEXT(DAY($C$50),"00")&amp;"."&amp;TEXT(MONTH($C$50),"00")&amp;"."&amp;YEAR($C$50)))</f>
        <v/>
      </c>
      <c r="CT6" s="53"/>
      <c r="CU6" s="53" t="str">
        <f aca="false">IF($A$51="","",IF(OR($B$51="",$C$51=""),IF($E$51="","— період не заданий —",$E$51),TEXT(DAY($B$51),"00")&amp;"."&amp;TEXT(MONTH($B$51),"00")&amp;"."&amp;YEAR($B$51)&amp;" – "&amp;TEXT(DAY($C$51),"00")&amp;"."&amp;TEXT(MONTH($C$51),"00")&amp;"."&amp;YEAR($C$51)))</f>
        <v/>
      </c>
      <c r="CV6" s="53"/>
      <c r="CW6" s="53" t="str">
        <f aca="false">IF($A$52="","",IF(OR($B$52="",$C$52=""),IF($E$52="","— період не заданий —",$E$52),TEXT(DAY($B$52),"00")&amp;"."&amp;TEXT(MONTH($B$52),"00")&amp;"."&amp;YEAR($B$52)&amp;" – "&amp;TEXT(DAY($C$52),"00")&amp;"."&amp;TEXT(MONTH($C$52),"00")&amp;"."&amp;YEAR($C$52)))</f>
        <v/>
      </c>
      <c r="CX6" s="53"/>
      <c r="CY6" s="53" t="str">
        <f aca="false">IF($A$53="","",IF(OR($B$53="",$C$53=""),IF($E$53="","— період не заданий —",$E$53),TEXT(DAY($B$53),"00")&amp;"."&amp;TEXT(MONTH($B$53),"00")&amp;"."&amp;YEAR($B$53)&amp;" – "&amp;TEXT(DAY($C$53),"00")&amp;"."&amp;TEXT(MONTH($C$53),"00")&amp;"."&amp;YEAR($C$53)))</f>
        <v/>
      </c>
      <c r="CZ6" s="53"/>
      <c r="DA6" s="53" t="str">
        <f aca="false">IF($A$54="","",IF(OR($B$54="",$C$54=""),IF($E$54="","— період не заданий —",$E$54),TEXT(DAY($B$54),"00")&amp;"."&amp;TEXT(MONTH($B$54),"00")&amp;"."&amp;YEAR($B$54)&amp;" – "&amp;TEXT(DAY($C$54),"00")&amp;"."&amp;TEXT(MONTH($C$54),"00")&amp;"."&amp;YEAR($C$54)))</f>
        <v/>
      </c>
      <c r="DB6" s="53"/>
      <c r="DC6" s="53" t="str">
        <f aca="false">IF($A$55="","",IF(OR($B$55="",$C$55=""),IF($E$55="","— період не заданий —",$E$55),TEXT(DAY($B$55),"00")&amp;"."&amp;TEXT(MONTH($B$55),"00")&amp;"."&amp;YEAR($B$55)&amp;" – "&amp;TEXT(DAY($C$55),"00")&amp;"."&amp;TEXT(MONTH($C$55),"00")&amp;"."&amp;YEAR($C$55)))</f>
        <v/>
      </c>
      <c r="DD6" s="53"/>
      <c r="DE6" s="53" t="str">
        <f aca="false">IF($A$56="","",IF(OR($B$56="",$C$56=""),IF($E$56="","— період не заданий —",$E$56),TEXT(DAY($B$56),"00")&amp;"."&amp;TEXT(MONTH($B$56),"00")&amp;"."&amp;YEAR($B$56)&amp;" – "&amp;TEXT(DAY($C$56),"00")&amp;"."&amp;TEXT(MONTH($C$56),"00")&amp;"."&amp;YEAR($C$56)))</f>
        <v/>
      </c>
      <c r="DF6" s="53"/>
      <c r="DG6" s="53" t="str">
        <f aca="false">IF($A$57="","",IF(OR($B$57="",$C$57=""),IF($E$57="","— період не заданий —",$E$57),TEXT(DAY($B$57),"00")&amp;"."&amp;TEXT(MONTH($B$57),"00")&amp;"."&amp;YEAR($B$57)&amp;" – "&amp;TEXT(DAY($C$57),"00")&amp;"."&amp;TEXT(MONTH($C$57),"00")&amp;"."&amp;YEAR($C$57)))</f>
        <v/>
      </c>
      <c r="DH6" s="53"/>
      <c r="DI6" s="53" t="str">
        <f aca="false">IF($A$58="","",IF(OR($B$58="",$C$58=""),IF($E$58="","— період не заданий —",$E$58),TEXT(DAY($B$58),"00")&amp;"."&amp;TEXT(MONTH($B$58),"00")&amp;"."&amp;YEAR($B$58)&amp;" – "&amp;TEXT(DAY($C$58),"00")&amp;"."&amp;TEXT(MONTH($C$58),"00")&amp;"."&amp;YEAR($C$58)))</f>
        <v/>
      </c>
      <c r="DJ6" s="53"/>
      <c r="DK6" s="53" t="str">
        <f aca="false">IF($A$59="","",IF(OR($B$59="",$C$59=""),IF($E$59="","— період не заданий —",$E$59),TEXT(DAY($B$59),"00")&amp;"."&amp;TEXT(MONTH($B$59),"00")&amp;"."&amp;YEAR($B$59)&amp;" – "&amp;TEXT(DAY($C$59),"00")&amp;"."&amp;TEXT(MONTH($C$59),"00")&amp;"."&amp;YEAR($C$59)))</f>
        <v/>
      </c>
      <c r="DL6" s="53"/>
      <c r="DM6" s="53" t="str">
        <f aca="false">IF($A$60="","",IF(OR($B$60="",$C$60=""),IF($E$60="","— період не заданий —",$E$60),TEXT(DAY($B$60),"00")&amp;"."&amp;TEXT(MONTH($B$60),"00")&amp;"."&amp;YEAR($B$60)&amp;" – "&amp;TEXT(DAY($C$60),"00")&amp;"."&amp;TEXT(MONTH($C$60),"00")&amp;"."&amp;YEAR($C$60)))</f>
        <v/>
      </c>
      <c r="DN6" s="53"/>
      <c r="DO6" s="53" t="str">
        <f aca="false">IF($A$61="","",IF(OR($B$61="",$C$61=""),IF($E$61="","— період не заданий —",$E$61),TEXT(DAY($B$61),"00")&amp;"."&amp;TEXT(MONTH($B$61),"00")&amp;"."&amp;YEAR($B$61)&amp;" – "&amp;TEXT(DAY($C$61),"00")&amp;"."&amp;TEXT(MONTH($C$61),"00")&amp;"."&amp;YEAR($C$61)))</f>
        <v/>
      </c>
      <c r="DP6" s="53"/>
      <c r="DQ6" s="53" t="str">
        <f aca="false">IF($A$62="","",IF(OR($B$62="",$C$62=""),IF($E$62="","— період не заданий —",$E$62),TEXT(DAY($B$62),"00")&amp;"."&amp;TEXT(MONTH($B$62),"00")&amp;"."&amp;YEAR($B$62)&amp;" – "&amp;TEXT(DAY($C$62),"00")&amp;"."&amp;TEXT(MONTH($C$62),"00")&amp;"."&amp;YEAR($C$62)))</f>
        <v/>
      </c>
      <c r="DR6" s="53"/>
      <c r="DS6" s="53" t="str">
        <f aca="false">IF($A$63="","",IF(OR($B$63="",$C$63=""),IF($E$63="","— період не заданий —",$E$63),TEXT(DAY($B$63),"00")&amp;"."&amp;TEXT(MONTH($B$63),"00")&amp;"."&amp;YEAR($B$63)&amp;" – "&amp;TEXT(DAY($C$63),"00")&amp;"."&amp;TEXT(MONTH($C$63),"00")&amp;"."&amp;YEAR($C$63)))</f>
        <v/>
      </c>
      <c r="DT6" s="53"/>
      <c r="DU6" s="53" t="str">
        <f aca="false">IF($A$64="","",IF(OR($B$64="",$C$64=""),IF($E$64="","— період не заданий —",$E$64),TEXT(DAY($B$64),"00")&amp;"."&amp;TEXT(MONTH($B$64),"00")&amp;"."&amp;YEAR($B$64)&amp;" – "&amp;TEXT(DAY($C$64),"00")&amp;"."&amp;TEXT(MONTH($C$64),"00")&amp;"."&amp;YEAR($C$64)))</f>
        <v/>
      </c>
      <c r="DV6" s="53"/>
      <c r="DW6" s="53" t="str">
        <f aca="false">IF($A$65="","",IF(OR($B$65="",$C$65=""),IF($E$65="","— період не заданий —",$E$65),TEXT(DAY($B$65),"00")&amp;"."&amp;TEXT(MONTH($B$65),"00")&amp;"."&amp;YEAR($B$65)&amp;" – "&amp;TEXT(DAY($C$65),"00")&amp;"."&amp;TEXT(MONTH($C$65),"00")&amp;"."&amp;YEAR($C$65)))</f>
        <v/>
      </c>
      <c r="DX6" s="53"/>
      <c r="DY6" s="53" t="str">
        <f aca="false">IF($A$66="","",IF(OR($B$66="",$C$66=""),IF($E$66="","— період не заданий —",$E$66),TEXT(DAY($B$66),"00")&amp;"."&amp;TEXT(MONTH($B$66),"00")&amp;"."&amp;YEAR($B$66)&amp;" – "&amp;TEXT(DAY($C$66),"00")&amp;"."&amp;TEXT(MONTH($C$66),"00")&amp;"."&amp;YEAR($C$66)))</f>
        <v/>
      </c>
      <c r="DZ6" s="53"/>
      <c r="EA6" s="53" t="str">
        <f aca="false">IF($A$67="","",IF(OR($B$67="",$C$67=""),IF($E$67="","— період не заданий —",$E$67),TEXT(DAY($B$67),"00")&amp;"."&amp;TEXT(MONTH($B$67),"00")&amp;"."&amp;YEAR($B$67)&amp;" – "&amp;TEXT(DAY($C$67),"00")&amp;"."&amp;TEXT(MONTH($C$67),"00")&amp;"."&amp;YEAR($C$67)))</f>
        <v/>
      </c>
      <c r="EB6" s="53"/>
      <c r="EC6" s="53" t="str">
        <f aca="false">IF($A$68="","",IF(OR($B$68="",$C$68=""),IF($E$68="","— період не заданий —",$E$68),TEXT(DAY($B$68),"00")&amp;"."&amp;TEXT(MONTH($B$68),"00")&amp;"."&amp;YEAR($B$68)&amp;" – "&amp;TEXT(DAY($C$68),"00")&amp;"."&amp;TEXT(MONTH($C$68),"00")&amp;"."&amp;YEAR($C$68)))</f>
        <v/>
      </c>
      <c r="ED6" s="53"/>
      <c r="EE6" s="53" t="str">
        <f aca="false">IF($A$69="","",IF(OR($B$69="",$C$69=""),IF($E$69="","— період не заданий —",$E$69),TEXT(DAY($B$69),"00")&amp;"."&amp;TEXT(MONTH($B$69),"00")&amp;"."&amp;YEAR($B$69)&amp;" – "&amp;TEXT(DAY($C$69),"00")&amp;"."&amp;TEXT(MONTH($C$69),"00")&amp;"."&amp;YEAR($C$69)))</f>
        <v/>
      </c>
      <c r="EF6" s="53"/>
      <c r="EG6" s="53" t="str">
        <f aca="false">IF($A$70="","",IF(OR($B$70="",$C$70=""),IF($E$70="","— період не заданий —",$E$70),TEXT(DAY($B$70),"00")&amp;"."&amp;TEXT(MONTH($B$70),"00")&amp;"."&amp;YEAR($B$70)&amp;" – "&amp;TEXT(DAY($C$70),"00")&amp;"."&amp;TEXT(MONTH($C$70),"00")&amp;"."&amp;YEAR($C$70)))</f>
        <v/>
      </c>
      <c r="EH6" s="53"/>
      <c r="EI6" s="53" t="str">
        <f aca="false">IF($A$71="","",IF(OR($B$71="",$C$71=""),IF($E$71="","— період не заданий —",$E$71),TEXT(DAY($B$71),"00")&amp;"."&amp;TEXT(MONTH($B$71),"00")&amp;"."&amp;YEAR($B$71)&amp;" – "&amp;TEXT(DAY($C$71),"00")&amp;"."&amp;TEXT(MONTH($C$71),"00")&amp;"."&amp;YEAR($C$71)))</f>
        <v/>
      </c>
      <c r="EJ6" s="53"/>
      <c r="EK6" s="53" t="str">
        <f aca="false">IF($A$72="","",IF(OR($B$72="",$C$72=""),IF($E$72="","— період не заданий —",$E$72),TEXT(DAY($B$72),"00")&amp;"."&amp;TEXT(MONTH($B$72),"00")&amp;"."&amp;YEAR($B$72)&amp;" – "&amp;TEXT(DAY($C$72),"00")&amp;"."&amp;TEXT(MONTH($C$72),"00")&amp;"."&amp;YEAR($C$72)))</f>
        <v/>
      </c>
      <c r="EL6" s="53"/>
      <c r="EM6" s="53" t="str">
        <f aca="false">IF($A$73="","",IF(OR($B$73="",$C$73=""),IF($E$73="","— період не заданий —",$E$73),TEXT(DAY($B$73),"00")&amp;"."&amp;TEXT(MONTH($B$73),"00")&amp;"."&amp;YEAR($B$73)&amp;" – "&amp;TEXT(DAY($C$73),"00")&amp;"."&amp;TEXT(MONTH($C$73),"00")&amp;"."&amp;YEAR($C$73)))</f>
        <v/>
      </c>
      <c r="EN6" s="53"/>
      <c r="EO6" s="53" t="str">
        <f aca="false">IF($A$74="","",IF(OR($B$74="",$C$74=""),IF($E$74="","— період не заданий —",$E$74),TEXT(DAY($B$74),"00")&amp;"."&amp;TEXT(MONTH($B$74),"00")&amp;"."&amp;YEAR($B$74)&amp;" – "&amp;TEXT(DAY($C$74),"00")&amp;"."&amp;TEXT(MONTH($C$74),"00")&amp;"."&amp;YEAR($C$74)))</f>
        <v/>
      </c>
      <c r="EP6" s="53"/>
      <c r="EQ6" s="53" t="str">
        <f aca="false">IF($A$75="","",IF(OR($B$75="",$C$75=""),IF($E$75="","— період не заданий —",$E$75),TEXT(DAY($B$75),"00")&amp;"."&amp;TEXT(MONTH($B$75),"00")&amp;"."&amp;YEAR($B$75)&amp;" – "&amp;TEXT(DAY($C$75),"00")&amp;"."&amp;TEXT(MONTH($C$75),"00")&amp;"."&amp;YEAR($C$75)))</f>
        <v/>
      </c>
      <c r="ER6" s="53"/>
      <c r="ES6" s="53" t="str">
        <f aca="false">IF($A$76="","",IF(OR($B$76="",$C$76=""),IF($E$76="","— період не заданий —",$E$76),TEXT(DAY($B$76),"00")&amp;"."&amp;TEXT(MONTH($B$76),"00")&amp;"."&amp;YEAR($B$76)&amp;" – "&amp;TEXT(DAY($C$76),"00")&amp;"."&amp;TEXT(MONTH($C$76),"00")&amp;"."&amp;YEAR($C$76)))</f>
        <v/>
      </c>
      <c r="ET6" s="53"/>
      <c r="EU6" s="53" t="str">
        <f aca="false">IF($A$77="","",IF(OR($B$77="",$C$77=""),IF($E$77="","— період не заданий —",$E$77),TEXT(DAY($B$77),"00")&amp;"."&amp;TEXT(MONTH($B$77),"00")&amp;"."&amp;YEAR($B$77)&amp;" – "&amp;TEXT(DAY($C$77),"00")&amp;"."&amp;TEXT(MONTH($C$77),"00")&amp;"."&amp;YEAR($C$77)))</f>
        <v/>
      </c>
      <c r="EV6" s="53"/>
      <c r="EW6" s="53" t="str">
        <f aca="false">IF($A$78="","",IF(OR($B$78="",$C$78=""),IF($E$78="","— період не заданий —",$E$78),TEXT(DAY($B$78),"00")&amp;"."&amp;TEXT(MONTH($B$78),"00")&amp;"."&amp;YEAR($B$78)&amp;" – "&amp;TEXT(DAY($C$78),"00")&amp;"."&amp;TEXT(MONTH($C$78),"00")&amp;"."&amp;YEAR($C$78)))</f>
        <v/>
      </c>
      <c r="EX6" s="53"/>
      <c r="EY6" s="53" t="str">
        <f aca="false">IF($A$79="","",IF(OR($B$79="",$C$79=""),IF($E$79="","— період не заданий —",$E$79),TEXT(DAY($B$79),"00")&amp;"."&amp;TEXT(MONTH($B$79),"00")&amp;"."&amp;YEAR($B$79)&amp;" – "&amp;TEXT(DAY($C$79),"00")&amp;"."&amp;TEXT(MONTH($C$79),"00")&amp;"."&amp;YEAR($C$79)))</f>
        <v/>
      </c>
      <c r="EZ6" s="53"/>
      <c r="FA6" s="53" t="str">
        <f aca="false">IF($A$80="","",IF(OR($B$80="",$C$80=""),IF($E$80="","— період не заданий —",$E$80),TEXT(DAY($B$80),"00")&amp;"."&amp;TEXT(MONTH($B$80),"00")&amp;"."&amp;YEAR($B$80)&amp;" – "&amp;TEXT(DAY($C$80),"00")&amp;"."&amp;TEXT(MONTH($C$80),"00")&amp;"."&amp;YEAR($C$80)))</f>
        <v/>
      </c>
      <c r="FB6" s="53"/>
      <c r="FC6" s="53" t="str">
        <f aca="false">IF($A$81="","",IF(OR($B$81="",$C$81=""),IF($E$81="","— період не заданий —",$E$81),TEXT(DAY($B$81),"00")&amp;"."&amp;TEXT(MONTH($B$81),"00")&amp;"."&amp;YEAR($B$81)&amp;" – "&amp;TEXT(DAY($C$81),"00")&amp;"."&amp;TEXT(MONTH($C$81),"00")&amp;"."&amp;YEAR($C$81)))</f>
        <v/>
      </c>
      <c r="FD6" s="53"/>
      <c r="FE6" s="53" t="str">
        <f aca="false">IF($A$82="","",IF(OR($B$82="",$C$82=""),IF($E$82="","— період не заданий —",$E$82),TEXT(DAY($B$82),"00")&amp;"."&amp;TEXT(MONTH($B$82),"00")&amp;"."&amp;YEAR($B$82)&amp;" – "&amp;TEXT(DAY($C$82),"00")&amp;"."&amp;TEXT(MONTH($C$82),"00")&amp;"."&amp;YEAR($C$82)))</f>
        <v/>
      </c>
      <c r="FF6" s="53"/>
      <c r="FG6" s="53" t="str">
        <f aca="false">IF($A$83="","",IF(OR($B$83="",$C$83=""),IF($E$83="","— період не заданий —",$E$83),TEXT(DAY($B$83),"00")&amp;"."&amp;TEXT(MONTH($B$83),"00")&amp;"."&amp;YEAR($B$83)&amp;" – "&amp;TEXT(DAY($C$83),"00")&amp;"."&amp;TEXT(MONTH($C$83),"00")&amp;"."&amp;YEAR($C$83)))</f>
        <v/>
      </c>
      <c r="FH6" s="53"/>
      <c r="FI6" s="53" t="str">
        <f aca="false">IF($A$84="","",IF(OR($B$84="",$C$84=""),IF($E$84="","— період не заданий —",$E$84),TEXT(DAY($B$84),"00")&amp;"."&amp;TEXT(MONTH($B$84),"00")&amp;"."&amp;YEAR($B$84)&amp;" – "&amp;TEXT(DAY($C$84),"00")&amp;"."&amp;TEXT(MONTH($C$84),"00")&amp;"."&amp;YEAR($C$84)))</f>
        <v/>
      </c>
      <c r="FJ6" s="53"/>
      <c r="FK6" s="53" t="str">
        <f aca="false">IF($A$85="","",IF(OR($B$85="",$C$85=""),IF($E$85="","— період не заданий —",$E$85),TEXT(DAY($B$85),"00")&amp;"."&amp;TEXT(MONTH($B$85),"00")&amp;"."&amp;YEAR($B$85)&amp;" – "&amp;TEXT(DAY($C$85),"00")&amp;"."&amp;TEXT(MONTH($C$85),"00")&amp;"."&amp;YEAR($C$85)))</f>
        <v/>
      </c>
      <c r="FL6" s="53"/>
      <c r="FM6" s="53" t="str">
        <f aca="false">IF($A$86="","",IF(OR($B$86="",$C$86=""),IF($E$86="","— період не заданий —",$E$86),TEXT(DAY($B$86),"00")&amp;"."&amp;TEXT(MONTH($B$86),"00")&amp;"."&amp;YEAR($B$86)&amp;" – "&amp;TEXT(DAY($C$86),"00")&amp;"."&amp;TEXT(MONTH($C$86),"00")&amp;"."&amp;YEAR($C$86)))</f>
        <v/>
      </c>
      <c r="FN6" s="53"/>
      <c r="FO6" s="53" t="str">
        <f aca="false">IF($A$87="","",IF(OR($B$87="",$C$87=""),IF($E$87="","— період не заданий —",$E$87),TEXT(DAY($B$87),"00")&amp;"."&amp;TEXT(MONTH($B$87),"00")&amp;"."&amp;YEAR($B$87)&amp;" – "&amp;TEXT(DAY($C$87),"00")&amp;"."&amp;TEXT(MONTH($C$87),"00")&amp;"."&amp;YEAR($C$87)))</f>
        <v/>
      </c>
      <c r="FP6" s="53"/>
      <c r="FQ6" s="53" t="str">
        <f aca="false">IF($A$88="","",IF(OR($B$88="",$C$88=""),IF($E$88="","— період не заданий —",$E$88),TEXT(DAY($B$88),"00")&amp;"."&amp;TEXT(MONTH($B$88),"00")&amp;"."&amp;YEAR($B$88)&amp;" – "&amp;TEXT(DAY($C$88),"00")&amp;"."&amp;TEXT(MONTH($C$88),"00")&amp;"."&amp;YEAR($C$88)))</f>
        <v/>
      </c>
      <c r="FR6" s="53"/>
      <c r="FS6" s="53" t="str">
        <f aca="false">IF($A$89="","",IF(OR($B$89="",$C$89=""),IF($E$89="","— період не заданий —",$E$89),TEXT(DAY($B$89),"00")&amp;"."&amp;TEXT(MONTH($B$89),"00")&amp;"."&amp;YEAR($B$89)&amp;" – "&amp;TEXT(DAY($C$89),"00")&amp;"."&amp;TEXT(MONTH($C$89),"00")&amp;"."&amp;YEAR($C$89)))</f>
        <v/>
      </c>
      <c r="FT6" s="53"/>
      <c r="FU6" s="53" t="str">
        <f aca="false">IF($A$90="","",IF(OR($B$90="",$C$90=""),IF($E$90="","— період не заданий —",$E$90),TEXT(DAY($B$90),"00")&amp;"."&amp;TEXT(MONTH($B$90),"00")&amp;"."&amp;YEAR($B$90)&amp;" – "&amp;TEXT(DAY($C$90),"00")&amp;"."&amp;TEXT(MONTH($C$90),"00")&amp;"."&amp;YEAR($C$90)))</f>
        <v/>
      </c>
      <c r="FV6" s="53"/>
      <c r="FW6" s="53" t="str">
        <f aca="false">IF($A$91="","",IF(OR($B$91="",$C$91=""),IF($E$91="","— період не заданий —",$E$91),TEXT(DAY($B$91),"00")&amp;"."&amp;TEXT(MONTH($B$91),"00")&amp;"."&amp;YEAR($B$91)&amp;" – "&amp;TEXT(DAY($C$91),"00")&amp;"."&amp;TEXT(MONTH($C$91),"00")&amp;"."&amp;YEAR($C$91)))</f>
        <v/>
      </c>
      <c r="FX6" s="53"/>
      <c r="FY6" s="53" t="str">
        <f aca="false">IF($A$92="","",IF(OR($B$92="",$C$92=""),IF($E$92="","— період не заданий —",$E$92),TEXT(DAY($B$92),"00")&amp;"."&amp;TEXT(MONTH($B$92),"00")&amp;"."&amp;YEAR($B$92)&amp;" – "&amp;TEXT(DAY($C$92),"00")&amp;"."&amp;TEXT(MONTH($C$92),"00")&amp;"."&amp;YEAR($C$92)))</f>
        <v/>
      </c>
      <c r="FZ6" s="53"/>
      <c r="GA6" s="53" t="str">
        <f aca="false">IF($A$93="","",IF(OR($B$93="",$C$93=""),IF($E$93="","— період не заданий —",$E$93),TEXT(DAY($B$93),"00")&amp;"."&amp;TEXT(MONTH($B$93),"00")&amp;"."&amp;YEAR($B$93)&amp;" – "&amp;TEXT(DAY($C$93),"00")&amp;"."&amp;TEXT(MONTH($C$93),"00")&amp;"."&amp;YEAR($C$93)))</f>
        <v/>
      </c>
      <c r="GB6" s="53"/>
      <c r="GC6" s="53" t="str">
        <f aca="false">IF($A$94="","",IF(OR($B$94="",$C$94=""),IF($E$94="","— період не заданий —",$E$94),TEXT(DAY($B$94),"00")&amp;"."&amp;TEXT(MONTH($B$94),"00")&amp;"."&amp;YEAR($B$94)&amp;" – "&amp;TEXT(DAY($C$94),"00")&amp;"."&amp;TEXT(MONTH($C$94),"00")&amp;"."&amp;YEAR($C$94)))</f>
        <v/>
      </c>
      <c r="GD6" s="53"/>
      <c r="GE6" s="53" t="str">
        <f aca="false">IF($A$95="","",IF(OR($B$95="",$C$95=""),IF($E$95="","— період не заданий —",$E$95),TEXT(DAY($B$95),"00")&amp;"."&amp;TEXT(MONTH($B$95),"00")&amp;"."&amp;YEAR($B$95)&amp;" – "&amp;TEXT(DAY($C$95),"00")&amp;"."&amp;TEXT(MONTH($C$95),"00")&amp;"."&amp;YEAR($C$95)))</f>
        <v/>
      </c>
      <c r="GF6" s="53"/>
      <c r="GG6" s="53" t="str">
        <f aca="false">IF($A$96="","",IF(OR($B$96="",$C$96=""),IF($E$96="","— період не заданий —",$E$96),TEXT(DAY($B$96),"00")&amp;"."&amp;TEXT(MONTH($B$96),"00")&amp;"."&amp;YEAR($B$96)&amp;" – "&amp;TEXT(DAY($C$96),"00")&amp;"."&amp;TEXT(MONTH($C$96),"00")&amp;"."&amp;YEAR($C$96)))</f>
        <v/>
      </c>
      <c r="GH6" s="53"/>
      <c r="GI6" s="53" t="str">
        <f aca="false">IF($A$97="","",IF(OR($B$97="",$C$97=""),IF($E$97="","— період не заданий —",$E$97),TEXT(DAY($B$97),"00")&amp;"."&amp;TEXT(MONTH($B$97),"00")&amp;"."&amp;YEAR($B$97)&amp;" – "&amp;TEXT(DAY($C$97),"00")&amp;"."&amp;TEXT(MONTH($C$97),"00")&amp;"."&amp;YEAR($C$97)))</f>
        <v/>
      </c>
      <c r="GJ6" s="53"/>
      <c r="GK6" s="53" t="str">
        <f aca="false">IF($A$98="","",IF(OR($B$98="",$C$98=""),IF($E$98="","— період не заданий —",$E$98),TEXT(DAY($B$98),"00")&amp;"."&amp;TEXT(MONTH($B$98),"00")&amp;"."&amp;YEAR($B$98)&amp;" – "&amp;TEXT(DAY($C$98),"00")&amp;"."&amp;TEXT(MONTH($C$98),"00")&amp;"."&amp;YEAR($C$98)))</f>
        <v/>
      </c>
      <c r="GL6" s="53"/>
      <c r="GM6" s="53" t="str">
        <f aca="false">IF($A$99="","",IF(OR($B$99="",$C$99=""),IF($E$99="","— період не заданий —",$E$99),TEXT(DAY($B$99),"00")&amp;"."&amp;TEXT(MONTH($B$99),"00")&amp;"."&amp;YEAR($B$99)&amp;" – "&amp;TEXT(DAY($C$99),"00")&amp;"."&amp;TEXT(MONTH($C$99),"00")&amp;"."&amp;YEAR($C$99)))</f>
        <v/>
      </c>
      <c r="GN6" s="53"/>
      <c r="GO6" s="53" t="str">
        <f aca="false">IF($A$100="","",IF(OR($B$100="",$C$100=""),IF($E$100="","— період не заданий —",$E$100),TEXT(DAY($B$100),"00")&amp;"."&amp;TEXT(MONTH($B$100),"00")&amp;"."&amp;YEAR($B$100)&amp;" – "&amp;TEXT(DAY($C$100),"00")&amp;"."&amp;TEXT(MONTH($C$100),"00")&amp;"."&amp;YEAR($C$100)))</f>
        <v/>
      </c>
      <c r="GP6" s="53"/>
      <c r="GQ6" s="53" t="str">
        <f aca="false">IF($A$101="","",IF(OR($B$101="",$C$101=""),IF($E$101="","— період не заданий —",$E$101),TEXT(DAY($B$101),"00")&amp;"."&amp;TEXT(MONTH($B$101),"00")&amp;"."&amp;YEAR($B$101)&amp;" – "&amp;TEXT(DAY($C$101),"00")&amp;"."&amp;TEXT(MONTH($C$101),"00")&amp;"."&amp;YEAR($C$101)))</f>
        <v/>
      </c>
      <c r="GR6" s="53"/>
      <c r="GS6" s="53" t="str">
        <f aca="false">IF($A$102="","",IF(OR($B$102="",$C$102=""),IF($E$102="","— період не заданий —",$E$102),TEXT(DAY($B$102),"00")&amp;"."&amp;TEXT(MONTH($B$102),"00")&amp;"."&amp;YEAR($B$102)&amp;" – "&amp;TEXT(DAY($C$102),"00")&amp;"."&amp;TEXT(MONTH($C$102),"00")&amp;"."&amp;YEAR($C$102)))</f>
        <v/>
      </c>
      <c r="GT6" s="53"/>
      <c r="GU6" s="53" t="str">
        <f aca="false">IF($A$103="","",IF(OR($B$103="",$C$103=""),IF($E$103="","— період не заданий —",$E$103),TEXT(DAY($B$103),"00")&amp;"."&amp;TEXT(MONTH($B$103),"00")&amp;"."&amp;YEAR($B$103)&amp;" – "&amp;TEXT(DAY($C$103),"00")&amp;"."&amp;TEXT(MONTH($C$103),"00")&amp;"."&amp;YEAR($C$103)))</f>
        <v/>
      </c>
      <c r="GV6" s="53"/>
      <c r="GW6" s="53" t="str">
        <f aca="false">IF($A$104="","",IF(OR($B$104="",$C$104=""),IF($E$104="","— період не заданий —",$E$104),TEXT(DAY($B$104),"00")&amp;"."&amp;TEXT(MONTH($B$104),"00")&amp;"."&amp;YEAR($B$104)&amp;" – "&amp;TEXT(DAY($C$104),"00")&amp;"."&amp;TEXT(MONTH($C$104),"00")&amp;"."&amp;YEAR($C$104)))</f>
        <v/>
      </c>
      <c r="GX6" s="53"/>
      <c r="GY6" s="53" t="str">
        <f aca="false">IF($A$105="","",IF(OR($B$105="",$C$105=""),IF($E$105="","— період не заданий —",$E$105),TEXT(DAY($B$105),"00")&amp;"."&amp;TEXT(MONTH($B$105),"00")&amp;"."&amp;YEAR($B$105)&amp;" – "&amp;TEXT(DAY($C$105),"00")&amp;"."&amp;TEXT(MONTH($C$105),"00")&amp;"."&amp;YEAR($C$105)))</f>
        <v/>
      </c>
      <c r="GZ6" s="53"/>
    </row>
    <row r="7" customFormat="false" ht="15" hidden="false" customHeight="false" outlineLevel="0" collapsed="false">
      <c r="A7" s="54" t="s">
        <v>73</v>
      </c>
      <c r="B7" s="55" t="n">
        <v>46266</v>
      </c>
      <c r="C7" s="55" t="n">
        <v>46356</v>
      </c>
      <c r="D7" s="56" t="s">
        <v>70</v>
      </c>
      <c r="E7" s="57"/>
      <c r="F7" s="32" t="s">
        <v>74</v>
      </c>
      <c r="G7" s="58" t="n">
        <v>0.1</v>
      </c>
      <c r="H7" s="52" t="s">
        <v>27</v>
      </c>
      <c r="I7" s="53" t="str">
        <f aca="false">IF($A$6="","",$D$6)</f>
        <v>Неактивний</v>
      </c>
      <c r="J7" s="53"/>
      <c r="K7" s="53" t="str">
        <f aca="false">IF($A$7="","",$D$7)</f>
        <v>Неактивний</v>
      </c>
      <c r="L7" s="53"/>
      <c r="M7" s="53" t="str">
        <f aca="false">IF($A$8="","",$D$8)</f>
        <v>Активний</v>
      </c>
      <c r="N7" s="53"/>
      <c r="O7" s="53" t="str">
        <f aca="false">IF($A$9="","",$D$9)</f>
        <v>Активний</v>
      </c>
      <c r="P7" s="53"/>
      <c r="Q7" s="53" t="str">
        <f aca="false">IF($A$10="","",$D$10)</f>
        <v>Неактивний</v>
      </c>
      <c r="R7" s="53"/>
      <c r="S7" s="53" t="str">
        <f aca="false">IF($A$11="","",$D$11)</f>
        <v>Неактивний</v>
      </c>
      <c r="T7" s="53"/>
      <c r="U7" s="53" t="str">
        <f aca="false">IF($A$12="","",$D$12)</f>
        <v>Активний</v>
      </c>
      <c r="V7" s="53"/>
      <c r="W7" s="53" t="str">
        <f aca="false">IF($A$13="","",$D$13)</f>
        <v>Неактивний</v>
      </c>
      <c r="X7" s="53"/>
      <c r="Y7" s="53" t="str">
        <f aca="false">IF($A$14="","",$D$14)</f>
        <v>Неактивний</v>
      </c>
      <c r="Z7" s="53"/>
      <c r="AA7" s="53" t="str">
        <f aca="false">IF($A$15="","",$D$15)</f>
        <v>Неактивний</v>
      </c>
      <c r="AB7" s="53"/>
      <c r="AC7" s="53" t="str">
        <f aca="false">IF($A$16="","",$D$16)</f>
        <v>Неактивний</v>
      </c>
      <c r="AD7" s="53"/>
      <c r="AE7" s="53" t="str">
        <f aca="false">IF($A$17="","",$D$17)</f>
        <v>Неактивний</v>
      </c>
      <c r="AF7" s="53"/>
      <c r="AG7" s="53" t="str">
        <f aca="false">IF($A$18="","",$D$18)</f>
        <v/>
      </c>
      <c r="AH7" s="53"/>
      <c r="AI7" s="53" t="str">
        <f aca="false">IF($A$19="","",$D$19)</f>
        <v/>
      </c>
      <c r="AJ7" s="53"/>
      <c r="AK7" s="53" t="str">
        <f aca="false">IF($A$20="","",$D$20)</f>
        <v/>
      </c>
      <c r="AL7" s="53"/>
      <c r="AM7" s="53" t="str">
        <f aca="false">IF($A$21="","",$D$21)</f>
        <v/>
      </c>
      <c r="AN7" s="53"/>
      <c r="AO7" s="53" t="str">
        <f aca="false">IF($A$22="","",$D$22)</f>
        <v/>
      </c>
      <c r="AP7" s="53"/>
      <c r="AQ7" s="53" t="str">
        <f aca="false">IF($A$23="","",$D$23)</f>
        <v/>
      </c>
      <c r="AR7" s="53"/>
      <c r="AS7" s="53" t="str">
        <f aca="false">IF($A$24="","",$D$24)</f>
        <v/>
      </c>
      <c r="AT7" s="53"/>
      <c r="AU7" s="53" t="str">
        <f aca="false">IF($A$25="","",$D$25)</f>
        <v/>
      </c>
      <c r="AV7" s="53"/>
      <c r="AW7" s="53" t="str">
        <f aca="false">IF($A$26="","",$D$26)</f>
        <v/>
      </c>
      <c r="AX7" s="53"/>
      <c r="AY7" s="53" t="str">
        <f aca="false">IF($A$27="","",$D$27)</f>
        <v/>
      </c>
      <c r="AZ7" s="53"/>
      <c r="BA7" s="53" t="str">
        <f aca="false">IF($A$28="","",$D$28)</f>
        <v/>
      </c>
      <c r="BB7" s="53"/>
      <c r="BC7" s="53" t="str">
        <f aca="false">IF($A$29="","",$D$29)</f>
        <v/>
      </c>
      <c r="BD7" s="53"/>
      <c r="BE7" s="53" t="str">
        <f aca="false">IF($A$30="","",$D$30)</f>
        <v/>
      </c>
      <c r="BF7" s="53"/>
      <c r="BG7" s="53" t="str">
        <f aca="false">IF($A$31="","",$D$31)</f>
        <v/>
      </c>
      <c r="BH7" s="53"/>
      <c r="BI7" s="53" t="str">
        <f aca="false">IF($A$32="","",$D$32)</f>
        <v/>
      </c>
      <c r="BJ7" s="53"/>
      <c r="BK7" s="53" t="str">
        <f aca="false">IF($A$33="","",$D$33)</f>
        <v/>
      </c>
      <c r="BL7" s="53"/>
      <c r="BM7" s="53" t="str">
        <f aca="false">IF($A$34="","",$D$34)</f>
        <v/>
      </c>
      <c r="BN7" s="53"/>
      <c r="BO7" s="53" t="str">
        <f aca="false">IF($A$35="","",$D$35)</f>
        <v/>
      </c>
      <c r="BP7" s="53"/>
      <c r="BQ7" s="53" t="str">
        <f aca="false">IF($A$36="","",$D$36)</f>
        <v/>
      </c>
      <c r="BR7" s="53"/>
      <c r="BS7" s="53" t="str">
        <f aca="false">IF($A$37="","",$D$37)</f>
        <v/>
      </c>
      <c r="BT7" s="53"/>
      <c r="BU7" s="53" t="str">
        <f aca="false">IF($A$38="","",$D$38)</f>
        <v/>
      </c>
      <c r="BV7" s="53"/>
      <c r="BW7" s="53" t="str">
        <f aca="false">IF($A$39="","",$D$39)</f>
        <v/>
      </c>
      <c r="BX7" s="53"/>
      <c r="BY7" s="53" t="str">
        <f aca="false">IF($A$40="","",$D$40)</f>
        <v/>
      </c>
      <c r="BZ7" s="53"/>
      <c r="CA7" s="53" t="str">
        <f aca="false">IF($A$41="","",$D$41)</f>
        <v/>
      </c>
      <c r="CB7" s="53"/>
      <c r="CC7" s="53" t="str">
        <f aca="false">IF($A$42="","",$D$42)</f>
        <v/>
      </c>
      <c r="CD7" s="53"/>
      <c r="CE7" s="53" t="str">
        <f aca="false">IF($A$43="","",$D$43)</f>
        <v/>
      </c>
      <c r="CF7" s="53"/>
      <c r="CG7" s="53" t="str">
        <f aca="false">IF($A$44="","",$D$44)</f>
        <v/>
      </c>
      <c r="CH7" s="53"/>
      <c r="CI7" s="53" t="str">
        <f aca="false">IF($A$45="","",$D$45)</f>
        <v/>
      </c>
      <c r="CJ7" s="53"/>
      <c r="CK7" s="53" t="str">
        <f aca="false">IF($A$46="","",$D$46)</f>
        <v/>
      </c>
      <c r="CL7" s="53"/>
      <c r="CM7" s="53" t="str">
        <f aca="false">IF($A$47="","",$D$47)</f>
        <v/>
      </c>
      <c r="CN7" s="53"/>
      <c r="CO7" s="53" t="str">
        <f aca="false">IF($A$48="","",$D$48)</f>
        <v/>
      </c>
      <c r="CP7" s="53"/>
      <c r="CQ7" s="53" t="str">
        <f aca="false">IF($A$49="","",$D$49)</f>
        <v/>
      </c>
      <c r="CR7" s="53"/>
      <c r="CS7" s="53" t="str">
        <f aca="false">IF($A$50="","",$D$50)</f>
        <v/>
      </c>
      <c r="CT7" s="53"/>
      <c r="CU7" s="53" t="str">
        <f aca="false">IF($A$51="","",$D$51)</f>
        <v/>
      </c>
      <c r="CV7" s="53"/>
      <c r="CW7" s="53" t="str">
        <f aca="false">IF($A$52="","",$D$52)</f>
        <v/>
      </c>
      <c r="CX7" s="53"/>
      <c r="CY7" s="53" t="str">
        <f aca="false">IF($A$53="","",$D$53)</f>
        <v/>
      </c>
      <c r="CZ7" s="53"/>
      <c r="DA7" s="53" t="str">
        <f aca="false">IF($A$54="","",$D$54)</f>
        <v/>
      </c>
      <c r="DB7" s="53"/>
      <c r="DC7" s="53" t="str">
        <f aca="false">IF($A$55="","",$D$55)</f>
        <v/>
      </c>
      <c r="DD7" s="53"/>
      <c r="DE7" s="53" t="str">
        <f aca="false">IF($A$56="","",$D$56)</f>
        <v/>
      </c>
      <c r="DF7" s="53"/>
      <c r="DG7" s="53" t="str">
        <f aca="false">IF($A$57="","",$D$57)</f>
        <v/>
      </c>
      <c r="DH7" s="53"/>
      <c r="DI7" s="53" t="str">
        <f aca="false">IF($A$58="","",$D$58)</f>
        <v/>
      </c>
      <c r="DJ7" s="53"/>
      <c r="DK7" s="53" t="str">
        <f aca="false">IF($A$59="","",$D$59)</f>
        <v/>
      </c>
      <c r="DL7" s="53"/>
      <c r="DM7" s="53" t="str">
        <f aca="false">IF($A$60="","",$D$60)</f>
        <v/>
      </c>
      <c r="DN7" s="53"/>
      <c r="DO7" s="53" t="str">
        <f aca="false">IF($A$61="","",$D$61)</f>
        <v/>
      </c>
      <c r="DP7" s="53"/>
      <c r="DQ7" s="53" t="str">
        <f aca="false">IF($A$62="","",$D$62)</f>
        <v/>
      </c>
      <c r="DR7" s="53"/>
      <c r="DS7" s="53" t="str">
        <f aca="false">IF($A$63="","",$D$63)</f>
        <v/>
      </c>
      <c r="DT7" s="53"/>
      <c r="DU7" s="53" t="str">
        <f aca="false">IF($A$64="","",$D$64)</f>
        <v/>
      </c>
      <c r="DV7" s="53"/>
      <c r="DW7" s="53" t="str">
        <f aca="false">IF($A$65="","",$D$65)</f>
        <v/>
      </c>
      <c r="DX7" s="53"/>
      <c r="DY7" s="53" t="str">
        <f aca="false">IF($A$66="","",$D$66)</f>
        <v/>
      </c>
      <c r="DZ7" s="53"/>
      <c r="EA7" s="53" t="str">
        <f aca="false">IF($A$67="","",$D$67)</f>
        <v/>
      </c>
      <c r="EB7" s="53"/>
      <c r="EC7" s="53" t="str">
        <f aca="false">IF($A$68="","",$D$68)</f>
        <v/>
      </c>
      <c r="ED7" s="53"/>
      <c r="EE7" s="53" t="str">
        <f aca="false">IF($A$69="","",$D$69)</f>
        <v/>
      </c>
      <c r="EF7" s="53"/>
      <c r="EG7" s="53" t="str">
        <f aca="false">IF($A$70="","",$D$70)</f>
        <v/>
      </c>
      <c r="EH7" s="53"/>
      <c r="EI7" s="53" t="str">
        <f aca="false">IF($A$71="","",$D$71)</f>
        <v/>
      </c>
      <c r="EJ7" s="53"/>
      <c r="EK7" s="53" t="str">
        <f aca="false">IF($A$72="","",$D$72)</f>
        <v/>
      </c>
      <c r="EL7" s="53"/>
      <c r="EM7" s="53" t="str">
        <f aca="false">IF($A$73="","",$D$73)</f>
        <v/>
      </c>
      <c r="EN7" s="53"/>
      <c r="EO7" s="53" t="str">
        <f aca="false">IF($A$74="","",$D$74)</f>
        <v/>
      </c>
      <c r="EP7" s="53"/>
      <c r="EQ7" s="53" t="str">
        <f aca="false">IF($A$75="","",$D$75)</f>
        <v/>
      </c>
      <c r="ER7" s="53"/>
      <c r="ES7" s="53" t="str">
        <f aca="false">IF($A$76="","",$D$76)</f>
        <v/>
      </c>
      <c r="ET7" s="53"/>
      <c r="EU7" s="53" t="str">
        <f aca="false">IF($A$77="","",$D$77)</f>
        <v/>
      </c>
      <c r="EV7" s="53"/>
      <c r="EW7" s="53" t="str">
        <f aca="false">IF($A$78="","",$D$78)</f>
        <v/>
      </c>
      <c r="EX7" s="53"/>
      <c r="EY7" s="53" t="str">
        <f aca="false">IF($A$79="","",$D$79)</f>
        <v/>
      </c>
      <c r="EZ7" s="53"/>
      <c r="FA7" s="53" t="str">
        <f aca="false">IF($A$80="","",$D$80)</f>
        <v/>
      </c>
      <c r="FB7" s="53"/>
      <c r="FC7" s="53" t="str">
        <f aca="false">IF($A$81="","",$D$81)</f>
        <v/>
      </c>
      <c r="FD7" s="53"/>
      <c r="FE7" s="53" t="str">
        <f aca="false">IF($A$82="","",$D$82)</f>
        <v/>
      </c>
      <c r="FF7" s="53"/>
      <c r="FG7" s="53" t="str">
        <f aca="false">IF($A$83="","",$D$83)</f>
        <v/>
      </c>
      <c r="FH7" s="53"/>
      <c r="FI7" s="53" t="str">
        <f aca="false">IF($A$84="","",$D$84)</f>
        <v/>
      </c>
      <c r="FJ7" s="53"/>
      <c r="FK7" s="53" t="str">
        <f aca="false">IF($A$85="","",$D$85)</f>
        <v/>
      </c>
      <c r="FL7" s="53"/>
      <c r="FM7" s="53" t="str">
        <f aca="false">IF($A$86="","",$D$86)</f>
        <v/>
      </c>
      <c r="FN7" s="53"/>
      <c r="FO7" s="53" t="str">
        <f aca="false">IF($A$87="","",$D$87)</f>
        <v/>
      </c>
      <c r="FP7" s="53"/>
      <c r="FQ7" s="53" t="str">
        <f aca="false">IF($A$88="","",$D$88)</f>
        <v/>
      </c>
      <c r="FR7" s="53"/>
      <c r="FS7" s="53" t="str">
        <f aca="false">IF($A$89="","",$D$89)</f>
        <v/>
      </c>
      <c r="FT7" s="53"/>
      <c r="FU7" s="53" t="str">
        <f aca="false">IF($A$90="","",$D$90)</f>
        <v/>
      </c>
      <c r="FV7" s="53"/>
      <c r="FW7" s="53" t="str">
        <f aca="false">IF($A$91="","",$D$91)</f>
        <v/>
      </c>
      <c r="FX7" s="53"/>
      <c r="FY7" s="53" t="str">
        <f aca="false">IF($A$92="","",$D$92)</f>
        <v/>
      </c>
      <c r="FZ7" s="53"/>
      <c r="GA7" s="53" t="str">
        <f aca="false">IF($A$93="","",$D$93)</f>
        <v/>
      </c>
      <c r="GB7" s="53"/>
      <c r="GC7" s="53" t="str">
        <f aca="false">IF($A$94="","",$D$94)</f>
        <v/>
      </c>
      <c r="GD7" s="53"/>
      <c r="GE7" s="53" t="str">
        <f aca="false">IF($A$95="","",$D$95)</f>
        <v/>
      </c>
      <c r="GF7" s="53"/>
      <c r="GG7" s="53" t="str">
        <f aca="false">IF($A$96="","",$D$96)</f>
        <v/>
      </c>
      <c r="GH7" s="53"/>
      <c r="GI7" s="53" t="str">
        <f aca="false">IF($A$97="","",$D$97)</f>
        <v/>
      </c>
      <c r="GJ7" s="53"/>
      <c r="GK7" s="53" t="str">
        <f aca="false">IF($A$98="","",$D$98)</f>
        <v/>
      </c>
      <c r="GL7" s="53"/>
      <c r="GM7" s="53" t="str">
        <f aca="false">IF($A$99="","",$D$99)</f>
        <v/>
      </c>
      <c r="GN7" s="53"/>
      <c r="GO7" s="53" t="str">
        <f aca="false">IF($A$100="","",$D$100)</f>
        <v/>
      </c>
      <c r="GP7" s="53"/>
      <c r="GQ7" s="53" t="str">
        <f aca="false">IF($A$101="","",$D$101)</f>
        <v/>
      </c>
      <c r="GR7" s="53"/>
      <c r="GS7" s="53" t="str">
        <f aca="false">IF($A$102="","",$D$102)</f>
        <v/>
      </c>
      <c r="GT7" s="53"/>
      <c r="GU7" s="53" t="str">
        <f aca="false">IF($A$103="","",$D$103)</f>
        <v/>
      </c>
      <c r="GV7" s="53"/>
      <c r="GW7" s="53" t="str">
        <f aca="false">IF($A$104="","",$D$104)</f>
        <v/>
      </c>
      <c r="GX7" s="53"/>
      <c r="GY7" s="53" t="str">
        <f aca="false">IF($A$105="","",$D$105)</f>
        <v/>
      </c>
      <c r="GZ7" s="53"/>
    </row>
    <row r="8" customFormat="false" ht="15" hidden="false" customHeight="false" outlineLevel="0" collapsed="false">
      <c r="A8" s="4" t="s">
        <v>2</v>
      </c>
      <c r="B8" s="36" t="n">
        <v>46296</v>
      </c>
      <c r="C8" s="36" t="n">
        <v>46356</v>
      </c>
      <c r="D8" s="49" t="s">
        <v>75</v>
      </c>
      <c r="E8" s="50"/>
      <c r="F8" s="32" t="s">
        <v>76</v>
      </c>
      <c r="G8" s="51" t="n">
        <v>500</v>
      </c>
      <c r="H8" s="52" t="s">
        <v>77</v>
      </c>
      <c r="I8" s="53" t="n">
        <f aca="false">IF($A$6="","",$E$6)</f>
        <v>0</v>
      </c>
      <c r="J8" s="53"/>
      <c r="K8" s="53" t="n">
        <f aca="false">IF($A$7="","",$E$7)</f>
        <v>0</v>
      </c>
      <c r="L8" s="53"/>
      <c r="M8" s="53" t="n">
        <f aca="false">IF($A$8="","",$E$8)</f>
        <v>0</v>
      </c>
      <c r="N8" s="53"/>
      <c r="O8" s="53" t="str">
        <f aca="false">IF($A$9="","",$E$9)</f>
        <v>до 15.09 та  26.10 -01.11</v>
      </c>
      <c r="P8" s="53"/>
      <c r="Q8" s="53" t="n">
        <f aca="false">IF($A$10="","",$E$10)</f>
        <v>0</v>
      </c>
      <c r="R8" s="53"/>
      <c r="S8" s="53" t="n">
        <f aca="false">IF($A$11="","",$E$11)</f>
        <v>0</v>
      </c>
      <c r="T8" s="53"/>
      <c r="U8" s="53" t="n">
        <f aca="false">IF($A$12="","",$E$12)</f>
        <v>0</v>
      </c>
      <c r="V8" s="53"/>
      <c r="W8" s="53" t="n">
        <f aca="false">IF($A$13="","",$E$13)</f>
        <v>0</v>
      </c>
      <c r="X8" s="53"/>
      <c r="Y8" s="53" t="n">
        <f aca="false">IF($A$14="","",$E$14)</f>
        <v>0</v>
      </c>
      <c r="Z8" s="53"/>
      <c r="AA8" s="53" t="n">
        <f aca="false">IF($A$15="","",$E$15)</f>
        <v>0</v>
      </c>
      <c r="AB8" s="53"/>
      <c r="AC8" s="53" t="n">
        <f aca="false">IF($A$16="","",$E$16)</f>
        <v>0</v>
      </c>
      <c r="AD8" s="53"/>
      <c r="AE8" s="53" t="n">
        <f aca="false">IF($A$17="","",$E$17)</f>
        <v>0</v>
      </c>
      <c r="AF8" s="53"/>
      <c r="AG8" s="53" t="str">
        <f aca="false">IF($A$18="","",$E$18)</f>
        <v/>
      </c>
      <c r="AH8" s="53"/>
      <c r="AI8" s="53" t="str">
        <f aca="false">IF($A$19="","",$E$19)</f>
        <v/>
      </c>
      <c r="AJ8" s="53"/>
      <c r="AK8" s="53" t="str">
        <f aca="false">IF($A$20="","",$E$20)</f>
        <v/>
      </c>
      <c r="AL8" s="53"/>
      <c r="AM8" s="53" t="str">
        <f aca="false">IF($A$21="","",$E$21)</f>
        <v/>
      </c>
      <c r="AN8" s="53"/>
      <c r="AO8" s="53" t="str">
        <f aca="false">IF($A$22="","",$E$22)</f>
        <v/>
      </c>
      <c r="AP8" s="53"/>
      <c r="AQ8" s="53" t="str">
        <f aca="false">IF($A$23="","",$E$23)</f>
        <v/>
      </c>
      <c r="AR8" s="53"/>
      <c r="AS8" s="53" t="str">
        <f aca="false">IF($A$24="","",$E$24)</f>
        <v/>
      </c>
      <c r="AT8" s="53"/>
      <c r="AU8" s="53" t="str">
        <f aca="false">IF($A$25="","",$E$25)</f>
        <v/>
      </c>
      <c r="AV8" s="53"/>
      <c r="AW8" s="53" t="str">
        <f aca="false">IF($A$26="","",$E$26)</f>
        <v/>
      </c>
      <c r="AX8" s="53"/>
      <c r="AY8" s="53" t="str">
        <f aca="false">IF($A$27="","",$E$27)</f>
        <v/>
      </c>
      <c r="AZ8" s="53"/>
      <c r="BA8" s="53" t="str">
        <f aca="false">IF($A$28="","",$E$28)</f>
        <v/>
      </c>
      <c r="BB8" s="53"/>
      <c r="BC8" s="53" t="str">
        <f aca="false">IF($A$29="","",$E$29)</f>
        <v/>
      </c>
      <c r="BD8" s="53"/>
      <c r="BE8" s="53" t="str">
        <f aca="false">IF($A$30="","",$E$30)</f>
        <v/>
      </c>
      <c r="BF8" s="53"/>
      <c r="BG8" s="53" t="str">
        <f aca="false">IF($A$31="","",$E$31)</f>
        <v/>
      </c>
      <c r="BH8" s="53"/>
      <c r="BI8" s="53" t="str">
        <f aca="false">IF($A$32="","",$E$32)</f>
        <v/>
      </c>
      <c r="BJ8" s="53"/>
      <c r="BK8" s="53" t="str">
        <f aca="false">IF($A$33="","",$E$33)</f>
        <v/>
      </c>
      <c r="BL8" s="53"/>
      <c r="BM8" s="53" t="str">
        <f aca="false">IF($A$34="","",$E$34)</f>
        <v/>
      </c>
      <c r="BN8" s="53"/>
      <c r="BO8" s="53" t="str">
        <f aca="false">IF($A$35="","",$E$35)</f>
        <v/>
      </c>
      <c r="BP8" s="53"/>
      <c r="BQ8" s="53" t="str">
        <f aca="false">IF($A$36="","",$E$36)</f>
        <v/>
      </c>
      <c r="BR8" s="53"/>
      <c r="BS8" s="53" t="str">
        <f aca="false">IF($A$37="","",$E$37)</f>
        <v/>
      </c>
      <c r="BT8" s="53"/>
      <c r="BU8" s="53" t="str">
        <f aca="false">IF($A$38="","",$E$38)</f>
        <v/>
      </c>
      <c r="BV8" s="53"/>
      <c r="BW8" s="53" t="str">
        <f aca="false">IF($A$39="","",$E$39)</f>
        <v/>
      </c>
      <c r="BX8" s="53"/>
      <c r="BY8" s="53" t="str">
        <f aca="false">IF($A$40="","",$E$40)</f>
        <v/>
      </c>
      <c r="BZ8" s="53"/>
      <c r="CA8" s="53" t="str">
        <f aca="false">IF($A$41="","",$E$41)</f>
        <v/>
      </c>
      <c r="CB8" s="53"/>
      <c r="CC8" s="53" t="str">
        <f aca="false">IF($A$42="","",$E$42)</f>
        <v/>
      </c>
      <c r="CD8" s="53"/>
      <c r="CE8" s="53" t="str">
        <f aca="false">IF($A$43="","",$E$43)</f>
        <v/>
      </c>
      <c r="CF8" s="53"/>
      <c r="CG8" s="53" t="str">
        <f aca="false">IF($A$44="","",$E$44)</f>
        <v/>
      </c>
      <c r="CH8" s="53"/>
      <c r="CI8" s="53" t="str">
        <f aca="false">IF($A$45="","",$E$45)</f>
        <v/>
      </c>
      <c r="CJ8" s="53"/>
      <c r="CK8" s="53" t="str">
        <f aca="false">IF($A$46="","",$E$46)</f>
        <v/>
      </c>
      <c r="CL8" s="53"/>
      <c r="CM8" s="53" t="str">
        <f aca="false">IF($A$47="","",$E$47)</f>
        <v/>
      </c>
      <c r="CN8" s="53"/>
      <c r="CO8" s="53" t="str">
        <f aca="false">IF($A$48="","",$E$48)</f>
        <v/>
      </c>
      <c r="CP8" s="53"/>
      <c r="CQ8" s="53" t="str">
        <f aca="false">IF($A$49="","",$E$49)</f>
        <v/>
      </c>
      <c r="CR8" s="53"/>
      <c r="CS8" s="53" t="str">
        <f aca="false">IF($A$50="","",$E$50)</f>
        <v/>
      </c>
      <c r="CT8" s="53"/>
      <c r="CU8" s="53" t="str">
        <f aca="false">IF($A$51="","",$E$51)</f>
        <v/>
      </c>
      <c r="CV8" s="53"/>
      <c r="CW8" s="53" t="str">
        <f aca="false">IF($A$52="","",$E$52)</f>
        <v/>
      </c>
      <c r="CX8" s="53"/>
      <c r="CY8" s="53" t="str">
        <f aca="false">IF($A$53="","",$E$53)</f>
        <v/>
      </c>
      <c r="CZ8" s="53"/>
      <c r="DA8" s="53" t="str">
        <f aca="false">IF($A$54="","",$E$54)</f>
        <v/>
      </c>
      <c r="DB8" s="53"/>
      <c r="DC8" s="53" t="str">
        <f aca="false">IF($A$55="","",$E$55)</f>
        <v/>
      </c>
      <c r="DD8" s="53"/>
      <c r="DE8" s="53" t="str">
        <f aca="false">IF($A$56="","",$E$56)</f>
        <v/>
      </c>
      <c r="DF8" s="53"/>
      <c r="DG8" s="53" t="str">
        <f aca="false">IF($A$57="","",$E$57)</f>
        <v/>
      </c>
      <c r="DH8" s="53"/>
      <c r="DI8" s="53" t="str">
        <f aca="false">IF($A$58="","",$E$58)</f>
        <v/>
      </c>
      <c r="DJ8" s="53"/>
      <c r="DK8" s="53" t="str">
        <f aca="false">IF($A$59="","",$E$59)</f>
        <v/>
      </c>
      <c r="DL8" s="53"/>
      <c r="DM8" s="53" t="str">
        <f aca="false">IF($A$60="","",$E$60)</f>
        <v/>
      </c>
      <c r="DN8" s="53"/>
      <c r="DO8" s="53" t="str">
        <f aca="false">IF($A$61="","",$E$61)</f>
        <v/>
      </c>
      <c r="DP8" s="53"/>
      <c r="DQ8" s="53" t="str">
        <f aca="false">IF($A$62="","",$E$62)</f>
        <v/>
      </c>
      <c r="DR8" s="53"/>
      <c r="DS8" s="53" t="str">
        <f aca="false">IF($A$63="","",$E$63)</f>
        <v/>
      </c>
      <c r="DT8" s="53"/>
      <c r="DU8" s="53" t="str">
        <f aca="false">IF($A$64="","",$E$64)</f>
        <v/>
      </c>
      <c r="DV8" s="53"/>
      <c r="DW8" s="53" t="str">
        <f aca="false">IF($A$65="","",$E$65)</f>
        <v/>
      </c>
      <c r="DX8" s="53"/>
      <c r="DY8" s="53" t="str">
        <f aca="false">IF($A$66="","",$E$66)</f>
        <v/>
      </c>
      <c r="DZ8" s="53"/>
      <c r="EA8" s="53" t="str">
        <f aca="false">IF($A$67="","",$E$67)</f>
        <v/>
      </c>
      <c r="EB8" s="53"/>
      <c r="EC8" s="53" t="str">
        <f aca="false">IF($A$68="","",$E$68)</f>
        <v/>
      </c>
      <c r="ED8" s="53"/>
      <c r="EE8" s="53" t="str">
        <f aca="false">IF($A$69="","",$E$69)</f>
        <v/>
      </c>
      <c r="EF8" s="53"/>
      <c r="EG8" s="53" t="str">
        <f aca="false">IF($A$70="","",$E$70)</f>
        <v/>
      </c>
      <c r="EH8" s="53"/>
      <c r="EI8" s="53" t="str">
        <f aca="false">IF($A$71="","",$E$71)</f>
        <v/>
      </c>
      <c r="EJ8" s="53"/>
      <c r="EK8" s="53" t="str">
        <f aca="false">IF($A$72="","",$E$72)</f>
        <v/>
      </c>
      <c r="EL8" s="53"/>
      <c r="EM8" s="53" t="str">
        <f aca="false">IF($A$73="","",$E$73)</f>
        <v/>
      </c>
      <c r="EN8" s="53"/>
      <c r="EO8" s="53" t="str">
        <f aca="false">IF($A$74="","",$E$74)</f>
        <v/>
      </c>
      <c r="EP8" s="53"/>
      <c r="EQ8" s="53" t="str">
        <f aca="false">IF($A$75="","",$E$75)</f>
        <v/>
      </c>
      <c r="ER8" s="53"/>
      <c r="ES8" s="53" t="str">
        <f aca="false">IF($A$76="","",$E$76)</f>
        <v/>
      </c>
      <c r="ET8" s="53"/>
      <c r="EU8" s="53" t="str">
        <f aca="false">IF($A$77="","",$E$77)</f>
        <v/>
      </c>
      <c r="EV8" s="53"/>
      <c r="EW8" s="53" t="str">
        <f aca="false">IF($A$78="","",$E$78)</f>
        <v/>
      </c>
      <c r="EX8" s="53"/>
      <c r="EY8" s="53" t="str">
        <f aca="false">IF($A$79="","",$E$79)</f>
        <v/>
      </c>
      <c r="EZ8" s="53"/>
      <c r="FA8" s="53" t="str">
        <f aca="false">IF($A$80="","",$E$80)</f>
        <v/>
      </c>
      <c r="FB8" s="53"/>
      <c r="FC8" s="53" t="str">
        <f aca="false">IF($A$81="","",$E$81)</f>
        <v/>
      </c>
      <c r="FD8" s="53"/>
      <c r="FE8" s="53" t="str">
        <f aca="false">IF($A$82="","",$E$82)</f>
        <v/>
      </c>
      <c r="FF8" s="53"/>
      <c r="FG8" s="53" t="str">
        <f aca="false">IF($A$83="","",$E$83)</f>
        <v/>
      </c>
      <c r="FH8" s="53"/>
      <c r="FI8" s="53" t="str">
        <f aca="false">IF($A$84="","",$E$84)</f>
        <v/>
      </c>
      <c r="FJ8" s="53"/>
      <c r="FK8" s="53" t="str">
        <f aca="false">IF($A$85="","",$E$85)</f>
        <v/>
      </c>
      <c r="FL8" s="53"/>
      <c r="FM8" s="53" t="str">
        <f aca="false">IF($A$86="","",$E$86)</f>
        <v/>
      </c>
      <c r="FN8" s="53"/>
      <c r="FO8" s="53" t="str">
        <f aca="false">IF($A$87="","",$E$87)</f>
        <v/>
      </c>
      <c r="FP8" s="53"/>
      <c r="FQ8" s="53" t="str">
        <f aca="false">IF($A$88="","",$E$88)</f>
        <v/>
      </c>
      <c r="FR8" s="53"/>
      <c r="FS8" s="53" t="str">
        <f aca="false">IF($A$89="","",$E$89)</f>
        <v/>
      </c>
      <c r="FT8" s="53"/>
      <c r="FU8" s="53" t="str">
        <f aca="false">IF($A$90="","",$E$90)</f>
        <v/>
      </c>
      <c r="FV8" s="53"/>
      <c r="FW8" s="53" t="str">
        <f aca="false">IF($A$91="","",$E$91)</f>
        <v/>
      </c>
      <c r="FX8" s="53"/>
      <c r="FY8" s="53" t="str">
        <f aca="false">IF($A$92="","",$E$92)</f>
        <v/>
      </c>
      <c r="FZ8" s="53"/>
      <c r="GA8" s="53" t="str">
        <f aca="false">IF($A$93="","",$E$93)</f>
        <v/>
      </c>
      <c r="GB8" s="53"/>
      <c r="GC8" s="53" t="str">
        <f aca="false">IF($A$94="","",$E$94)</f>
        <v/>
      </c>
      <c r="GD8" s="53"/>
      <c r="GE8" s="53" t="str">
        <f aca="false">IF($A$95="","",$E$95)</f>
        <v/>
      </c>
      <c r="GF8" s="53"/>
      <c r="GG8" s="53" t="str">
        <f aca="false">IF($A$96="","",$E$96)</f>
        <v/>
      </c>
      <c r="GH8" s="53"/>
      <c r="GI8" s="53" t="str">
        <f aca="false">IF($A$97="","",$E$97)</f>
        <v/>
      </c>
      <c r="GJ8" s="53"/>
      <c r="GK8" s="53" t="str">
        <f aca="false">IF($A$98="","",$E$98)</f>
        <v/>
      </c>
      <c r="GL8" s="53"/>
      <c r="GM8" s="53" t="str">
        <f aca="false">IF($A$99="","",$E$99)</f>
        <v/>
      </c>
      <c r="GN8" s="53"/>
      <c r="GO8" s="53" t="str">
        <f aca="false">IF($A$100="","",$E$100)</f>
        <v/>
      </c>
      <c r="GP8" s="53"/>
      <c r="GQ8" s="53" t="str">
        <f aca="false">IF($A$101="","",$E$101)</f>
        <v/>
      </c>
      <c r="GR8" s="53"/>
      <c r="GS8" s="53" t="str">
        <f aca="false">IF($A$102="","",$E$102)</f>
        <v/>
      </c>
      <c r="GT8" s="53"/>
      <c r="GU8" s="53" t="str">
        <f aca="false">IF($A$103="","",$E$103)</f>
        <v/>
      </c>
      <c r="GV8" s="53"/>
      <c r="GW8" s="53" t="str">
        <f aca="false">IF($A$104="","",$E$104)</f>
        <v/>
      </c>
      <c r="GX8" s="53"/>
      <c r="GY8" s="53" t="str">
        <f aca="false">IF($A$105="","",$E$105)</f>
        <v/>
      </c>
      <c r="GZ8" s="53"/>
    </row>
    <row r="9" customFormat="false" ht="9" hidden="false" customHeight="true" outlineLevel="0" collapsed="false">
      <c r="A9" s="54" t="s">
        <v>78</v>
      </c>
      <c r="B9" s="55"/>
      <c r="C9" s="55"/>
      <c r="D9" s="56" t="s">
        <v>75</v>
      </c>
      <c r="E9" s="57" t="s">
        <v>79</v>
      </c>
      <c r="F9" s="32" t="s">
        <v>80</v>
      </c>
      <c r="G9" s="4" t="s">
        <v>73</v>
      </c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59"/>
      <c r="DN9" s="59"/>
      <c r="DO9" s="59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59"/>
      <c r="FF9" s="59"/>
      <c r="FG9" s="59"/>
      <c r="FH9" s="59"/>
      <c r="FI9" s="59"/>
      <c r="FJ9" s="59"/>
      <c r="FK9" s="59"/>
      <c r="FL9" s="59"/>
      <c r="FM9" s="59"/>
      <c r="FN9" s="59"/>
      <c r="FO9" s="59"/>
      <c r="FP9" s="59"/>
      <c r="FQ9" s="59"/>
      <c r="FR9" s="59"/>
      <c r="FS9" s="59"/>
      <c r="FT9" s="59"/>
      <c r="FU9" s="59"/>
      <c r="FV9" s="59"/>
      <c r="FW9" s="59"/>
      <c r="FX9" s="59"/>
      <c r="FY9" s="59"/>
      <c r="FZ9" s="59"/>
      <c r="GA9" s="59"/>
      <c r="GB9" s="59"/>
      <c r="GC9" s="59"/>
      <c r="GD9" s="59"/>
      <c r="GE9" s="59"/>
      <c r="GF9" s="59"/>
      <c r="GG9" s="59"/>
      <c r="GH9" s="59"/>
      <c r="GI9" s="59"/>
      <c r="GJ9" s="59"/>
      <c r="GK9" s="59"/>
      <c r="GL9" s="59"/>
      <c r="GM9" s="59"/>
      <c r="GN9" s="59"/>
      <c r="GO9" s="59"/>
      <c r="GP9" s="59"/>
      <c r="GQ9" s="59"/>
      <c r="GR9" s="59"/>
      <c r="GS9" s="59"/>
      <c r="GT9" s="59"/>
      <c r="GU9" s="59"/>
      <c r="GV9" s="59"/>
      <c r="GW9" s="59"/>
      <c r="GX9" s="59"/>
      <c r="GY9" s="59"/>
      <c r="GZ9" s="59"/>
    </row>
    <row r="10" customFormat="false" ht="19.5" hidden="false" customHeight="true" outlineLevel="0" collapsed="false">
      <c r="A10" s="4" t="s">
        <v>81</v>
      </c>
      <c r="B10" s="36"/>
      <c r="C10" s="36"/>
      <c r="D10" s="49" t="s">
        <v>70</v>
      </c>
      <c r="E10" s="50"/>
      <c r="F10" s="32" t="s">
        <v>82</v>
      </c>
      <c r="G10" s="34" t="n">
        <v>5</v>
      </c>
      <c r="H10" s="47" t="s">
        <v>83</v>
      </c>
      <c r="I10" s="60"/>
      <c r="J10" s="61"/>
      <c r="K10" s="60"/>
      <c r="L10" s="61"/>
      <c r="M10" s="60"/>
      <c r="N10" s="61"/>
      <c r="O10" s="60"/>
      <c r="P10" s="61"/>
      <c r="Q10" s="60"/>
      <c r="R10" s="61"/>
      <c r="S10" s="60"/>
      <c r="T10" s="61"/>
      <c r="U10" s="60"/>
      <c r="V10" s="61"/>
      <c r="W10" s="60"/>
      <c r="X10" s="61"/>
      <c r="Y10" s="60"/>
      <c r="Z10" s="61"/>
      <c r="AA10" s="60"/>
      <c r="AB10" s="61"/>
      <c r="AC10" s="60"/>
      <c r="AD10" s="61"/>
      <c r="AE10" s="60"/>
      <c r="AF10" s="61"/>
      <c r="AG10" s="60"/>
      <c r="AH10" s="61"/>
      <c r="AI10" s="60"/>
      <c r="AJ10" s="61"/>
      <c r="AK10" s="60"/>
      <c r="AL10" s="61"/>
      <c r="AM10" s="60"/>
      <c r="AN10" s="61"/>
      <c r="AO10" s="60"/>
      <c r="AP10" s="61"/>
      <c r="AQ10" s="60"/>
      <c r="AR10" s="61"/>
      <c r="AS10" s="60"/>
      <c r="AT10" s="61"/>
      <c r="AU10" s="60"/>
      <c r="AV10" s="61"/>
      <c r="AW10" s="60"/>
      <c r="AX10" s="61"/>
      <c r="AY10" s="60"/>
      <c r="AZ10" s="61"/>
      <c r="BA10" s="60"/>
      <c r="BB10" s="61"/>
      <c r="BC10" s="60"/>
      <c r="BD10" s="61"/>
      <c r="BE10" s="60"/>
      <c r="BF10" s="61"/>
      <c r="BG10" s="60"/>
      <c r="BH10" s="61"/>
      <c r="BI10" s="60"/>
      <c r="BJ10" s="61"/>
      <c r="BK10" s="60"/>
      <c r="BL10" s="61"/>
      <c r="BM10" s="60"/>
      <c r="BN10" s="61"/>
      <c r="BO10" s="60"/>
      <c r="BP10" s="61"/>
      <c r="BQ10" s="60"/>
      <c r="BR10" s="61"/>
      <c r="BS10" s="60"/>
      <c r="BT10" s="61"/>
      <c r="BU10" s="60"/>
      <c r="BV10" s="61"/>
      <c r="BW10" s="60"/>
      <c r="BX10" s="61"/>
      <c r="BY10" s="60"/>
      <c r="BZ10" s="61"/>
      <c r="CA10" s="60"/>
      <c r="CB10" s="61"/>
      <c r="CC10" s="60"/>
      <c r="CD10" s="61"/>
      <c r="CE10" s="60"/>
      <c r="CF10" s="61"/>
      <c r="CG10" s="60"/>
      <c r="CH10" s="61"/>
      <c r="CI10" s="60"/>
      <c r="CJ10" s="61"/>
      <c r="CK10" s="60"/>
      <c r="CL10" s="61"/>
      <c r="CM10" s="60"/>
      <c r="CN10" s="61"/>
      <c r="CO10" s="60"/>
      <c r="CP10" s="61"/>
      <c r="CQ10" s="60"/>
      <c r="CR10" s="61"/>
      <c r="CS10" s="60"/>
      <c r="CT10" s="61"/>
      <c r="CU10" s="60"/>
      <c r="CV10" s="61"/>
      <c r="CW10" s="60"/>
      <c r="CX10" s="61"/>
      <c r="CY10" s="60"/>
      <c r="CZ10" s="61"/>
      <c r="DA10" s="60"/>
      <c r="DB10" s="61"/>
      <c r="DC10" s="60"/>
      <c r="DD10" s="61"/>
      <c r="DE10" s="60"/>
      <c r="DF10" s="61"/>
      <c r="DG10" s="60"/>
      <c r="DH10" s="61"/>
      <c r="DI10" s="60"/>
      <c r="DJ10" s="61"/>
      <c r="DK10" s="60"/>
      <c r="DL10" s="61"/>
      <c r="DM10" s="60"/>
      <c r="DN10" s="61"/>
      <c r="DO10" s="60"/>
      <c r="DP10" s="61"/>
      <c r="DQ10" s="60"/>
      <c r="DR10" s="61"/>
      <c r="DS10" s="60"/>
      <c r="DT10" s="61"/>
      <c r="DU10" s="60"/>
      <c r="DV10" s="61"/>
      <c r="DW10" s="60"/>
      <c r="DX10" s="61"/>
      <c r="DY10" s="60"/>
      <c r="DZ10" s="61"/>
      <c r="EA10" s="60"/>
      <c r="EB10" s="61"/>
      <c r="EC10" s="60"/>
      <c r="ED10" s="61"/>
      <c r="EE10" s="60"/>
      <c r="EF10" s="61"/>
      <c r="EG10" s="60"/>
      <c r="EH10" s="61"/>
      <c r="EI10" s="60"/>
      <c r="EJ10" s="61"/>
      <c r="EK10" s="60"/>
      <c r="EL10" s="61"/>
      <c r="EM10" s="60"/>
      <c r="EN10" s="61"/>
      <c r="EO10" s="60"/>
      <c r="EP10" s="61"/>
      <c r="EQ10" s="60"/>
      <c r="ER10" s="61"/>
      <c r="ES10" s="60"/>
      <c r="ET10" s="61"/>
      <c r="EU10" s="60"/>
      <c r="EV10" s="61"/>
      <c r="EW10" s="60"/>
      <c r="EX10" s="61"/>
      <c r="EY10" s="60"/>
      <c r="EZ10" s="61"/>
      <c r="FA10" s="60"/>
      <c r="FB10" s="61"/>
      <c r="FC10" s="60"/>
      <c r="FD10" s="61"/>
      <c r="FE10" s="60"/>
      <c r="FF10" s="61"/>
      <c r="FG10" s="60"/>
      <c r="FH10" s="61"/>
      <c r="FI10" s="60"/>
      <c r="FJ10" s="61"/>
      <c r="FK10" s="60"/>
      <c r="FL10" s="61"/>
      <c r="FM10" s="60"/>
      <c r="FN10" s="61"/>
      <c r="FO10" s="60"/>
      <c r="FP10" s="61"/>
      <c r="FQ10" s="60"/>
      <c r="FR10" s="61"/>
      <c r="FS10" s="60"/>
      <c r="FT10" s="61"/>
      <c r="FU10" s="60"/>
      <c r="FV10" s="61"/>
      <c r="FW10" s="60"/>
      <c r="FX10" s="61"/>
      <c r="FY10" s="60"/>
      <c r="FZ10" s="61"/>
      <c r="GA10" s="60"/>
      <c r="GB10" s="61"/>
      <c r="GC10" s="60"/>
      <c r="GD10" s="61"/>
      <c r="GE10" s="60"/>
      <c r="GF10" s="61"/>
      <c r="GG10" s="60"/>
      <c r="GH10" s="61"/>
      <c r="GI10" s="60"/>
      <c r="GJ10" s="61"/>
      <c r="GK10" s="60"/>
      <c r="GL10" s="61"/>
      <c r="GM10" s="60"/>
      <c r="GN10" s="61"/>
      <c r="GO10" s="60"/>
      <c r="GP10" s="61"/>
      <c r="GQ10" s="60"/>
      <c r="GR10" s="61"/>
      <c r="GS10" s="60"/>
      <c r="GT10" s="61"/>
      <c r="GU10" s="60"/>
      <c r="GV10" s="61"/>
      <c r="GW10" s="60"/>
      <c r="GX10" s="61"/>
      <c r="GY10" s="60"/>
      <c r="GZ10" s="61"/>
    </row>
    <row r="11" customFormat="false" ht="15" hidden="false" customHeight="false" outlineLevel="0" collapsed="false">
      <c r="A11" s="54" t="s">
        <v>84</v>
      </c>
      <c r="B11" s="55"/>
      <c r="C11" s="55"/>
      <c r="D11" s="56" t="s">
        <v>70</v>
      </c>
      <c r="E11" s="57"/>
      <c r="F11" s="41" t="s">
        <v>85</v>
      </c>
      <c r="G11" s="41"/>
      <c r="H11" s="11" t="s">
        <v>14</v>
      </c>
      <c r="I11" s="62" t="s">
        <v>86</v>
      </c>
      <c r="J11" s="11" t="s">
        <v>87</v>
      </c>
      <c r="K11" s="62" t="s">
        <v>86</v>
      </c>
      <c r="L11" s="11" t="s">
        <v>87</v>
      </c>
      <c r="M11" s="62" t="s">
        <v>86</v>
      </c>
      <c r="N11" s="11" t="s">
        <v>87</v>
      </c>
      <c r="O11" s="62" t="s">
        <v>86</v>
      </c>
      <c r="P11" s="11" t="s">
        <v>87</v>
      </c>
      <c r="Q11" s="62" t="s">
        <v>86</v>
      </c>
      <c r="R11" s="11" t="s">
        <v>87</v>
      </c>
      <c r="S11" s="62" t="s">
        <v>86</v>
      </c>
      <c r="T11" s="11" t="s">
        <v>87</v>
      </c>
      <c r="U11" s="62" t="s">
        <v>86</v>
      </c>
      <c r="V11" s="11" t="s">
        <v>87</v>
      </c>
      <c r="W11" s="62" t="s">
        <v>86</v>
      </c>
      <c r="X11" s="11" t="s">
        <v>87</v>
      </c>
      <c r="Y11" s="62" t="s">
        <v>86</v>
      </c>
      <c r="Z11" s="11" t="s">
        <v>87</v>
      </c>
      <c r="AA11" s="62" t="s">
        <v>86</v>
      </c>
      <c r="AB11" s="11" t="s">
        <v>87</v>
      </c>
      <c r="AC11" s="62" t="s">
        <v>86</v>
      </c>
      <c r="AD11" s="11" t="s">
        <v>87</v>
      </c>
      <c r="AE11" s="62" t="s">
        <v>86</v>
      </c>
      <c r="AF11" s="11" t="s">
        <v>87</v>
      </c>
      <c r="AG11" s="62" t="s">
        <v>86</v>
      </c>
      <c r="AH11" s="11" t="s">
        <v>87</v>
      </c>
      <c r="AI11" s="62" t="s">
        <v>86</v>
      </c>
      <c r="AJ11" s="11" t="s">
        <v>87</v>
      </c>
      <c r="AK11" s="62" t="s">
        <v>86</v>
      </c>
      <c r="AL11" s="11" t="s">
        <v>87</v>
      </c>
      <c r="AM11" s="62" t="s">
        <v>86</v>
      </c>
      <c r="AN11" s="11" t="s">
        <v>87</v>
      </c>
      <c r="AO11" s="62" t="s">
        <v>86</v>
      </c>
      <c r="AP11" s="11" t="s">
        <v>87</v>
      </c>
      <c r="AQ11" s="62" t="s">
        <v>86</v>
      </c>
      <c r="AR11" s="11" t="s">
        <v>87</v>
      </c>
      <c r="AS11" s="62" t="s">
        <v>86</v>
      </c>
      <c r="AT11" s="11" t="s">
        <v>87</v>
      </c>
      <c r="AU11" s="62" t="s">
        <v>86</v>
      </c>
      <c r="AV11" s="11" t="s">
        <v>87</v>
      </c>
      <c r="AW11" s="62" t="s">
        <v>86</v>
      </c>
      <c r="AX11" s="11" t="s">
        <v>87</v>
      </c>
      <c r="AY11" s="62" t="s">
        <v>86</v>
      </c>
      <c r="AZ11" s="11" t="s">
        <v>87</v>
      </c>
      <c r="BA11" s="62" t="s">
        <v>86</v>
      </c>
      <c r="BB11" s="11" t="s">
        <v>87</v>
      </c>
      <c r="BC11" s="62" t="s">
        <v>86</v>
      </c>
      <c r="BD11" s="11" t="s">
        <v>87</v>
      </c>
      <c r="BE11" s="62" t="s">
        <v>86</v>
      </c>
      <c r="BF11" s="11" t="s">
        <v>87</v>
      </c>
      <c r="BG11" s="62" t="s">
        <v>86</v>
      </c>
      <c r="BH11" s="11" t="s">
        <v>87</v>
      </c>
      <c r="BI11" s="62" t="s">
        <v>86</v>
      </c>
      <c r="BJ11" s="11" t="s">
        <v>87</v>
      </c>
      <c r="BK11" s="62" t="s">
        <v>86</v>
      </c>
      <c r="BL11" s="11" t="s">
        <v>87</v>
      </c>
      <c r="BM11" s="62" t="s">
        <v>86</v>
      </c>
      <c r="BN11" s="11" t="s">
        <v>87</v>
      </c>
      <c r="BO11" s="62" t="s">
        <v>86</v>
      </c>
      <c r="BP11" s="11" t="s">
        <v>87</v>
      </c>
      <c r="BQ11" s="62" t="s">
        <v>86</v>
      </c>
      <c r="BR11" s="11" t="s">
        <v>87</v>
      </c>
      <c r="BS11" s="62" t="s">
        <v>86</v>
      </c>
      <c r="BT11" s="11" t="s">
        <v>87</v>
      </c>
      <c r="BU11" s="62" t="s">
        <v>86</v>
      </c>
      <c r="BV11" s="11" t="s">
        <v>87</v>
      </c>
      <c r="BW11" s="62" t="s">
        <v>86</v>
      </c>
      <c r="BX11" s="11" t="s">
        <v>87</v>
      </c>
      <c r="BY11" s="62" t="s">
        <v>86</v>
      </c>
      <c r="BZ11" s="11" t="s">
        <v>87</v>
      </c>
      <c r="CA11" s="62" t="s">
        <v>86</v>
      </c>
      <c r="CB11" s="11" t="s">
        <v>87</v>
      </c>
      <c r="CC11" s="62" t="s">
        <v>86</v>
      </c>
      <c r="CD11" s="11" t="s">
        <v>87</v>
      </c>
      <c r="CE11" s="62" t="s">
        <v>86</v>
      </c>
      <c r="CF11" s="11" t="s">
        <v>87</v>
      </c>
      <c r="CG11" s="62" t="s">
        <v>86</v>
      </c>
      <c r="CH11" s="11" t="s">
        <v>87</v>
      </c>
      <c r="CI11" s="62" t="s">
        <v>86</v>
      </c>
      <c r="CJ11" s="11" t="s">
        <v>87</v>
      </c>
      <c r="CK11" s="62" t="s">
        <v>86</v>
      </c>
      <c r="CL11" s="11" t="s">
        <v>87</v>
      </c>
      <c r="CM11" s="62" t="s">
        <v>86</v>
      </c>
      <c r="CN11" s="11" t="s">
        <v>87</v>
      </c>
      <c r="CO11" s="62" t="s">
        <v>86</v>
      </c>
      <c r="CP11" s="11" t="s">
        <v>87</v>
      </c>
      <c r="CQ11" s="62" t="s">
        <v>86</v>
      </c>
      <c r="CR11" s="11" t="s">
        <v>87</v>
      </c>
      <c r="CS11" s="62" t="s">
        <v>86</v>
      </c>
      <c r="CT11" s="11" t="s">
        <v>87</v>
      </c>
      <c r="CU11" s="62" t="s">
        <v>86</v>
      </c>
      <c r="CV11" s="11" t="s">
        <v>87</v>
      </c>
      <c r="CW11" s="62" t="s">
        <v>86</v>
      </c>
      <c r="CX11" s="11" t="s">
        <v>87</v>
      </c>
      <c r="CY11" s="62" t="s">
        <v>86</v>
      </c>
      <c r="CZ11" s="11" t="s">
        <v>87</v>
      </c>
      <c r="DA11" s="62" t="s">
        <v>86</v>
      </c>
      <c r="DB11" s="11" t="s">
        <v>87</v>
      </c>
      <c r="DC11" s="62" t="s">
        <v>86</v>
      </c>
      <c r="DD11" s="11" t="s">
        <v>87</v>
      </c>
      <c r="DE11" s="62" t="s">
        <v>86</v>
      </c>
      <c r="DF11" s="11" t="s">
        <v>87</v>
      </c>
      <c r="DG11" s="62" t="s">
        <v>86</v>
      </c>
      <c r="DH11" s="11" t="s">
        <v>87</v>
      </c>
      <c r="DI11" s="62" t="s">
        <v>86</v>
      </c>
      <c r="DJ11" s="11" t="s">
        <v>87</v>
      </c>
      <c r="DK11" s="62" t="s">
        <v>86</v>
      </c>
      <c r="DL11" s="11" t="s">
        <v>87</v>
      </c>
      <c r="DM11" s="62" t="s">
        <v>86</v>
      </c>
      <c r="DN11" s="11" t="s">
        <v>87</v>
      </c>
      <c r="DO11" s="62" t="s">
        <v>86</v>
      </c>
      <c r="DP11" s="11" t="s">
        <v>87</v>
      </c>
      <c r="DQ11" s="62" t="s">
        <v>86</v>
      </c>
      <c r="DR11" s="11" t="s">
        <v>87</v>
      </c>
      <c r="DS11" s="62" t="s">
        <v>86</v>
      </c>
      <c r="DT11" s="11" t="s">
        <v>87</v>
      </c>
      <c r="DU11" s="62" t="s">
        <v>86</v>
      </c>
      <c r="DV11" s="11" t="s">
        <v>87</v>
      </c>
      <c r="DW11" s="62" t="s">
        <v>86</v>
      </c>
      <c r="DX11" s="11" t="s">
        <v>87</v>
      </c>
      <c r="DY11" s="62" t="s">
        <v>86</v>
      </c>
      <c r="DZ11" s="11" t="s">
        <v>87</v>
      </c>
      <c r="EA11" s="62" t="s">
        <v>86</v>
      </c>
      <c r="EB11" s="11" t="s">
        <v>87</v>
      </c>
      <c r="EC11" s="62" t="s">
        <v>86</v>
      </c>
      <c r="ED11" s="11" t="s">
        <v>87</v>
      </c>
      <c r="EE11" s="62" t="s">
        <v>86</v>
      </c>
      <c r="EF11" s="11" t="s">
        <v>87</v>
      </c>
      <c r="EG11" s="62" t="s">
        <v>86</v>
      </c>
      <c r="EH11" s="11" t="s">
        <v>87</v>
      </c>
      <c r="EI11" s="62" t="s">
        <v>86</v>
      </c>
      <c r="EJ11" s="11" t="s">
        <v>87</v>
      </c>
      <c r="EK11" s="62" t="s">
        <v>86</v>
      </c>
      <c r="EL11" s="11" t="s">
        <v>87</v>
      </c>
      <c r="EM11" s="62" t="s">
        <v>86</v>
      </c>
      <c r="EN11" s="11" t="s">
        <v>87</v>
      </c>
      <c r="EO11" s="62" t="s">
        <v>86</v>
      </c>
      <c r="EP11" s="11" t="s">
        <v>87</v>
      </c>
      <c r="EQ11" s="62" t="s">
        <v>86</v>
      </c>
      <c r="ER11" s="11" t="s">
        <v>87</v>
      </c>
      <c r="ES11" s="62" t="s">
        <v>86</v>
      </c>
      <c r="ET11" s="11" t="s">
        <v>87</v>
      </c>
      <c r="EU11" s="62" t="s">
        <v>86</v>
      </c>
      <c r="EV11" s="11" t="s">
        <v>87</v>
      </c>
      <c r="EW11" s="62" t="s">
        <v>86</v>
      </c>
      <c r="EX11" s="11" t="s">
        <v>87</v>
      </c>
      <c r="EY11" s="62" t="s">
        <v>86</v>
      </c>
      <c r="EZ11" s="11" t="s">
        <v>87</v>
      </c>
      <c r="FA11" s="62" t="s">
        <v>86</v>
      </c>
      <c r="FB11" s="11" t="s">
        <v>87</v>
      </c>
      <c r="FC11" s="62" t="s">
        <v>86</v>
      </c>
      <c r="FD11" s="11" t="s">
        <v>87</v>
      </c>
      <c r="FE11" s="62" t="s">
        <v>86</v>
      </c>
      <c r="FF11" s="11" t="s">
        <v>87</v>
      </c>
      <c r="FG11" s="62" t="s">
        <v>86</v>
      </c>
      <c r="FH11" s="11" t="s">
        <v>87</v>
      </c>
      <c r="FI11" s="62" t="s">
        <v>86</v>
      </c>
      <c r="FJ11" s="11" t="s">
        <v>87</v>
      </c>
      <c r="FK11" s="62" t="s">
        <v>86</v>
      </c>
      <c r="FL11" s="11" t="s">
        <v>87</v>
      </c>
      <c r="FM11" s="62" t="s">
        <v>86</v>
      </c>
      <c r="FN11" s="11" t="s">
        <v>87</v>
      </c>
      <c r="FO11" s="62" t="s">
        <v>86</v>
      </c>
      <c r="FP11" s="11" t="s">
        <v>87</v>
      </c>
      <c r="FQ11" s="62" t="s">
        <v>86</v>
      </c>
      <c r="FR11" s="11" t="s">
        <v>87</v>
      </c>
      <c r="FS11" s="62" t="s">
        <v>86</v>
      </c>
      <c r="FT11" s="11" t="s">
        <v>87</v>
      </c>
      <c r="FU11" s="62" t="s">
        <v>86</v>
      </c>
      <c r="FV11" s="11" t="s">
        <v>87</v>
      </c>
      <c r="FW11" s="62" t="s">
        <v>86</v>
      </c>
      <c r="FX11" s="11" t="s">
        <v>87</v>
      </c>
      <c r="FY11" s="62" t="s">
        <v>86</v>
      </c>
      <c r="FZ11" s="11" t="s">
        <v>87</v>
      </c>
      <c r="GA11" s="62" t="s">
        <v>86</v>
      </c>
      <c r="GB11" s="11" t="s">
        <v>87</v>
      </c>
      <c r="GC11" s="62" t="s">
        <v>86</v>
      </c>
      <c r="GD11" s="11" t="s">
        <v>87</v>
      </c>
      <c r="GE11" s="62" t="s">
        <v>86</v>
      </c>
      <c r="GF11" s="11" t="s">
        <v>87</v>
      </c>
      <c r="GG11" s="62" t="s">
        <v>86</v>
      </c>
      <c r="GH11" s="11" t="s">
        <v>87</v>
      </c>
      <c r="GI11" s="62" t="s">
        <v>86</v>
      </c>
      <c r="GJ11" s="11" t="s">
        <v>87</v>
      </c>
      <c r="GK11" s="62" t="s">
        <v>86</v>
      </c>
      <c r="GL11" s="11" t="s">
        <v>87</v>
      </c>
      <c r="GM11" s="62" t="s">
        <v>86</v>
      </c>
      <c r="GN11" s="11" t="s">
        <v>87</v>
      </c>
      <c r="GO11" s="62" t="s">
        <v>86</v>
      </c>
      <c r="GP11" s="11" t="s">
        <v>87</v>
      </c>
      <c r="GQ11" s="62" t="s">
        <v>86</v>
      </c>
      <c r="GR11" s="11" t="s">
        <v>87</v>
      </c>
      <c r="GS11" s="62" t="s">
        <v>86</v>
      </c>
      <c r="GT11" s="11" t="s">
        <v>87</v>
      </c>
      <c r="GU11" s="62" t="s">
        <v>86</v>
      </c>
      <c r="GV11" s="11" t="s">
        <v>87</v>
      </c>
      <c r="GW11" s="62" t="s">
        <v>86</v>
      </c>
      <c r="GX11" s="11" t="s">
        <v>87</v>
      </c>
      <c r="GY11" s="62" t="s">
        <v>86</v>
      </c>
      <c r="GZ11" s="11" t="s">
        <v>87</v>
      </c>
    </row>
    <row r="12" customFormat="false" ht="15" hidden="false" customHeight="false" outlineLevel="0" collapsed="false">
      <c r="A12" s="4" t="s">
        <v>88</v>
      </c>
      <c r="B12" s="36" t="n">
        <v>46281</v>
      </c>
      <c r="C12" s="36" t="n">
        <v>46295</v>
      </c>
      <c r="D12" s="49" t="s">
        <v>75</v>
      </c>
      <c r="E12" s="50"/>
      <c r="F12" s="46" t="s">
        <v>89</v>
      </c>
      <c r="H12" s="16" t="str">
        <f aca="false">IF('Довідник категорій'!B5="","",'Довідник категорій'!B5)</f>
        <v>Classic Chalet</v>
      </c>
      <c r="I12" s="63" t="n">
        <v>3500</v>
      </c>
      <c r="J12" s="51" t="n">
        <v>4000</v>
      </c>
      <c r="K12" s="63" t="n">
        <v>6000</v>
      </c>
      <c r="L12" s="51" t="n">
        <v>6500</v>
      </c>
      <c r="M12" s="63" t="n">
        <v>4200</v>
      </c>
      <c r="N12" s="51" t="n">
        <v>4700</v>
      </c>
      <c r="O12" s="63" t="n">
        <v>5100</v>
      </c>
      <c r="P12" s="51" t="n">
        <v>5600</v>
      </c>
      <c r="Q12" s="63" t="n">
        <v>4499.88</v>
      </c>
      <c r="R12" s="51" t="n">
        <v>4999.88</v>
      </c>
      <c r="S12" s="63" t="n">
        <v>5464.14</v>
      </c>
      <c r="T12" s="51" t="n">
        <v>5964.14</v>
      </c>
      <c r="U12" s="63" t="n">
        <v>4821.171432</v>
      </c>
      <c r="V12" s="51" t="n">
        <v>5321.171432</v>
      </c>
      <c r="W12" s="63" t="n">
        <v>5854.279596</v>
      </c>
      <c r="X12" s="51" t="n">
        <v>6354.279596</v>
      </c>
      <c r="Y12" s="63" t="n">
        <v>5165.403072</v>
      </c>
      <c r="Z12" s="51" t="n">
        <v>5665.403072</v>
      </c>
      <c r="AA12" s="63" t="n">
        <v>6272.275159</v>
      </c>
      <c r="AB12" s="51" t="n">
        <v>6772.275159</v>
      </c>
      <c r="AC12" s="63" t="n">
        <v>5534.212852</v>
      </c>
      <c r="AD12" s="51" t="n">
        <v>6034.212852</v>
      </c>
      <c r="AE12" s="63" t="n">
        <v>6720.115606</v>
      </c>
      <c r="AF12" s="51" t="n">
        <v>7220.115606</v>
      </c>
      <c r="AG12" s="63"/>
      <c r="AH12" s="51"/>
      <c r="AI12" s="63"/>
      <c r="AJ12" s="51"/>
      <c r="AK12" s="63"/>
      <c r="AL12" s="51"/>
      <c r="AM12" s="63"/>
      <c r="AN12" s="51"/>
      <c r="AO12" s="63"/>
      <c r="AP12" s="51"/>
      <c r="AQ12" s="63"/>
      <c r="AR12" s="51"/>
      <c r="AS12" s="63"/>
      <c r="AT12" s="51"/>
      <c r="AU12" s="63"/>
      <c r="AV12" s="51"/>
      <c r="AW12" s="63"/>
      <c r="AX12" s="51"/>
      <c r="AY12" s="63"/>
      <c r="AZ12" s="51"/>
      <c r="BA12" s="63"/>
      <c r="BB12" s="51"/>
      <c r="BC12" s="63"/>
      <c r="BD12" s="51"/>
      <c r="BE12" s="63"/>
      <c r="BF12" s="51"/>
      <c r="BG12" s="63"/>
      <c r="BH12" s="51"/>
      <c r="BI12" s="63"/>
      <c r="BJ12" s="51"/>
      <c r="BK12" s="63"/>
      <c r="BL12" s="51"/>
      <c r="BM12" s="63"/>
      <c r="BN12" s="51"/>
      <c r="BO12" s="63"/>
      <c r="BP12" s="51"/>
      <c r="BQ12" s="63"/>
      <c r="BR12" s="51"/>
      <c r="BS12" s="63"/>
      <c r="BT12" s="51"/>
      <c r="BU12" s="63"/>
      <c r="BV12" s="51"/>
      <c r="BW12" s="63"/>
      <c r="BX12" s="51"/>
      <c r="BY12" s="63"/>
      <c r="BZ12" s="51"/>
      <c r="CA12" s="63"/>
      <c r="CB12" s="51"/>
      <c r="CC12" s="63"/>
      <c r="CD12" s="51"/>
      <c r="CE12" s="63"/>
      <c r="CF12" s="51"/>
      <c r="CG12" s="63"/>
      <c r="CH12" s="51"/>
      <c r="CI12" s="63"/>
      <c r="CJ12" s="51"/>
      <c r="CK12" s="63"/>
      <c r="CL12" s="51"/>
      <c r="CM12" s="63"/>
      <c r="CN12" s="51"/>
      <c r="CO12" s="63"/>
      <c r="CP12" s="51"/>
      <c r="CQ12" s="63"/>
      <c r="CR12" s="51"/>
      <c r="CS12" s="63"/>
      <c r="CT12" s="51"/>
      <c r="CU12" s="63"/>
      <c r="CV12" s="51"/>
      <c r="CW12" s="63"/>
      <c r="CX12" s="51"/>
      <c r="CY12" s="63"/>
      <c r="CZ12" s="51"/>
      <c r="DA12" s="63"/>
      <c r="DB12" s="51"/>
      <c r="DC12" s="63"/>
      <c r="DD12" s="51"/>
      <c r="DE12" s="63"/>
      <c r="DF12" s="51"/>
      <c r="DG12" s="63"/>
      <c r="DH12" s="51"/>
      <c r="DI12" s="63"/>
      <c r="DJ12" s="51"/>
      <c r="DK12" s="63"/>
      <c r="DL12" s="51"/>
      <c r="DM12" s="63"/>
      <c r="DN12" s="51"/>
      <c r="DO12" s="63"/>
      <c r="DP12" s="51"/>
      <c r="DQ12" s="63"/>
      <c r="DR12" s="51"/>
      <c r="DS12" s="63"/>
      <c r="DT12" s="51"/>
      <c r="DU12" s="63"/>
      <c r="DV12" s="51"/>
      <c r="DW12" s="63"/>
      <c r="DX12" s="51"/>
      <c r="DY12" s="63"/>
      <c r="DZ12" s="51"/>
      <c r="EA12" s="63"/>
      <c r="EB12" s="51"/>
      <c r="EC12" s="63"/>
      <c r="ED12" s="51"/>
      <c r="EE12" s="63"/>
      <c r="EF12" s="51"/>
      <c r="EG12" s="63"/>
      <c r="EH12" s="51"/>
      <c r="EI12" s="63"/>
      <c r="EJ12" s="51"/>
      <c r="EK12" s="63"/>
      <c r="EL12" s="51"/>
      <c r="EM12" s="63"/>
      <c r="EN12" s="51"/>
      <c r="EO12" s="63"/>
      <c r="EP12" s="51"/>
      <c r="EQ12" s="63"/>
      <c r="ER12" s="51"/>
      <c r="ES12" s="63"/>
      <c r="ET12" s="51"/>
      <c r="EU12" s="63"/>
      <c r="EV12" s="51"/>
      <c r="EW12" s="63"/>
      <c r="EX12" s="51"/>
      <c r="EY12" s="63"/>
      <c r="EZ12" s="51"/>
      <c r="FA12" s="63"/>
      <c r="FB12" s="51"/>
      <c r="FC12" s="63"/>
      <c r="FD12" s="51"/>
      <c r="FE12" s="63"/>
      <c r="FF12" s="51"/>
      <c r="FG12" s="63"/>
      <c r="FH12" s="51"/>
      <c r="FI12" s="63"/>
      <c r="FJ12" s="51"/>
      <c r="FK12" s="63"/>
      <c r="FL12" s="51"/>
      <c r="FM12" s="63"/>
      <c r="FN12" s="51"/>
      <c r="FO12" s="63"/>
      <c r="FP12" s="51"/>
      <c r="FQ12" s="63"/>
      <c r="FR12" s="51"/>
      <c r="FS12" s="63"/>
      <c r="FT12" s="51"/>
      <c r="FU12" s="63"/>
      <c r="FV12" s="51"/>
      <c r="FW12" s="63"/>
      <c r="FX12" s="51"/>
      <c r="FY12" s="63"/>
      <c r="FZ12" s="51"/>
      <c r="GA12" s="63"/>
      <c r="GB12" s="51"/>
      <c r="GC12" s="63"/>
      <c r="GD12" s="51"/>
      <c r="GE12" s="63"/>
      <c r="GF12" s="51"/>
      <c r="GG12" s="63"/>
      <c r="GH12" s="51"/>
      <c r="GI12" s="63"/>
      <c r="GJ12" s="51"/>
      <c r="GK12" s="63"/>
      <c r="GL12" s="51"/>
      <c r="GM12" s="63"/>
      <c r="GN12" s="51"/>
      <c r="GO12" s="63"/>
      <c r="GP12" s="51"/>
      <c r="GQ12" s="63"/>
      <c r="GR12" s="51"/>
      <c r="GS12" s="63"/>
      <c r="GT12" s="51"/>
      <c r="GU12" s="63"/>
      <c r="GV12" s="51"/>
      <c r="GW12" s="63"/>
      <c r="GX12" s="51"/>
      <c r="GY12" s="63"/>
      <c r="GZ12" s="51"/>
    </row>
    <row r="13" customFormat="false" ht="15" hidden="false" customHeight="false" outlineLevel="0" collapsed="false">
      <c r="A13" s="54" t="s">
        <v>90</v>
      </c>
      <c r="B13" s="55"/>
      <c r="C13" s="55"/>
      <c r="D13" s="56" t="s">
        <v>70</v>
      </c>
      <c r="E13" s="57"/>
      <c r="F13" s="11" t="s">
        <v>91</v>
      </c>
      <c r="G13" s="11" t="s">
        <v>92</v>
      </c>
      <c r="H13" s="23" t="str">
        <f aca="false">IF('Довідник категорій'!B6="","",'Довідник категорій'!B6)</f>
        <v>Forest View Chalet</v>
      </c>
      <c r="I13" s="63" t="n">
        <v>4000</v>
      </c>
      <c r="J13" s="51" t="n">
        <v>4500</v>
      </c>
      <c r="K13" s="63" t="n">
        <v>6500</v>
      </c>
      <c r="L13" s="51" t="n">
        <v>6600</v>
      </c>
      <c r="M13" s="63" t="n">
        <v>4550</v>
      </c>
      <c r="N13" s="51" t="n">
        <v>5150</v>
      </c>
      <c r="O13" s="63" t="n">
        <v>5525</v>
      </c>
      <c r="P13" s="51" t="n">
        <v>6125</v>
      </c>
      <c r="Q13" s="63" t="n">
        <v>4874.87</v>
      </c>
      <c r="R13" s="51" t="n">
        <v>5474.87</v>
      </c>
      <c r="S13" s="63" t="n">
        <v>5919.485</v>
      </c>
      <c r="T13" s="51" t="n">
        <v>6519.485</v>
      </c>
      <c r="U13" s="63" t="n">
        <v>5222.935718</v>
      </c>
      <c r="V13" s="51" t="n">
        <v>5822.935718</v>
      </c>
      <c r="W13" s="63" t="n">
        <v>6342.136229</v>
      </c>
      <c r="X13" s="51" t="n">
        <v>6942.136229</v>
      </c>
      <c r="Y13" s="63" t="n">
        <v>5595.853328</v>
      </c>
      <c r="Z13" s="51" t="n">
        <v>6195.853328</v>
      </c>
      <c r="AA13" s="63" t="n">
        <v>6794.964756</v>
      </c>
      <c r="AB13" s="51" t="n">
        <v>7394.964756</v>
      </c>
      <c r="AC13" s="63" t="n">
        <v>5995.397256</v>
      </c>
      <c r="AD13" s="51" t="n">
        <v>6595.397256</v>
      </c>
      <c r="AE13" s="63" t="n">
        <v>7280.125239</v>
      </c>
      <c r="AF13" s="51" t="n">
        <v>7880.125239</v>
      </c>
      <c r="AG13" s="63"/>
      <c r="AH13" s="51"/>
      <c r="AI13" s="63"/>
      <c r="AJ13" s="51"/>
      <c r="AK13" s="63"/>
      <c r="AL13" s="51"/>
      <c r="AM13" s="63"/>
      <c r="AN13" s="51"/>
      <c r="AO13" s="63"/>
      <c r="AP13" s="51"/>
      <c r="AQ13" s="63"/>
      <c r="AR13" s="51"/>
      <c r="AS13" s="63"/>
      <c r="AT13" s="51"/>
      <c r="AU13" s="63"/>
      <c r="AV13" s="51"/>
      <c r="AW13" s="63"/>
      <c r="AX13" s="51"/>
      <c r="AY13" s="63"/>
      <c r="AZ13" s="51"/>
      <c r="BA13" s="63"/>
      <c r="BB13" s="51"/>
      <c r="BC13" s="63"/>
      <c r="BD13" s="51"/>
      <c r="BE13" s="63"/>
      <c r="BF13" s="51"/>
      <c r="BG13" s="63"/>
      <c r="BH13" s="51"/>
      <c r="BI13" s="63"/>
      <c r="BJ13" s="51"/>
      <c r="BK13" s="63"/>
      <c r="BL13" s="51"/>
      <c r="BM13" s="63"/>
      <c r="BN13" s="51"/>
      <c r="BO13" s="63"/>
      <c r="BP13" s="51"/>
      <c r="BQ13" s="63"/>
      <c r="BR13" s="51"/>
      <c r="BS13" s="63"/>
      <c r="BT13" s="51"/>
      <c r="BU13" s="63"/>
      <c r="BV13" s="51"/>
      <c r="BW13" s="63"/>
      <c r="BX13" s="51"/>
      <c r="BY13" s="63"/>
      <c r="BZ13" s="51"/>
      <c r="CA13" s="63"/>
      <c r="CB13" s="51"/>
      <c r="CC13" s="63"/>
      <c r="CD13" s="51"/>
      <c r="CE13" s="63"/>
      <c r="CF13" s="51"/>
      <c r="CG13" s="63"/>
      <c r="CH13" s="51"/>
      <c r="CI13" s="63"/>
      <c r="CJ13" s="51"/>
      <c r="CK13" s="63"/>
      <c r="CL13" s="51"/>
      <c r="CM13" s="63"/>
      <c r="CN13" s="51"/>
      <c r="CO13" s="63"/>
      <c r="CP13" s="51"/>
      <c r="CQ13" s="63"/>
      <c r="CR13" s="51"/>
      <c r="CS13" s="63"/>
      <c r="CT13" s="51"/>
      <c r="CU13" s="63"/>
      <c r="CV13" s="51"/>
      <c r="CW13" s="63"/>
      <c r="CX13" s="51"/>
      <c r="CY13" s="63"/>
      <c r="CZ13" s="51"/>
      <c r="DA13" s="63"/>
      <c r="DB13" s="51"/>
      <c r="DC13" s="63"/>
      <c r="DD13" s="51"/>
      <c r="DE13" s="63"/>
      <c r="DF13" s="51"/>
      <c r="DG13" s="63"/>
      <c r="DH13" s="51"/>
      <c r="DI13" s="63"/>
      <c r="DJ13" s="51"/>
      <c r="DK13" s="63"/>
      <c r="DL13" s="51"/>
      <c r="DM13" s="63"/>
      <c r="DN13" s="51"/>
      <c r="DO13" s="63"/>
      <c r="DP13" s="51"/>
      <c r="DQ13" s="63"/>
      <c r="DR13" s="51"/>
      <c r="DS13" s="63"/>
      <c r="DT13" s="51"/>
      <c r="DU13" s="63"/>
      <c r="DV13" s="51"/>
      <c r="DW13" s="63"/>
      <c r="DX13" s="51"/>
      <c r="DY13" s="63"/>
      <c r="DZ13" s="51"/>
      <c r="EA13" s="63"/>
      <c r="EB13" s="51"/>
      <c r="EC13" s="63"/>
      <c r="ED13" s="51"/>
      <c r="EE13" s="63"/>
      <c r="EF13" s="51"/>
      <c r="EG13" s="63"/>
      <c r="EH13" s="51"/>
      <c r="EI13" s="63"/>
      <c r="EJ13" s="51"/>
      <c r="EK13" s="63"/>
      <c r="EL13" s="51"/>
      <c r="EM13" s="63"/>
      <c r="EN13" s="51"/>
      <c r="EO13" s="63"/>
      <c r="EP13" s="51"/>
      <c r="EQ13" s="63"/>
      <c r="ER13" s="51"/>
      <c r="ES13" s="63"/>
      <c r="ET13" s="51"/>
      <c r="EU13" s="63"/>
      <c r="EV13" s="51"/>
      <c r="EW13" s="63"/>
      <c r="EX13" s="51"/>
      <c r="EY13" s="63"/>
      <c r="EZ13" s="51"/>
      <c r="FA13" s="63"/>
      <c r="FB13" s="51"/>
      <c r="FC13" s="63"/>
      <c r="FD13" s="51"/>
      <c r="FE13" s="63"/>
      <c r="FF13" s="51"/>
      <c r="FG13" s="63"/>
      <c r="FH13" s="51"/>
      <c r="FI13" s="63"/>
      <c r="FJ13" s="51"/>
      <c r="FK13" s="63"/>
      <c r="FL13" s="51"/>
      <c r="FM13" s="63"/>
      <c r="FN13" s="51"/>
      <c r="FO13" s="63"/>
      <c r="FP13" s="51"/>
      <c r="FQ13" s="63"/>
      <c r="FR13" s="51"/>
      <c r="FS13" s="63"/>
      <c r="FT13" s="51"/>
      <c r="FU13" s="63"/>
      <c r="FV13" s="51"/>
      <c r="FW13" s="63"/>
      <c r="FX13" s="51"/>
      <c r="FY13" s="63"/>
      <c r="FZ13" s="51"/>
      <c r="GA13" s="63"/>
      <c r="GB13" s="51"/>
      <c r="GC13" s="63"/>
      <c r="GD13" s="51"/>
      <c r="GE13" s="63"/>
      <c r="GF13" s="51"/>
      <c r="GG13" s="63"/>
      <c r="GH13" s="51"/>
      <c r="GI13" s="63"/>
      <c r="GJ13" s="51"/>
      <c r="GK13" s="63"/>
      <c r="GL13" s="51"/>
      <c r="GM13" s="63"/>
      <c r="GN13" s="51"/>
      <c r="GO13" s="63"/>
      <c r="GP13" s="51"/>
      <c r="GQ13" s="63"/>
      <c r="GR13" s="51"/>
      <c r="GS13" s="63"/>
      <c r="GT13" s="51"/>
      <c r="GU13" s="63"/>
      <c r="GV13" s="51"/>
      <c r="GW13" s="63"/>
      <c r="GX13" s="51"/>
      <c r="GY13" s="63"/>
      <c r="GZ13" s="51"/>
    </row>
    <row r="14" customFormat="false" ht="15" hidden="false" customHeight="false" outlineLevel="0" collapsed="false">
      <c r="A14" s="4" t="s">
        <v>93</v>
      </c>
      <c r="B14" s="36"/>
      <c r="C14" s="36"/>
      <c r="D14" s="49" t="s">
        <v>70</v>
      </c>
      <c r="E14" s="50"/>
      <c r="F14" s="4" t="s">
        <v>5</v>
      </c>
      <c r="G14" s="58" t="n">
        <v>0</v>
      </c>
      <c r="H14" s="16" t="str">
        <f aca="false">IF('Довідник категорій'!B7="","",'Довідник категорій'!B7)</f>
        <v>Premium Chalet</v>
      </c>
      <c r="I14" s="63" t="n">
        <v>7000</v>
      </c>
      <c r="J14" s="51" t="n">
        <v>9000</v>
      </c>
      <c r="K14" s="63" t="n">
        <v>11100</v>
      </c>
      <c r="L14" s="51" t="n">
        <v>13100</v>
      </c>
      <c r="M14" s="63" t="n">
        <v>7770</v>
      </c>
      <c r="N14" s="51" t="n">
        <v>9770</v>
      </c>
      <c r="O14" s="63" t="n">
        <v>9435</v>
      </c>
      <c r="P14" s="51" t="n">
        <v>11435</v>
      </c>
      <c r="Q14" s="63" t="n">
        <v>8324.778</v>
      </c>
      <c r="R14" s="51" t="n">
        <v>10324.778</v>
      </c>
      <c r="S14" s="63" t="n">
        <v>10108.659</v>
      </c>
      <c r="T14" s="51" t="n">
        <v>12108.659</v>
      </c>
      <c r="U14" s="63" t="n">
        <v>8919.167149</v>
      </c>
      <c r="V14" s="51" t="n">
        <v>10919.16715</v>
      </c>
      <c r="W14" s="63" t="n">
        <v>10830.41725</v>
      </c>
      <c r="X14" s="51" t="n">
        <v>12830.41725</v>
      </c>
      <c r="Y14" s="63" t="n">
        <v>9555.995684</v>
      </c>
      <c r="Z14" s="51" t="n">
        <v>11555.99568</v>
      </c>
      <c r="AA14" s="63" t="n">
        <v>11603.70904</v>
      </c>
      <c r="AB14" s="51" t="n">
        <v>13603.70904</v>
      </c>
      <c r="AC14" s="63" t="n">
        <v>10238.29378</v>
      </c>
      <c r="AD14" s="51" t="n">
        <v>12238.29378</v>
      </c>
      <c r="AE14" s="63" t="n">
        <v>12432.21387</v>
      </c>
      <c r="AF14" s="51" t="n">
        <v>14432.21387</v>
      </c>
      <c r="AG14" s="63"/>
      <c r="AH14" s="51"/>
      <c r="AI14" s="63"/>
      <c r="AJ14" s="51"/>
      <c r="AK14" s="63"/>
      <c r="AL14" s="51"/>
      <c r="AM14" s="63"/>
      <c r="AN14" s="51"/>
      <c r="AO14" s="63"/>
      <c r="AP14" s="51"/>
      <c r="AQ14" s="63"/>
      <c r="AR14" s="51"/>
      <c r="AS14" s="63"/>
      <c r="AT14" s="51"/>
      <c r="AU14" s="63"/>
      <c r="AV14" s="51"/>
      <c r="AW14" s="63"/>
      <c r="AX14" s="51"/>
      <c r="AY14" s="63"/>
      <c r="AZ14" s="51"/>
      <c r="BA14" s="63"/>
      <c r="BB14" s="51"/>
      <c r="BC14" s="63"/>
      <c r="BD14" s="51"/>
      <c r="BE14" s="63"/>
      <c r="BF14" s="51"/>
      <c r="BG14" s="63"/>
      <c r="BH14" s="51"/>
      <c r="BI14" s="63"/>
      <c r="BJ14" s="51"/>
      <c r="BK14" s="63"/>
      <c r="BL14" s="51"/>
      <c r="BM14" s="63"/>
      <c r="BN14" s="51"/>
      <c r="BO14" s="63"/>
      <c r="BP14" s="51"/>
      <c r="BQ14" s="63"/>
      <c r="BR14" s="51"/>
      <c r="BS14" s="63"/>
      <c r="BT14" s="51"/>
      <c r="BU14" s="63"/>
      <c r="BV14" s="51"/>
      <c r="BW14" s="63"/>
      <c r="BX14" s="51"/>
      <c r="BY14" s="63"/>
      <c r="BZ14" s="51"/>
      <c r="CA14" s="63"/>
      <c r="CB14" s="51"/>
      <c r="CC14" s="63"/>
      <c r="CD14" s="51"/>
      <c r="CE14" s="63"/>
      <c r="CF14" s="51"/>
      <c r="CG14" s="63"/>
      <c r="CH14" s="51"/>
      <c r="CI14" s="63"/>
      <c r="CJ14" s="51"/>
      <c r="CK14" s="63"/>
      <c r="CL14" s="51"/>
      <c r="CM14" s="63"/>
      <c r="CN14" s="51"/>
      <c r="CO14" s="63"/>
      <c r="CP14" s="51"/>
      <c r="CQ14" s="63"/>
      <c r="CR14" s="51"/>
      <c r="CS14" s="63"/>
      <c r="CT14" s="51"/>
      <c r="CU14" s="63"/>
      <c r="CV14" s="51"/>
      <c r="CW14" s="63"/>
      <c r="CX14" s="51"/>
      <c r="CY14" s="63"/>
      <c r="CZ14" s="51"/>
      <c r="DA14" s="63"/>
      <c r="DB14" s="51"/>
      <c r="DC14" s="63"/>
      <c r="DD14" s="51"/>
      <c r="DE14" s="63"/>
      <c r="DF14" s="51"/>
      <c r="DG14" s="63"/>
      <c r="DH14" s="51"/>
      <c r="DI14" s="63"/>
      <c r="DJ14" s="51"/>
      <c r="DK14" s="63"/>
      <c r="DL14" s="51"/>
      <c r="DM14" s="63"/>
      <c r="DN14" s="51"/>
      <c r="DO14" s="63"/>
      <c r="DP14" s="51"/>
      <c r="DQ14" s="63"/>
      <c r="DR14" s="51"/>
      <c r="DS14" s="63"/>
      <c r="DT14" s="51"/>
      <c r="DU14" s="63"/>
      <c r="DV14" s="51"/>
      <c r="DW14" s="63"/>
      <c r="DX14" s="51"/>
      <c r="DY14" s="63"/>
      <c r="DZ14" s="51"/>
      <c r="EA14" s="63"/>
      <c r="EB14" s="51"/>
      <c r="EC14" s="63"/>
      <c r="ED14" s="51"/>
      <c r="EE14" s="63"/>
      <c r="EF14" s="51"/>
      <c r="EG14" s="63"/>
      <c r="EH14" s="51"/>
      <c r="EI14" s="63"/>
      <c r="EJ14" s="51"/>
      <c r="EK14" s="63"/>
      <c r="EL14" s="51"/>
      <c r="EM14" s="63"/>
      <c r="EN14" s="51"/>
      <c r="EO14" s="63"/>
      <c r="EP14" s="51"/>
      <c r="EQ14" s="63"/>
      <c r="ER14" s="51"/>
      <c r="ES14" s="63"/>
      <c r="ET14" s="51"/>
      <c r="EU14" s="63"/>
      <c r="EV14" s="51"/>
      <c r="EW14" s="63"/>
      <c r="EX14" s="51"/>
      <c r="EY14" s="63"/>
      <c r="EZ14" s="51"/>
      <c r="FA14" s="63"/>
      <c r="FB14" s="51"/>
      <c r="FC14" s="63"/>
      <c r="FD14" s="51"/>
      <c r="FE14" s="63"/>
      <c r="FF14" s="51"/>
      <c r="FG14" s="63"/>
      <c r="FH14" s="51"/>
      <c r="FI14" s="63"/>
      <c r="FJ14" s="51"/>
      <c r="FK14" s="63"/>
      <c r="FL14" s="51"/>
      <c r="FM14" s="63"/>
      <c r="FN14" s="51"/>
      <c r="FO14" s="63"/>
      <c r="FP14" s="51"/>
      <c r="FQ14" s="63"/>
      <c r="FR14" s="51"/>
      <c r="FS14" s="63"/>
      <c r="FT14" s="51"/>
      <c r="FU14" s="63"/>
      <c r="FV14" s="51"/>
      <c r="FW14" s="63"/>
      <c r="FX14" s="51"/>
      <c r="FY14" s="63"/>
      <c r="FZ14" s="51"/>
      <c r="GA14" s="63"/>
      <c r="GB14" s="51"/>
      <c r="GC14" s="63"/>
      <c r="GD14" s="51"/>
      <c r="GE14" s="63"/>
      <c r="GF14" s="51"/>
      <c r="GG14" s="63"/>
      <c r="GH14" s="51"/>
      <c r="GI14" s="63"/>
      <c r="GJ14" s="51"/>
      <c r="GK14" s="63"/>
      <c r="GL14" s="51"/>
      <c r="GM14" s="63"/>
      <c r="GN14" s="51"/>
      <c r="GO14" s="63"/>
      <c r="GP14" s="51"/>
      <c r="GQ14" s="63"/>
      <c r="GR14" s="51"/>
      <c r="GS14" s="63"/>
      <c r="GT14" s="51"/>
      <c r="GU14" s="63"/>
      <c r="GV14" s="51"/>
      <c r="GW14" s="63"/>
      <c r="GX14" s="51"/>
      <c r="GY14" s="63"/>
      <c r="GZ14" s="51"/>
    </row>
    <row r="15" customFormat="false" ht="15" hidden="false" customHeight="false" outlineLevel="0" collapsed="false">
      <c r="A15" s="64" t="s">
        <v>94</v>
      </c>
      <c r="B15" s="65"/>
      <c r="C15" s="65"/>
      <c r="D15" s="66" t="s">
        <v>70</v>
      </c>
      <c r="E15" s="67"/>
      <c r="F15" s="4" t="s">
        <v>95</v>
      </c>
      <c r="G15" s="58" t="n">
        <v>0.1</v>
      </c>
      <c r="H15" s="23" t="str">
        <f aca="false">IF('Довідник категорій'!B8="","",'Довідник категорій'!B8)</f>
        <v/>
      </c>
      <c r="I15" s="63"/>
      <c r="J15" s="51"/>
      <c r="K15" s="63"/>
      <c r="L15" s="51"/>
      <c r="M15" s="63"/>
      <c r="N15" s="51"/>
      <c r="O15" s="63"/>
      <c r="P15" s="51"/>
      <c r="Q15" s="63"/>
      <c r="R15" s="51"/>
      <c r="S15" s="63"/>
      <c r="T15" s="51"/>
      <c r="U15" s="63"/>
      <c r="V15" s="51"/>
      <c r="W15" s="63"/>
      <c r="X15" s="51"/>
      <c r="Y15" s="63"/>
      <c r="Z15" s="51"/>
      <c r="AA15" s="63"/>
      <c r="AB15" s="51"/>
      <c r="AC15" s="63"/>
      <c r="AD15" s="51"/>
      <c r="AE15" s="63"/>
      <c r="AF15" s="51"/>
      <c r="AG15" s="63"/>
      <c r="AH15" s="51"/>
      <c r="AI15" s="63"/>
      <c r="AJ15" s="51"/>
      <c r="AK15" s="63"/>
      <c r="AL15" s="51"/>
      <c r="AM15" s="63"/>
      <c r="AN15" s="51"/>
      <c r="AO15" s="63"/>
      <c r="AP15" s="51"/>
      <c r="AQ15" s="63"/>
      <c r="AR15" s="51"/>
      <c r="AS15" s="63"/>
      <c r="AT15" s="51"/>
      <c r="AU15" s="63"/>
      <c r="AV15" s="51"/>
      <c r="AW15" s="63"/>
      <c r="AX15" s="51"/>
      <c r="AY15" s="63"/>
      <c r="AZ15" s="51"/>
      <c r="BA15" s="63"/>
      <c r="BB15" s="51"/>
      <c r="BC15" s="63"/>
      <c r="BD15" s="51"/>
      <c r="BE15" s="63"/>
      <c r="BF15" s="51"/>
      <c r="BG15" s="63"/>
      <c r="BH15" s="51"/>
      <c r="BI15" s="63"/>
      <c r="BJ15" s="51"/>
      <c r="BK15" s="63"/>
      <c r="BL15" s="51"/>
      <c r="BM15" s="63"/>
      <c r="BN15" s="51"/>
      <c r="BO15" s="63"/>
      <c r="BP15" s="51"/>
      <c r="BQ15" s="63"/>
      <c r="BR15" s="51"/>
      <c r="BS15" s="63"/>
      <c r="BT15" s="51"/>
      <c r="BU15" s="63"/>
      <c r="BV15" s="51"/>
      <c r="BW15" s="63"/>
      <c r="BX15" s="51"/>
      <c r="BY15" s="63"/>
      <c r="BZ15" s="51"/>
      <c r="CA15" s="63"/>
      <c r="CB15" s="51"/>
      <c r="CC15" s="63"/>
      <c r="CD15" s="51"/>
      <c r="CE15" s="63"/>
      <c r="CF15" s="51"/>
      <c r="CG15" s="63"/>
      <c r="CH15" s="51"/>
      <c r="CI15" s="63"/>
      <c r="CJ15" s="51"/>
      <c r="CK15" s="63"/>
      <c r="CL15" s="51"/>
      <c r="CM15" s="63"/>
      <c r="CN15" s="51"/>
      <c r="CO15" s="63"/>
      <c r="CP15" s="51"/>
      <c r="CQ15" s="63"/>
      <c r="CR15" s="51"/>
      <c r="CS15" s="63"/>
      <c r="CT15" s="51"/>
      <c r="CU15" s="63"/>
      <c r="CV15" s="51"/>
      <c r="CW15" s="63"/>
      <c r="CX15" s="51"/>
      <c r="CY15" s="63"/>
      <c r="CZ15" s="51"/>
      <c r="DA15" s="63"/>
      <c r="DB15" s="51"/>
      <c r="DC15" s="63"/>
      <c r="DD15" s="51"/>
      <c r="DE15" s="63"/>
      <c r="DF15" s="51"/>
      <c r="DG15" s="63"/>
      <c r="DH15" s="51"/>
      <c r="DI15" s="63"/>
      <c r="DJ15" s="51"/>
      <c r="DK15" s="63"/>
      <c r="DL15" s="51"/>
      <c r="DM15" s="63"/>
      <c r="DN15" s="51"/>
      <c r="DO15" s="63"/>
      <c r="DP15" s="51"/>
      <c r="DQ15" s="63"/>
      <c r="DR15" s="51"/>
      <c r="DS15" s="63"/>
      <c r="DT15" s="51"/>
      <c r="DU15" s="63"/>
      <c r="DV15" s="51"/>
      <c r="DW15" s="63"/>
      <c r="DX15" s="51"/>
      <c r="DY15" s="63"/>
      <c r="DZ15" s="51"/>
      <c r="EA15" s="63"/>
      <c r="EB15" s="51"/>
      <c r="EC15" s="63"/>
      <c r="ED15" s="51"/>
      <c r="EE15" s="63"/>
      <c r="EF15" s="51"/>
      <c r="EG15" s="63"/>
      <c r="EH15" s="51"/>
      <c r="EI15" s="63"/>
      <c r="EJ15" s="51"/>
      <c r="EK15" s="63"/>
      <c r="EL15" s="51"/>
      <c r="EM15" s="63"/>
      <c r="EN15" s="51"/>
      <c r="EO15" s="63"/>
      <c r="EP15" s="51"/>
      <c r="EQ15" s="63"/>
      <c r="ER15" s="51"/>
      <c r="ES15" s="63"/>
      <c r="ET15" s="51"/>
      <c r="EU15" s="63"/>
      <c r="EV15" s="51"/>
      <c r="EW15" s="63"/>
      <c r="EX15" s="51"/>
      <c r="EY15" s="63"/>
      <c r="EZ15" s="51"/>
      <c r="FA15" s="63"/>
      <c r="FB15" s="51"/>
      <c r="FC15" s="63"/>
      <c r="FD15" s="51"/>
      <c r="FE15" s="63"/>
      <c r="FF15" s="51"/>
      <c r="FG15" s="63"/>
      <c r="FH15" s="51"/>
      <c r="FI15" s="63"/>
      <c r="FJ15" s="51"/>
      <c r="FK15" s="63"/>
      <c r="FL15" s="51"/>
      <c r="FM15" s="63"/>
      <c r="FN15" s="51"/>
      <c r="FO15" s="63"/>
      <c r="FP15" s="51"/>
      <c r="FQ15" s="63"/>
      <c r="FR15" s="51"/>
      <c r="FS15" s="63"/>
      <c r="FT15" s="51"/>
      <c r="FU15" s="63"/>
      <c r="FV15" s="51"/>
      <c r="FW15" s="63"/>
      <c r="FX15" s="51"/>
      <c r="FY15" s="63"/>
      <c r="FZ15" s="51"/>
      <c r="GA15" s="63"/>
      <c r="GB15" s="51"/>
      <c r="GC15" s="63"/>
      <c r="GD15" s="51"/>
      <c r="GE15" s="63"/>
      <c r="GF15" s="51"/>
      <c r="GG15" s="63"/>
      <c r="GH15" s="51"/>
      <c r="GI15" s="63"/>
      <c r="GJ15" s="51"/>
      <c r="GK15" s="63"/>
      <c r="GL15" s="51"/>
      <c r="GM15" s="63"/>
      <c r="GN15" s="51"/>
      <c r="GO15" s="63"/>
      <c r="GP15" s="51"/>
      <c r="GQ15" s="63"/>
      <c r="GR15" s="51"/>
      <c r="GS15" s="63"/>
      <c r="GT15" s="51"/>
      <c r="GU15" s="63"/>
      <c r="GV15" s="51"/>
      <c r="GW15" s="63"/>
      <c r="GX15" s="51"/>
      <c r="GY15" s="63"/>
      <c r="GZ15" s="51"/>
    </row>
    <row r="16" customFormat="false" ht="15" hidden="false" customHeight="false" outlineLevel="0" collapsed="false">
      <c r="A16" s="4" t="s">
        <v>96</v>
      </c>
      <c r="B16" s="36"/>
      <c r="C16" s="36"/>
      <c r="D16" s="49" t="s">
        <v>70</v>
      </c>
      <c r="E16" s="50"/>
      <c r="F16" s="4" t="s">
        <v>97</v>
      </c>
      <c r="G16" s="58" t="n">
        <v>0.2</v>
      </c>
      <c r="H16" s="16" t="str">
        <f aca="false">IF('Довідник категорій'!B9="","",'Довідник категорій'!B9)</f>
        <v/>
      </c>
      <c r="I16" s="63"/>
      <c r="J16" s="51"/>
      <c r="K16" s="63"/>
      <c r="L16" s="51"/>
      <c r="M16" s="63"/>
      <c r="N16" s="51"/>
      <c r="O16" s="63"/>
      <c r="P16" s="51"/>
      <c r="Q16" s="63"/>
      <c r="R16" s="51"/>
      <c r="S16" s="63"/>
      <c r="T16" s="51"/>
      <c r="U16" s="63"/>
      <c r="V16" s="51"/>
      <c r="W16" s="63"/>
      <c r="X16" s="51"/>
      <c r="Y16" s="63"/>
      <c r="Z16" s="51"/>
      <c r="AA16" s="63"/>
      <c r="AB16" s="51"/>
      <c r="AC16" s="63"/>
      <c r="AD16" s="51"/>
      <c r="AE16" s="63"/>
      <c r="AF16" s="51"/>
      <c r="AG16" s="63"/>
      <c r="AH16" s="51"/>
      <c r="AI16" s="63"/>
      <c r="AJ16" s="51"/>
      <c r="AK16" s="63"/>
      <c r="AL16" s="51"/>
      <c r="AM16" s="63"/>
      <c r="AN16" s="51"/>
      <c r="AO16" s="63"/>
      <c r="AP16" s="51"/>
      <c r="AQ16" s="63"/>
      <c r="AR16" s="51"/>
      <c r="AS16" s="63"/>
      <c r="AT16" s="51"/>
      <c r="AU16" s="63"/>
      <c r="AV16" s="51"/>
      <c r="AW16" s="63"/>
      <c r="AX16" s="51"/>
      <c r="AY16" s="63"/>
      <c r="AZ16" s="51"/>
      <c r="BA16" s="63"/>
      <c r="BB16" s="51"/>
      <c r="BC16" s="63"/>
      <c r="BD16" s="51"/>
      <c r="BE16" s="63"/>
      <c r="BF16" s="51"/>
      <c r="BG16" s="63"/>
      <c r="BH16" s="51"/>
      <c r="BI16" s="63"/>
      <c r="BJ16" s="51"/>
      <c r="BK16" s="63"/>
      <c r="BL16" s="51"/>
      <c r="BM16" s="63"/>
      <c r="BN16" s="51"/>
      <c r="BO16" s="63"/>
      <c r="BP16" s="51"/>
      <c r="BQ16" s="63"/>
      <c r="BR16" s="51"/>
      <c r="BS16" s="63"/>
      <c r="BT16" s="51"/>
      <c r="BU16" s="63"/>
      <c r="BV16" s="51"/>
      <c r="BW16" s="63"/>
      <c r="BX16" s="51"/>
      <c r="BY16" s="63"/>
      <c r="BZ16" s="51"/>
      <c r="CA16" s="63"/>
      <c r="CB16" s="51"/>
      <c r="CC16" s="63"/>
      <c r="CD16" s="51"/>
      <c r="CE16" s="63"/>
      <c r="CF16" s="51"/>
      <c r="CG16" s="63"/>
      <c r="CH16" s="51"/>
      <c r="CI16" s="63"/>
      <c r="CJ16" s="51"/>
      <c r="CK16" s="63"/>
      <c r="CL16" s="51"/>
      <c r="CM16" s="63"/>
      <c r="CN16" s="51"/>
      <c r="CO16" s="63"/>
      <c r="CP16" s="51"/>
      <c r="CQ16" s="63"/>
      <c r="CR16" s="51"/>
      <c r="CS16" s="63"/>
      <c r="CT16" s="51"/>
      <c r="CU16" s="63"/>
      <c r="CV16" s="51"/>
      <c r="CW16" s="63"/>
      <c r="CX16" s="51"/>
      <c r="CY16" s="63"/>
      <c r="CZ16" s="51"/>
      <c r="DA16" s="63"/>
      <c r="DB16" s="51"/>
      <c r="DC16" s="63"/>
      <c r="DD16" s="51"/>
      <c r="DE16" s="63"/>
      <c r="DF16" s="51"/>
      <c r="DG16" s="63"/>
      <c r="DH16" s="51"/>
      <c r="DI16" s="63"/>
      <c r="DJ16" s="51"/>
      <c r="DK16" s="63"/>
      <c r="DL16" s="51"/>
      <c r="DM16" s="63"/>
      <c r="DN16" s="51"/>
      <c r="DO16" s="63"/>
      <c r="DP16" s="51"/>
      <c r="DQ16" s="63"/>
      <c r="DR16" s="51"/>
      <c r="DS16" s="63"/>
      <c r="DT16" s="51"/>
      <c r="DU16" s="63"/>
      <c r="DV16" s="51"/>
      <c r="DW16" s="63"/>
      <c r="DX16" s="51"/>
      <c r="DY16" s="63"/>
      <c r="DZ16" s="51"/>
      <c r="EA16" s="63"/>
      <c r="EB16" s="51"/>
      <c r="EC16" s="63"/>
      <c r="ED16" s="51"/>
      <c r="EE16" s="63"/>
      <c r="EF16" s="51"/>
      <c r="EG16" s="63"/>
      <c r="EH16" s="51"/>
      <c r="EI16" s="63"/>
      <c r="EJ16" s="51"/>
      <c r="EK16" s="63"/>
      <c r="EL16" s="51"/>
      <c r="EM16" s="63"/>
      <c r="EN16" s="51"/>
      <c r="EO16" s="63"/>
      <c r="EP16" s="51"/>
      <c r="EQ16" s="63"/>
      <c r="ER16" s="51"/>
      <c r="ES16" s="63"/>
      <c r="ET16" s="51"/>
      <c r="EU16" s="63"/>
      <c r="EV16" s="51"/>
      <c r="EW16" s="63"/>
      <c r="EX16" s="51"/>
      <c r="EY16" s="63"/>
      <c r="EZ16" s="51"/>
      <c r="FA16" s="63"/>
      <c r="FB16" s="51"/>
      <c r="FC16" s="63"/>
      <c r="FD16" s="51"/>
      <c r="FE16" s="63"/>
      <c r="FF16" s="51"/>
      <c r="FG16" s="63"/>
      <c r="FH16" s="51"/>
      <c r="FI16" s="63"/>
      <c r="FJ16" s="51"/>
      <c r="FK16" s="63"/>
      <c r="FL16" s="51"/>
      <c r="FM16" s="63"/>
      <c r="FN16" s="51"/>
      <c r="FO16" s="63"/>
      <c r="FP16" s="51"/>
      <c r="FQ16" s="63"/>
      <c r="FR16" s="51"/>
      <c r="FS16" s="63"/>
      <c r="FT16" s="51"/>
      <c r="FU16" s="63"/>
      <c r="FV16" s="51"/>
      <c r="FW16" s="63"/>
      <c r="FX16" s="51"/>
      <c r="FY16" s="63"/>
      <c r="FZ16" s="51"/>
      <c r="GA16" s="63"/>
      <c r="GB16" s="51"/>
      <c r="GC16" s="63"/>
      <c r="GD16" s="51"/>
      <c r="GE16" s="63"/>
      <c r="GF16" s="51"/>
      <c r="GG16" s="63"/>
      <c r="GH16" s="51"/>
      <c r="GI16" s="63"/>
      <c r="GJ16" s="51"/>
      <c r="GK16" s="63"/>
      <c r="GL16" s="51"/>
      <c r="GM16" s="63"/>
      <c r="GN16" s="51"/>
      <c r="GO16" s="63"/>
      <c r="GP16" s="51"/>
      <c r="GQ16" s="63"/>
      <c r="GR16" s="51"/>
      <c r="GS16" s="63"/>
      <c r="GT16" s="51"/>
      <c r="GU16" s="63"/>
      <c r="GV16" s="51"/>
      <c r="GW16" s="63"/>
      <c r="GX16" s="51"/>
      <c r="GY16" s="63"/>
      <c r="GZ16" s="51"/>
    </row>
    <row r="17" customFormat="false" ht="15" hidden="false" customHeight="false" outlineLevel="0" collapsed="false">
      <c r="A17" s="54" t="s">
        <v>98</v>
      </c>
      <c r="B17" s="55"/>
      <c r="C17" s="55"/>
      <c r="D17" s="56" t="s">
        <v>70</v>
      </c>
      <c r="E17" s="57"/>
      <c r="F17" s="4" t="s">
        <v>99</v>
      </c>
      <c r="G17" s="58" t="n">
        <v>0.15</v>
      </c>
      <c r="H17" s="23" t="str">
        <f aca="false">IF('Довідник категорій'!B10="","",'Довідник категорій'!B10)</f>
        <v/>
      </c>
      <c r="I17" s="63"/>
      <c r="J17" s="51"/>
      <c r="K17" s="63"/>
      <c r="L17" s="51"/>
      <c r="M17" s="63"/>
      <c r="N17" s="51"/>
      <c r="O17" s="63"/>
      <c r="P17" s="51"/>
      <c r="Q17" s="63"/>
      <c r="R17" s="51"/>
      <c r="S17" s="63"/>
      <c r="T17" s="51"/>
      <c r="U17" s="63"/>
      <c r="V17" s="51"/>
      <c r="W17" s="63"/>
      <c r="X17" s="51"/>
      <c r="Y17" s="63"/>
      <c r="Z17" s="51"/>
      <c r="AA17" s="63"/>
      <c r="AB17" s="51"/>
      <c r="AC17" s="63"/>
      <c r="AD17" s="51"/>
      <c r="AE17" s="63"/>
      <c r="AF17" s="51"/>
      <c r="AG17" s="63"/>
      <c r="AH17" s="51"/>
      <c r="AI17" s="63"/>
      <c r="AJ17" s="51"/>
      <c r="AK17" s="63"/>
      <c r="AL17" s="51"/>
      <c r="AM17" s="63"/>
      <c r="AN17" s="51"/>
      <c r="AO17" s="63"/>
      <c r="AP17" s="51"/>
      <c r="AQ17" s="63"/>
      <c r="AR17" s="51"/>
      <c r="AS17" s="63"/>
      <c r="AT17" s="51"/>
      <c r="AU17" s="63"/>
      <c r="AV17" s="51"/>
      <c r="AW17" s="63"/>
      <c r="AX17" s="51"/>
      <c r="AY17" s="63"/>
      <c r="AZ17" s="51"/>
      <c r="BA17" s="63"/>
      <c r="BB17" s="51"/>
      <c r="BC17" s="63"/>
      <c r="BD17" s="51"/>
      <c r="BE17" s="63"/>
      <c r="BF17" s="51"/>
      <c r="BG17" s="63"/>
      <c r="BH17" s="51"/>
      <c r="BI17" s="63"/>
      <c r="BJ17" s="51"/>
      <c r="BK17" s="63"/>
      <c r="BL17" s="51"/>
      <c r="BM17" s="63"/>
      <c r="BN17" s="51"/>
      <c r="BO17" s="63"/>
      <c r="BP17" s="51"/>
      <c r="BQ17" s="63"/>
      <c r="BR17" s="51"/>
      <c r="BS17" s="63"/>
      <c r="BT17" s="51"/>
      <c r="BU17" s="63"/>
      <c r="BV17" s="51"/>
      <c r="BW17" s="63"/>
      <c r="BX17" s="51"/>
      <c r="BY17" s="63"/>
      <c r="BZ17" s="51"/>
      <c r="CA17" s="63"/>
      <c r="CB17" s="51"/>
      <c r="CC17" s="63"/>
      <c r="CD17" s="51"/>
      <c r="CE17" s="63"/>
      <c r="CF17" s="51"/>
      <c r="CG17" s="63"/>
      <c r="CH17" s="51"/>
      <c r="CI17" s="63"/>
      <c r="CJ17" s="51"/>
      <c r="CK17" s="63"/>
      <c r="CL17" s="51"/>
      <c r="CM17" s="63"/>
      <c r="CN17" s="51"/>
      <c r="CO17" s="63"/>
      <c r="CP17" s="51"/>
      <c r="CQ17" s="63"/>
      <c r="CR17" s="51"/>
      <c r="CS17" s="63"/>
      <c r="CT17" s="51"/>
      <c r="CU17" s="63"/>
      <c r="CV17" s="51"/>
      <c r="CW17" s="63"/>
      <c r="CX17" s="51"/>
      <c r="CY17" s="63"/>
      <c r="CZ17" s="51"/>
      <c r="DA17" s="63"/>
      <c r="DB17" s="51"/>
      <c r="DC17" s="63"/>
      <c r="DD17" s="51"/>
      <c r="DE17" s="63"/>
      <c r="DF17" s="51"/>
      <c r="DG17" s="63"/>
      <c r="DH17" s="51"/>
      <c r="DI17" s="63"/>
      <c r="DJ17" s="51"/>
      <c r="DK17" s="63"/>
      <c r="DL17" s="51"/>
      <c r="DM17" s="63"/>
      <c r="DN17" s="51"/>
      <c r="DO17" s="63"/>
      <c r="DP17" s="51"/>
      <c r="DQ17" s="63"/>
      <c r="DR17" s="51"/>
      <c r="DS17" s="63"/>
      <c r="DT17" s="51"/>
      <c r="DU17" s="63"/>
      <c r="DV17" s="51"/>
      <c r="DW17" s="63"/>
      <c r="DX17" s="51"/>
      <c r="DY17" s="63"/>
      <c r="DZ17" s="51"/>
      <c r="EA17" s="63"/>
      <c r="EB17" s="51"/>
      <c r="EC17" s="63"/>
      <c r="ED17" s="51"/>
      <c r="EE17" s="63"/>
      <c r="EF17" s="51"/>
      <c r="EG17" s="63"/>
      <c r="EH17" s="51"/>
      <c r="EI17" s="63"/>
      <c r="EJ17" s="51"/>
      <c r="EK17" s="63"/>
      <c r="EL17" s="51"/>
      <c r="EM17" s="63"/>
      <c r="EN17" s="51"/>
      <c r="EO17" s="63"/>
      <c r="EP17" s="51"/>
      <c r="EQ17" s="63"/>
      <c r="ER17" s="51"/>
      <c r="ES17" s="63"/>
      <c r="ET17" s="51"/>
      <c r="EU17" s="63"/>
      <c r="EV17" s="51"/>
      <c r="EW17" s="63"/>
      <c r="EX17" s="51"/>
      <c r="EY17" s="63"/>
      <c r="EZ17" s="51"/>
      <c r="FA17" s="63"/>
      <c r="FB17" s="51"/>
      <c r="FC17" s="63"/>
      <c r="FD17" s="51"/>
      <c r="FE17" s="63"/>
      <c r="FF17" s="51"/>
      <c r="FG17" s="63"/>
      <c r="FH17" s="51"/>
      <c r="FI17" s="63"/>
      <c r="FJ17" s="51"/>
      <c r="FK17" s="63"/>
      <c r="FL17" s="51"/>
      <c r="FM17" s="63"/>
      <c r="FN17" s="51"/>
      <c r="FO17" s="63"/>
      <c r="FP17" s="51"/>
      <c r="FQ17" s="63"/>
      <c r="FR17" s="51"/>
      <c r="FS17" s="63"/>
      <c r="FT17" s="51"/>
      <c r="FU17" s="63"/>
      <c r="FV17" s="51"/>
      <c r="FW17" s="63"/>
      <c r="FX17" s="51"/>
      <c r="FY17" s="63"/>
      <c r="FZ17" s="51"/>
      <c r="GA17" s="63"/>
      <c r="GB17" s="51"/>
      <c r="GC17" s="63"/>
      <c r="GD17" s="51"/>
      <c r="GE17" s="63"/>
      <c r="GF17" s="51"/>
      <c r="GG17" s="63"/>
      <c r="GH17" s="51"/>
      <c r="GI17" s="63"/>
      <c r="GJ17" s="51"/>
      <c r="GK17" s="63"/>
      <c r="GL17" s="51"/>
      <c r="GM17" s="63"/>
      <c r="GN17" s="51"/>
      <c r="GO17" s="63"/>
      <c r="GP17" s="51"/>
      <c r="GQ17" s="63"/>
      <c r="GR17" s="51"/>
      <c r="GS17" s="63"/>
      <c r="GT17" s="51"/>
      <c r="GU17" s="63"/>
      <c r="GV17" s="51"/>
      <c r="GW17" s="63"/>
      <c r="GX17" s="51"/>
      <c r="GY17" s="63"/>
      <c r="GZ17" s="51"/>
    </row>
    <row r="18" customFormat="false" ht="15" hidden="false" customHeight="false" outlineLevel="0" collapsed="false">
      <c r="A18" s="4"/>
      <c r="B18" s="36"/>
      <c r="C18" s="36"/>
      <c r="D18" s="49"/>
      <c r="E18" s="50"/>
      <c r="F18" s="4" t="s">
        <v>100</v>
      </c>
      <c r="G18" s="58" t="n">
        <v>0.3</v>
      </c>
      <c r="H18" s="16" t="str">
        <f aca="false">IF('Довідник категорій'!B11="","",'Довідник категорій'!B11)</f>
        <v/>
      </c>
      <c r="I18" s="63"/>
      <c r="J18" s="51"/>
      <c r="K18" s="63"/>
      <c r="L18" s="51"/>
      <c r="M18" s="63"/>
      <c r="N18" s="51"/>
      <c r="O18" s="63"/>
      <c r="P18" s="51"/>
      <c r="Q18" s="63"/>
      <c r="R18" s="51"/>
      <c r="S18" s="63"/>
      <c r="T18" s="51"/>
      <c r="U18" s="63"/>
      <c r="V18" s="51"/>
      <c r="W18" s="63"/>
      <c r="X18" s="51"/>
      <c r="Y18" s="63"/>
      <c r="Z18" s="51"/>
      <c r="AA18" s="63"/>
      <c r="AB18" s="51"/>
      <c r="AC18" s="63"/>
      <c r="AD18" s="51"/>
      <c r="AE18" s="63"/>
      <c r="AF18" s="51"/>
      <c r="AG18" s="63"/>
      <c r="AH18" s="51"/>
      <c r="AI18" s="63"/>
      <c r="AJ18" s="51"/>
      <c r="AK18" s="63"/>
      <c r="AL18" s="51"/>
      <c r="AM18" s="63"/>
      <c r="AN18" s="51"/>
      <c r="AO18" s="63"/>
      <c r="AP18" s="51"/>
      <c r="AQ18" s="63"/>
      <c r="AR18" s="51"/>
      <c r="AS18" s="63"/>
      <c r="AT18" s="51"/>
      <c r="AU18" s="63"/>
      <c r="AV18" s="51"/>
      <c r="AW18" s="63"/>
      <c r="AX18" s="51"/>
      <c r="AY18" s="63"/>
      <c r="AZ18" s="51"/>
      <c r="BA18" s="63"/>
      <c r="BB18" s="51"/>
      <c r="BC18" s="63"/>
      <c r="BD18" s="51"/>
      <c r="BE18" s="63"/>
      <c r="BF18" s="51"/>
      <c r="BG18" s="63"/>
      <c r="BH18" s="51"/>
      <c r="BI18" s="63"/>
      <c r="BJ18" s="51"/>
      <c r="BK18" s="63"/>
      <c r="BL18" s="51"/>
      <c r="BM18" s="63"/>
      <c r="BN18" s="51"/>
      <c r="BO18" s="63"/>
      <c r="BP18" s="51"/>
      <c r="BQ18" s="63"/>
      <c r="BR18" s="51"/>
      <c r="BS18" s="63"/>
      <c r="BT18" s="51"/>
      <c r="BU18" s="63"/>
      <c r="BV18" s="51"/>
      <c r="BW18" s="63"/>
      <c r="BX18" s="51"/>
      <c r="BY18" s="63"/>
      <c r="BZ18" s="51"/>
      <c r="CA18" s="63"/>
      <c r="CB18" s="51"/>
      <c r="CC18" s="63"/>
      <c r="CD18" s="51"/>
      <c r="CE18" s="63"/>
      <c r="CF18" s="51"/>
      <c r="CG18" s="63"/>
      <c r="CH18" s="51"/>
      <c r="CI18" s="63"/>
      <c r="CJ18" s="51"/>
      <c r="CK18" s="63"/>
      <c r="CL18" s="51"/>
      <c r="CM18" s="63"/>
      <c r="CN18" s="51"/>
      <c r="CO18" s="63"/>
      <c r="CP18" s="51"/>
      <c r="CQ18" s="63"/>
      <c r="CR18" s="51"/>
      <c r="CS18" s="63"/>
      <c r="CT18" s="51"/>
      <c r="CU18" s="63"/>
      <c r="CV18" s="51"/>
      <c r="CW18" s="63"/>
      <c r="CX18" s="51"/>
      <c r="CY18" s="63"/>
      <c r="CZ18" s="51"/>
      <c r="DA18" s="63"/>
      <c r="DB18" s="51"/>
      <c r="DC18" s="63"/>
      <c r="DD18" s="51"/>
      <c r="DE18" s="63"/>
      <c r="DF18" s="51"/>
      <c r="DG18" s="63"/>
      <c r="DH18" s="51"/>
      <c r="DI18" s="63"/>
      <c r="DJ18" s="51"/>
      <c r="DK18" s="63"/>
      <c r="DL18" s="51"/>
      <c r="DM18" s="63"/>
      <c r="DN18" s="51"/>
      <c r="DO18" s="63"/>
      <c r="DP18" s="51"/>
      <c r="DQ18" s="63"/>
      <c r="DR18" s="51"/>
      <c r="DS18" s="63"/>
      <c r="DT18" s="51"/>
      <c r="DU18" s="63"/>
      <c r="DV18" s="51"/>
      <c r="DW18" s="63"/>
      <c r="DX18" s="51"/>
      <c r="DY18" s="63"/>
      <c r="DZ18" s="51"/>
      <c r="EA18" s="63"/>
      <c r="EB18" s="51"/>
      <c r="EC18" s="63"/>
      <c r="ED18" s="51"/>
      <c r="EE18" s="63"/>
      <c r="EF18" s="51"/>
      <c r="EG18" s="63"/>
      <c r="EH18" s="51"/>
      <c r="EI18" s="63"/>
      <c r="EJ18" s="51"/>
      <c r="EK18" s="63"/>
      <c r="EL18" s="51"/>
      <c r="EM18" s="63"/>
      <c r="EN18" s="51"/>
      <c r="EO18" s="63"/>
      <c r="EP18" s="51"/>
      <c r="EQ18" s="63"/>
      <c r="ER18" s="51"/>
      <c r="ES18" s="63"/>
      <c r="ET18" s="51"/>
      <c r="EU18" s="63"/>
      <c r="EV18" s="51"/>
      <c r="EW18" s="63"/>
      <c r="EX18" s="51"/>
      <c r="EY18" s="63"/>
      <c r="EZ18" s="51"/>
      <c r="FA18" s="63"/>
      <c r="FB18" s="51"/>
      <c r="FC18" s="63"/>
      <c r="FD18" s="51"/>
      <c r="FE18" s="63"/>
      <c r="FF18" s="51"/>
      <c r="FG18" s="63"/>
      <c r="FH18" s="51"/>
      <c r="FI18" s="63"/>
      <c r="FJ18" s="51"/>
      <c r="FK18" s="63"/>
      <c r="FL18" s="51"/>
      <c r="FM18" s="63"/>
      <c r="FN18" s="51"/>
      <c r="FO18" s="63"/>
      <c r="FP18" s="51"/>
      <c r="FQ18" s="63"/>
      <c r="FR18" s="51"/>
      <c r="FS18" s="63"/>
      <c r="FT18" s="51"/>
      <c r="FU18" s="63"/>
      <c r="FV18" s="51"/>
      <c r="FW18" s="63"/>
      <c r="FX18" s="51"/>
      <c r="FY18" s="63"/>
      <c r="FZ18" s="51"/>
      <c r="GA18" s="63"/>
      <c r="GB18" s="51"/>
      <c r="GC18" s="63"/>
      <c r="GD18" s="51"/>
      <c r="GE18" s="63"/>
      <c r="GF18" s="51"/>
      <c r="GG18" s="63"/>
      <c r="GH18" s="51"/>
      <c r="GI18" s="63"/>
      <c r="GJ18" s="51"/>
      <c r="GK18" s="63"/>
      <c r="GL18" s="51"/>
      <c r="GM18" s="63"/>
      <c r="GN18" s="51"/>
      <c r="GO18" s="63"/>
      <c r="GP18" s="51"/>
      <c r="GQ18" s="63"/>
      <c r="GR18" s="51"/>
      <c r="GS18" s="63"/>
      <c r="GT18" s="51"/>
      <c r="GU18" s="63"/>
      <c r="GV18" s="51"/>
      <c r="GW18" s="63"/>
      <c r="GX18" s="51"/>
      <c r="GY18" s="63"/>
      <c r="GZ18" s="51"/>
    </row>
    <row r="19" customFormat="false" ht="15" hidden="false" customHeight="false" outlineLevel="0" collapsed="false">
      <c r="A19" s="54"/>
      <c r="B19" s="55"/>
      <c r="C19" s="55"/>
      <c r="D19" s="56"/>
      <c r="E19" s="57"/>
      <c r="F19" s="4" t="s">
        <v>101</v>
      </c>
      <c r="G19" s="58" t="n">
        <v>0.7</v>
      </c>
      <c r="H19" s="23" t="str">
        <f aca="false">IF('Довідник категорій'!B12="","",'Довідник категорій'!B12)</f>
        <v/>
      </c>
      <c r="I19" s="63"/>
      <c r="J19" s="51"/>
      <c r="K19" s="63"/>
      <c r="L19" s="51"/>
      <c r="M19" s="63"/>
      <c r="N19" s="51"/>
      <c r="O19" s="63"/>
      <c r="P19" s="51"/>
      <c r="Q19" s="63"/>
      <c r="R19" s="51"/>
      <c r="S19" s="63"/>
      <c r="T19" s="51"/>
      <c r="U19" s="63"/>
      <c r="V19" s="51"/>
      <c r="W19" s="63"/>
      <c r="X19" s="51"/>
      <c r="Y19" s="63"/>
      <c r="Z19" s="51"/>
      <c r="AA19" s="63"/>
      <c r="AB19" s="51"/>
      <c r="AC19" s="63"/>
      <c r="AD19" s="51"/>
      <c r="AE19" s="63"/>
      <c r="AF19" s="51"/>
      <c r="AG19" s="63"/>
      <c r="AH19" s="51"/>
      <c r="AI19" s="63"/>
      <c r="AJ19" s="51"/>
      <c r="AK19" s="63"/>
      <c r="AL19" s="51"/>
      <c r="AM19" s="63"/>
      <c r="AN19" s="51"/>
      <c r="AO19" s="63"/>
      <c r="AP19" s="51"/>
      <c r="AQ19" s="63"/>
      <c r="AR19" s="51"/>
      <c r="AS19" s="63"/>
      <c r="AT19" s="51"/>
      <c r="AU19" s="63"/>
      <c r="AV19" s="51"/>
      <c r="AW19" s="63"/>
      <c r="AX19" s="51"/>
      <c r="AY19" s="63"/>
      <c r="AZ19" s="51"/>
      <c r="BA19" s="63"/>
      <c r="BB19" s="51"/>
      <c r="BC19" s="63"/>
      <c r="BD19" s="51"/>
      <c r="BE19" s="63"/>
      <c r="BF19" s="51"/>
      <c r="BG19" s="63"/>
      <c r="BH19" s="51"/>
      <c r="BI19" s="63"/>
      <c r="BJ19" s="51"/>
      <c r="BK19" s="63"/>
      <c r="BL19" s="51"/>
      <c r="BM19" s="63"/>
      <c r="BN19" s="51"/>
      <c r="BO19" s="63"/>
      <c r="BP19" s="51"/>
      <c r="BQ19" s="63"/>
      <c r="BR19" s="51"/>
      <c r="BS19" s="63"/>
      <c r="BT19" s="51"/>
      <c r="BU19" s="63"/>
      <c r="BV19" s="51"/>
      <c r="BW19" s="63"/>
      <c r="BX19" s="51"/>
      <c r="BY19" s="63"/>
      <c r="BZ19" s="51"/>
      <c r="CA19" s="63"/>
      <c r="CB19" s="51"/>
      <c r="CC19" s="63"/>
      <c r="CD19" s="51"/>
      <c r="CE19" s="63"/>
      <c r="CF19" s="51"/>
      <c r="CG19" s="63"/>
      <c r="CH19" s="51"/>
      <c r="CI19" s="63"/>
      <c r="CJ19" s="51"/>
      <c r="CK19" s="63"/>
      <c r="CL19" s="51"/>
      <c r="CM19" s="63"/>
      <c r="CN19" s="51"/>
      <c r="CO19" s="63"/>
      <c r="CP19" s="51"/>
      <c r="CQ19" s="63"/>
      <c r="CR19" s="51"/>
      <c r="CS19" s="63"/>
      <c r="CT19" s="51"/>
      <c r="CU19" s="63"/>
      <c r="CV19" s="51"/>
      <c r="CW19" s="63"/>
      <c r="CX19" s="51"/>
      <c r="CY19" s="63"/>
      <c r="CZ19" s="51"/>
      <c r="DA19" s="63"/>
      <c r="DB19" s="51"/>
      <c r="DC19" s="63"/>
      <c r="DD19" s="51"/>
      <c r="DE19" s="63"/>
      <c r="DF19" s="51"/>
      <c r="DG19" s="63"/>
      <c r="DH19" s="51"/>
      <c r="DI19" s="63"/>
      <c r="DJ19" s="51"/>
      <c r="DK19" s="63"/>
      <c r="DL19" s="51"/>
      <c r="DM19" s="63"/>
      <c r="DN19" s="51"/>
      <c r="DO19" s="63"/>
      <c r="DP19" s="51"/>
      <c r="DQ19" s="63"/>
      <c r="DR19" s="51"/>
      <c r="DS19" s="63"/>
      <c r="DT19" s="51"/>
      <c r="DU19" s="63"/>
      <c r="DV19" s="51"/>
      <c r="DW19" s="63"/>
      <c r="DX19" s="51"/>
      <c r="DY19" s="63"/>
      <c r="DZ19" s="51"/>
      <c r="EA19" s="63"/>
      <c r="EB19" s="51"/>
      <c r="EC19" s="63"/>
      <c r="ED19" s="51"/>
      <c r="EE19" s="63"/>
      <c r="EF19" s="51"/>
      <c r="EG19" s="63"/>
      <c r="EH19" s="51"/>
      <c r="EI19" s="63"/>
      <c r="EJ19" s="51"/>
      <c r="EK19" s="63"/>
      <c r="EL19" s="51"/>
      <c r="EM19" s="63"/>
      <c r="EN19" s="51"/>
      <c r="EO19" s="63"/>
      <c r="EP19" s="51"/>
      <c r="EQ19" s="63"/>
      <c r="ER19" s="51"/>
      <c r="ES19" s="63"/>
      <c r="ET19" s="51"/>
      <c r="EU19" s="63"/>
      <c r="EV19" s="51"/>
      <c r="EW19" s="63"/>
      <c r="EX19" s="51"/>
      <c r="EY19" s="63"/>
      <c r="EZ19" s="51"/>
      <c r="FA19" s="63"/>
      <c r="FB19" s="51"/>
      <c r="FC19" s="63"/>
      <c r="FD19" s="51"/>
      <c r="FE19" s="63"/>
      <c r="FF19" s="51"/>
      <c r="FG19" s="63"/>
      <c r="FH19" s="51"/>
      <c r="FI19" s="63"/>
      <c r="FJ19" s="51"/>
      <c r="FK19" s="63"/>
      <c r="FL19" s="51"/>
      <c r="FM19" s="63"/>
      <c r="FN19" s="51"/>
      <c r="FO19" s="63"/>
      <c r="FP19" s="51"/>
      <c r="FQ19" s="63"/>
      <c r="FR19" s="51"/>
      <c r="FS19" s="63"/>
      <c r="FT19" s="51"/>
      <c r="FU19" s="63"/>
      <c r="FV19" s="51"/>
      <c r="FW19" s="63"/>
      <c r="FX19" s="51"/>
      <c r="FY19" s="63"/>
      <c r="FZ19" s="51"/>
      <c r="GA19" s="63"/>
      <c r="GB19" s="51"/>
      <c r="GC19" s="63"/>
      <c r="GD19" s="51"/>
      <c r="GE19" s="63"/>
      <c r="GF19" s="51"/>
      <c r="GG19" s="63"/>
      <c r="GH19" s="51"/>
      <c r="GI19" s="63"/>
      <c r="GJ19" s="51"/>
      <c r="GK19" s="63"/>
      <c r="GL19" s="51"/>
      <c r="GM19" s="63"/>
      <c r="GN19" s="51"/>
      <c r="GO19" s="63"/>
      <c r="GP19" s="51"/>
      <c r="GQ19" s="63"/>
      <c r="GR19" s="51"/>
      <c r="GS19" s="63"/>
      <c r="GT19" s="51"/>
      <c r="GU19" s="63"/>
      <c r="GV19" s="51"/>
      <c r="GW19" s="63"/>
      <c r="GX19" s="51"/>
      <c r="GY19" s="63"/>
      <c r="GZ19" s="51"/>
    </row>
    <row r="20" customFormat="false" ht="15" hidden="false" customHeight="false" outlineLevel="0" collapsed="false">
      <c r="A20" s="4"/>
      <c r="B20" s="36"/>
      <c r="C20" s="36"/>
      <c r="D20" s="49"/>
      <c r="E20" s="50"/>
      <c r="F20" s="4"/>
      <c r="G20" s="58"/>
      <c r="H20" s="16" t="str">
        <f aca="false">IF('Довідник категорій'!B13="","",'Довідник категорій'!B13)</f>
        <v/>
      </c>
      <c r="I20" s="63"/>
      <c r="J20" s="51"/>
      <c r="K20" s="63"/>
      <c r="L20" s="51"/>
      <c r="M20" s="63"/>
      <c r="N20" s="51"/>
      <c r="O20" s="63"/>
      <c r="P20" s="51"/>
      <c r="Q20" s="63"/>
      <c r="R20" s="51"/>
      <c r="S20" s="63"/>
      <c r="T20" s="51"/>
      <c r="U20" s="63"/>
      <c r="V20" s="51"/>
      <c r="W20" s="63"/>
      <c r="X20" s="51"/>
      <c r="Y20" s="63"/>
      <c r="Z20" s="51"/>
      <c r="AA20" s="63"/>
      <c r="AB20" s="51"/>
      <c r="AC20" s="63"/>
      <c r="AD20" s="51"/>
      <c r="AE20" s="63"/>
      <c r="AF20" s="51"/>
      <c r="AG20" s="63"/>
      <c r="AH20" s="51"/>
      <c r="AI20" s="63"/>
      <c r="AJ20" s="51"/>
      <c r="AK20" s="63"/>
      <c r="AL20" s="51"/>
      <c r="AM20" s="63"/>
      <c r="AN20" s="51"/>
      <c r="AO20" s="63"/>
      <c r="AP20" s="51"/>
      <c r="AQ20" s="63"/>
      <c r="AR20" s="51"/>
      <c r="AS20" s="63"/>
      <c r="AT20" s="51"/>
      <c r="AU20" s="63"/>
      <c r="AV20" s="51"/>
      <c r="AW20" s="63"/>
      <c r="AX20" s="51"/>
      <c r="AY20" s="63"/>
      <c r="AZ20" s="51"/>
      <c r="BA20" s="63"/>
      <c r="BB20" s="51"/>
      <c r="BC20" s="63"/>
      <c r="BD20" s="51"/>
      <c r="BE20" s="63"/>
      <c r="BF20" s="51"/>
      <c r="BG20" s="63"/>
      <c r="BH20" s="51"/>
      <c r="BI20" s="63"/>
      <c r="BJ20" s="51"/>
      <c r="BK20" s="63"/>
      <c r="BL20" s="51"/>
      <c r="BM20" s="63"/>
      <c r="BN20" s="51"/>
      <c r="BO20" s="63"/>
      <c r="BP20" s="51"/>
      <c r="BQ20" s="63"/>
      <c r="BR20" s="51"/>
      <c r="BS20" s="63"/>
      <c r="BT20" s="51"/>
      <c r="BU20" s="63"/>
      <c r="BV20" s="51"/>
      <c r="BW20" s="63"/>
      <c r="BX20" s="51"/>
      <c r="BY20" s="63"/>
      <c r="BZ20" s="51"/>
      <c r="CA20" s="63"/>
      <c r="CB20" s="51"/>
      <c r="CC20" s="63"/>
      <c r="CD20" s="51"/>
      <c r="CE20" s="63"/>
      <c r="CF20" s="51"/>
      <c r="CG20" s="63"/>
      <c r="CH20" s="51"/>
      <c r="CI20" s="63"/>
      <c r="CJ20" s="51"/>
      <c r="CK20" s="63"/>
      <c r="CL20" s="51"/>
      <c r="CM20" s="63"/>
      <c r="CN20" s="51"/>
      <c r="CO20" s="63"/>
      <c r="CP20" s="51"/>
      <c r="CQ20" s="63"/>
      <c r="CR20" s="51"/>
      <c r="CS20" s="63"/>
      <c r="CT20" s="51"/>
      <c r="CU20" s="63"/>
      <c r="CV20" s="51"/>
      <c r="CW20" s="63"/>
      <c r="CX20" s="51"/>
      <c r="CY20" s="63"/>
      <c r="CZ20" s="51"/>
      <c r="DA20" s="63"/>
      <c r="DB20" s="51"/>
      <c r="DC20" s="63"/>
      <c r="DD20" s="51"/>
      <c r="DE20" s="63"/>
      <c r="DF20" s="51"/>
      <c r="DG20" s="63"/>
      <c r="DH20" s="51"/>
      <c r="DI20" s="63"/>
      <c r="DJ20" s="51"/>
      <c r="DK20" s="63"/>
      <c r="DL20" s="51"/>
      <c r="DM20" s="63"/>
      <c r="DN20" s="51"/>
      <c r="DO20" s="63"/>
      <c r="DP20" s="51"/>
      <c r="DQ20" s="63"/>
      <c r="DR20" s="51"/>
      <c r="DS20" s="63"/>
      <c r="DT20" s="51"/>
      <c r="DU20" s="63"/>
      <c r="DV20" s="51"/>
      <c r="DW20" s="63"/>
      <c r="DX20" s="51"/>
      <c r="DY20" s="63"/>
      <c r="DZ20" s="51"/>
      <c r="EA20" s="63"/>
      <c r="EB20" s="51"/>
      <c r="EC20" s="63"/>
      <c r="ED20" s="51"/>
      <c r="EE20" s="63"/>
      <c r="EF20" s="51"/>
      <c r="EG20" s="63"/>
      <c r="EH20" s="51"/>
      <c r="EI20" s="63"/>
      <c r="EJ20" s="51"/>
      <c r="EK20" s="63"/>
      <c r="EL20" s="51"/>
      <c r="EM20" s="63"/>
      <c r="EN20" s="51"/>
      <c r="EO20" s="63"/>
      <c r="EP20" s="51"/>
      <c r="EQ20" s="63"/>
      <c r="ER20" s="51"/>
      <c r="ES20" s="63"/>
      <c r="ET20" s="51"/>
      <c r="EU20" s="63"/>
      <c r="EV20" s="51"/>
      <c r="EW20" s="63"/>
      <c r="EX20" s="51"/>
      <c r="EY20" s="63"/>
      <c r="EZ20" s="51"/>
      <c r="FA20" s="63"/>
      <c r="FB20" s="51"/>
      <c r="FC20" s="63"/>
      <c r="FD20" s="51"/>
      <c r="FE20" s="63"/>
      <c r="FF20" s="51"/>
      <c r="FG20" s="63"/>
      <c r="FH20" s="51"/>
      <c r="FI20" s="63"/>
      <c r="FJ20" s="51"/>
      <c r="FK20" s="63"/>
      <c r="FL20" s="51"/>
      <c r="FM20" s="63"/>
      <c r="FN20" s="51"/>
      <c r="FO20" s="63"/>
      <c r="FP20" s="51"/>
      <c r="FQ20" s="63"/>
      <c r="FR20" s="51"/>
      <c r="FS20" s="63"/>
      <c r="FT20" s="51"/>
      <c r="FU20" s="63"/>
      <c r="FV20" s="51"/>
      <c r="FW20" s="63"/>
      <c r="FX20" s="51"/>
      <c r="FY20" s="63"/>
      <c r="FZ20" s="51"/>
      <c r="GA20" s="63"/>
      <c r="GB20" s="51"/>
      <c r="GC20" s="63"/>
      <c r="GD20" s="51"/>
      <c r="GE20" s="63"/>
      <c r="GF20" s="51"/>
      <c r="GG20" s="63"/>
      <c r="GH20" s="51"/>
      <c r="GI20" s="63"/>
      <c r="GJ20" s="51"/>
      <c r="GK20" s="63"/>
      <c r="GL20" s="51"/>
      <c r="GM20" s="63"/>
      <c r="GN20" s="51"/>
      <c r="GO20" s="63"/>
      <c r="GP20" s="51"/>
      <c r="GQ20" s="63"/>
      <c r="GR20" s="51"/>
      <c r="GS20" s="63"/>
      <c r="GT20" s="51"/>
      <c r="GU20" s="63"/>
      <c r="GV20" s="51"/>
      <c r="GW20" s="63"/>
      <c r="GX20" s="51"/>
      <c r="GY20" s="63"/>
      <c r="GZ20" s="51"/>
    </row>
    <row r="21" customFormat="false" ht="15" hidden="false" customHeight="false" outlineLevel="0" collapsed="false">
      <c r="A21" s="54"/>
      <c r="B21" s="55"/>
      <c r="C21" s="55"/>
      <c r="D21" s="56"/>
      <c r="E21" s="57"/>
      <c r="F21" s="4"/>
      <c r="G21" s="58"/>
      <c r="H21" s="23" t="str">
        <f aca="false">IF('Довідник категорій'!B14="","",'Довідник категорій'!B14)</f>
        <v/>
      </c>
      <c r="I21" s="63"/>
      <c r="J21" s="51"/>
      <c r="K21" s="63"/>
      <c r="L21" s="51"/>
      <c r="M21" s="63"/>
      <c r="N21" s="51"/>
      <c r="O21" s="63"/>
      <c r="P21" s="51"/>
      <c r="Q21" s="63"/>
      <c r="R21" s="51"/>
      <c r="S21" s="63"/>
      <c r="T21" s="51"/>
      <c r="U21" s="63"/>
      <c r="V21" s="51"/>
      <c r="W21" s="63"/>
      <c r="X21" s="51"/>
      <c r="Y21" s="63"/>
      <c r="Z21" s="51"/>
      <c r="AA21" s="63"/>
      <c r="AB21" s="51"/>
      <c r="AC21" s="63"/>
      <c r="AD21" s="51"/>
      <c r="AE21" s="63"/>
      <c r="AF21" s="51"/>
      <c r="AG21" s="63"/>
      <c r="AH21" s="51"/>
      <c r="AI21" s="63"/>
      <c r="AJ21" s="51"/>
      <c r="AK21" s="63"/>
      <c r="AL21" s="51"/>
      <c r="AM21" s="63"/>
      <c r="AN21" s="51"/>
      <c r="AO21" s="63"/>
      <c r="AP21" s="51"/>
      <c r="AQ21" s="63"/>
      <c r="AR21" s="51"/>
      <c r="AS21" s="63"/>
      <c r="AT21" s="51"/>
      <c r="AU21" s="63"/>
      <c r="AV21" s="51"/>
      <c r="AW21" s="63"/>
      <c r="AX21" s="51"/>
      <c r="AY21" s="63"/>
      <c r="AZ21" s="51"/>
      <c r="BA21" s="63"/>
      <c r="BB21" s="51"/>
      <c r="BC21" s="63"/>
      <c r="BD21" s="51"/>
      <c r="BE21" s="63"/>
      <c r="BF21" s="51"/>
      <c r="BG21" s="63"/>
      <c r="BH21" s="51"/>
      <c r="BI21" s="63"/>
      <c r="BJ21" s="51"/>
      <c r="BK21" s="63"/>
      <c r="BL21" s="51"/>
      <c r="BM21" s="63"/>
      <c r="BN21" s="51"/>
      <c r="BO21" s="63"/>
      <c r="BP21" s="51"/>
      <c r="BQ21" s="63"/>
      <c r="BR21" s="51"/>
      <c r="BS21" s="63"/>
      <c r="BT21" s="51"/>
      <c r="BU21" s="63"/>
      <c r="BV21" s="51"/>
      <c r="BW21" s="63"/>
      <c r="BX21" s="51"/>
      <c r="BY21" s="63"/>
      <c r="BZ21" s="51"/>
      <c r="CA21" s="63"/>
      <c r="CB21" s="51"/>
      <c r="CC21" s="63"/>
      <c r="CD21" s="51"/>
      <c r="CE21" s="63"/>
      <c r="CF21" s="51"/>
      <c r="CG21" s="63"/>
      <c r="CH21" s="51"/>
      <c r="CI21" s="63"/>
      <c r="CJ21" s="51"/>
      <c r="CK21" s="63"/>
      <c r="CL21" s="51"/>
      <c r="CM21" s="63"/>
      <c r="CN21" s="51"/>
      <c r="CO21" s="63"/>
      <c r="CP21" s="51"/>
      <c r="CQ21" s="63"/>
      <c r="CR21" s="51"/>
      <c r="CS21" s="63"/>
      <c r="CT21" s="51"/>
      <c r="CU21" s="63"/>
      <c r="CV21" s="51"/>
      <c r="CW21" s="63"/>
      <c r="CX21" s="51"/>
      <c r="CY21" s="63"/>
      <c r="CZ21" s="51"/>
      <c r="DA21" s="63"/>
      <c r="DB21" s="51"/>
      <c r="DC21" s="63"/>
      <c r="DD21" s="51"/>
      <c r="DE21" s="63"/>
      <c r="DF21" s="51"/>
      <c r="DG21" s="63"/>
      <c r="DH21" s="51"/>
      <c r="DI21" s="63"/>
      <c r="DJ21" s="51"/>
      <c r="DK21" s="63"/>
      <c r="DL21" s="51"/>
      <c r="DM21" s="63"/>
      <c r="DN21" s="51"/>
      <c r="DO21" s="63"/>
      <c r="DP21" s="51"/>
      <c r="DQ21" s="63"/>
      <c r="DR21" s="51"/>
      <c r="DS21" s="63"/>
      <c r="DT21" s="51"/>
      <c r="DU21" s="63"/>
      <c r="DV21" s="51"/>
      <c r="DW21" s="63"/>
      <c r="DX21" s="51"/>
      <c r="DY21" s="63"/>
      <c r="DZ21" s="51"/>
      <c r="EA21" s="63"/>
      <c r="EB21" s="51"/>
      <c r="EC21" s="63"/>
      <c r="ED21" s="51"/>
      <c r="EE21" s="63"/>
      <c r="EF21" s="51"/>
      <c r="EG21" s="63"/>
      <c r="EH21" s="51"/>
      <c r="EI21" s="63"/>
      <c r="EJ21" s="51"/>
      <c r="EK21" s="63"/>
      <c r="EL21" s="51"/>
      <c r="EM21" s="63"/>
      <c r="EN21" s="51"/>
      <c r="EO21" s="63"/>
      <c r="EP21" s="51"/>
      <c r="EQ21" s="63"/>
      <c r="ER21" s="51"/>
      <c r="ES21" s="63"/>
      <c r="ET21" s="51"/>
      <c r="EU21" s="63"/>
      <c r="EV21" s="51"/>
      <c r="EW21" s="63"/>
      <c r="EX21" s="51"/>
      <c r="EY21" s="63"/>
      <c r="EZ21" s="51"/>
      <c r="FA21" s="63"/>
      <c r="FB21" s="51"/>
      <c r="FC21" s="63"/>
      <c r="FD21" s="51"/>
      <c r="FE21" s="63"/>
      <c r="FF21" s="51"/>
      <c r="FG21" s="63"/>
      <c r="FH21" s="51"/>
      <c r="FI21" s="63"/>
      <c r="FJ21" s="51"/>
      <c r="FK21" s="63"/>
      <c r="FL21" s="51"/>
      <c r="FM21" s="63"/>
      <c r="FN21" s="51"/>
      <c r="FO21" s="63"/>
      <c r="FP21" s="51"/>
      <c r="FQ21" s="63"/>
      <c r="FR21" s="51"/>
      <c r="FS21" s="63"/>
      <c r="FT21" s="51"/>
      <c r="FU21" s="63"/>
      <c r="FV21" s="51"/>
      <c r="FW21" s="63"/>
      <c r="FX21" s="51"/>
      <c r="FY21" s="63"/>
      <c r="FZ21" s="51"/>
      <c r="GA21" s="63"/>
      <c r="GB21" s="51"/>
      <c r="GC21" s="63"/>
      <c r="GD21" s="51"/>
      <c r="GE21" s="63"/>
      <c r="GF21" s="51"/>
      <c r="GG21" s="63"/>
      <c r="GH21" s="51"/>
      <c r="GI21" s="63"/>
      <c r="GJ21" s="51"/>
      <c r="GK21" s="63"/>
      <c r="GL21" s="51"/>
      <c r="GM21" s="63"/>
      <c r="GN21" s="51"/>
      <c r="GO21" s="63"/>
      <c r="GP21" s="51"/>
      <c r="GQ21" s="63"/>
      <c r="GR21" s="51"/>
      <c r="GS21" s="63"/>
      <c r="GT21" s="51"/>
      <c r="GU21" s="63"/>
      <c r="GV21" s="51"/>
      <c r="GW21" s="63"/>
      <c r="GX21" s="51"/>
      <c r="GY21" s="63"/>
      <c r="GZ21" s="51"/>
    </row>
    <row r="22" customFormat="false" ht="15" hidden="false" customHeight="false" outlineLevel="0" collapsed="false">
      <c r="A22" s="4"/>
      <c r="B22" s="36"/>
      <c r="C22" s="36"/>
      <c r="D22" s="49"/>
      <c r="E22" s="50"/>
      <c r="H22" s="16" t="str">
        <f aca="false">IF('Довідник категорій'!B15="","",'Довідник категорій'!B15)</f>
        <v/>
      </c>
      <c r="I22" s="63"/>
      <c r="J22" s="51"/>
      <c r="K22" s="63"/>
      <c r="L22" s="51"/>
      <c r="M22" s="63"/>
      <c r="N22" s="51"/>
      <c r="O22" s="63"/>
      <c r="P22" s="51"/>
      <c r="Q22" s="63"/>
      <c r="R22" s="51"/>
      <c r="S22" s="63"/>
      <c r="T22" s="51"/>
      <c r="U22" s="63"/>
      <c r="V22" s="51"/>
      <c r="W22" s="63"/>
      <c r="X22" s="51"/>
      <c r="Y22" s="63"/>
      <c r="Z22" s="51"/>
      <c r="AA22" s="63"/>
      <c r="AB22" s="51"/>
      <c r="AC22" s="63"/>
      <c r="AD22" s="51"/>
      <c r="AE22" s="63"/>
      <c r="AF22" s="51"/>
      <c r="AG22" s="63"/>
      <c r="AH22" s="51"/>
      <c r="AI22" s="63"/>
      <c r="AJ22" s="51"/>
      <c r="AK22" s="63"/>
      <c r="AL22" s="51"/>
      <c r="AM22" s="63"/>
      <c r="AN22" s="51"/>
      <c r="AO22" s="63"/>
      <c r="AP22" s="51"/>
      <c r="AQ22" s="63"/>
      <c r="AR22" s="51"/>
      <c r="AS22" s="63"/>
      <c r="AT22" s="51"/>
      <c r="AU22" s="63"/>
      <c r="AV22" s="51"/>
      <c r="AW22" s="63"/>
      <c r="AX22" s="51"/>
      <c r="AY22" s="63"/>
      <c r="AZ22" s="51"/>
      <c r="BA22" s="63"/>
      <c r="BB22" s="51"/>
      <c r="BC22" s="63"/>
      <c r="BD22" s="51"/>
      <c r="BE22" s="63"/>
      <c r="BF22" s="51"/>
      <c r="BG22" s="63"/>
      <c r="BH22" s="51"/>
      <c r="BI22" s="63"/>
      <c r="BJ22" s="51"/>
      <c r="BK22" s="63"/>
      <c r="BL22" s="51"/>
      <c r="BM22" s="63"/>
      <c r="BN22" s="51"/>
      <c r="BO22" s="63"/>
      <c r="BP22" s="51"/>
      <c r="BQ22" s="63"/>
      <c r="BR22" s="51"/>
      <c r="BS22" s="63"/>
      <c r="BT22" s="51"/>
      <c r="BU22" s="63"/>
      <c r="BV22" s="51"/>
      <c r="BW22" s="63"/>
      <c r="BX22" s="51"/>
      <c r="BY22" s="63"/>
      <c r="BZ22" s="51"/>
      <c r="CA22" s="63"/>
      <c r="CB22" s="51"/>
      <c r="CC22" s="63"/>
      <c r="CD22" s="51"/>
      <c r="CE22" s="63"/>
      <c r="CF22" s="51"/>
      <c r="CG22" s="63"/>
      <c r="CH22" s="51"/>
      <c r="CI22" s="63"/>
      <c r="CJ22" s="51"/>
      <c r="CK22" s="63"/>
      <c r="CL22" s="51"/>
      <c r="CM22" s="63"/>
      <c r="CN22" s="51"/>
      <c r="CO22" s="63"/>
      <c r="CP22" s="51"/>
      <c r="CQ22" s="63"/>
      <c r="CR22" s="51"/>
      <c r="CS22" s="63"/>
      <c r="CT22" s="51"/>
      <c r="CU22" s="63"/>
      <c r="CV22" s="51"/>
      <c r="CW22" s="63"/>
      <c r="CX22" s="51"/>
      <c r="CY22" s="63"/>
      <c r="CZ22" s="51"/>
      <c r="DA22" s="63"/>
      <c r="DB22" s="51"/>
      <c r="DC22" s="63"/>
      <c r="DD22" s="51"/>
      <c r="DE22" s="63"/>
      <c r="DF22" s="51"/>
      <c r="DG22" s="63"/>
      <c r="DH22" s="51"/>
      <c r="DI22" s="63"/>
      <c r="DJ22" s="51"/>
      <c r="DK22" s="63"/>
      <c r="DL22" s="51"/>
      <c r="DM22" s="63"/>
      <c r="DN22" s="51"/>
      <c r="DO22" s="63"/>
      <c r="DP22" s="51"/>
      <c r="DQ22" s="63"/>
      <c r="DR22" s="51"/>
      <c r="DS22" s="63"/>
      <c r="DT22" s="51"/>
      <c r="DU22" s="63"/>
      <c r="DV22" s="51"/>
      <c r="DW22" s="63"/>
      <c r="DX22" s="51"/>
      <c r="DY22" s="63"/>
      <c r="DZ22" s="51"/>
      <c r="EA22" s="63"/>
      <c r="EB22" s="51"/>
      <c r="EC22" s="63"/>
      <c r="ED22" s="51"/>
      <c r="EE22" s="63"/>
      <c r="EF22" s="51"/>
      <c r="EG22" s="63"/>
      <c r="EH22" s="51"/>
      <c r="EI22" s="63"/>
      <c r="EJ22" s="51"/>
      <c r="EK22" s="63"/>
      <c r="EL22" s="51"/>
      <c r="EM22" s="63"/>
      <c r="EN22" s="51"/>
      <c r="EO22" s="63"/>
      <c r="EP22" s="51"/>
      <c r="EQ22" s="63"/>
      <c r="ER22" s="51"/>
      <c r="ES22" s="63"/>
      <c r="ET22" s="51"/>
      <c r="EU22" s="63"/>
      <c r="EV22" s="51"/>
      <c r="EW22" s="63"/>
      <c r="EX22" s="51"/>
      <c r="EY22" s="63"/>
      <c r="EZ22" s="51"/>
      <c r="FA22" s="63"/>
      <c r="FB22" s="51"/>
      <c r="FC22" s="63"/>
      <c r="FD22" s="51"/>
      <c r="FE22" s="63"/>
      <c r="FF22" s="51"/>
      <c r="FG22" s="63"/>
      <c r="FH22" s="51"/>
      <c r="FI22" s="63"/>
      <c r="FJ22" s="51"/>
      <c r="FK22" s="63"/>
      <c r="FL22" s="51"/>
      <c r="FM22" s="63"/>
      <c r="FN22" s="51"/>
      <c r="FO22" s="63"/>
      <c r="FP22" s="51"/>
      <c r="FQ22" s="63"/>
      <c r="FR22" s="51"/>
      <c r="FS22" s="63"/>
      <c r="FT22" s="51"/>
      <c r="FU22" s="63"/>
      <c r="FV22" s="51"/>
      <c r="FW22" s="63"/>
      <c r="FX22" s="51"/>
      <c r="FY22" s="63"/>
      <c r="FZ22" s="51"/>
      <c r="GA22" s="63"/>
      <c r="GB22" s="51"/>
      <c r="GC22" s="63"/>
      <c r="GD22" s="51"/>
      <c r="GE22" s="63"/>
      <c r="GF22" s="51"/>
      <c r="GG22" s="63"/>
      <c r="GH22" s="51"/>
      <c r="GI22" s="63"/>
      <c r="GJ22" s="51"/>
      <c r="GK22" s="63"/>
      <c r="GL22" s="51"/>
      <c r="GM22" s="63"/>
      <c r="GN22" s="51"/>
      <c r="GO22" s="63"/>
      <c r="GP22" s="51"/>
      <c r="GQ22" s="63"/>
      <c r="GR22" s="51"/>
      <c r="GS22" s="63"/>
      <c r="GT22" s="51"/>
      <c r="GU22" s="63"/>
      <c r="GV22" s="51"/>
      <c r="GW22" s="63"/>
      <c r="GX22" s="51"/>
      <c r="GY22" s="63"/>
      <c r="GZ22" s="51"/>
    </row>
    <row r="23" customFormat="false" ht="15" hidden="false" customHeight="false" outlineLevel="0" collapsed="false">
      <c r="A23" s="54"/>
      <c r="B23" s="55"/>
      <c r="C23" s="55"/>
      <c r="D23" s="56"/>
      <c r="E23" s="57"/>
      <c r="F23" s="46" t="s">
        <v>102</v>
      </c>
      <c r="H23" s="23" t="str">
        <f aca="false">IF('Довідник категорій'!B16="","",'Довідник категорій'!B16)</f>
        <v/>
      </c>
      <c r="I23" s="63"/>
      <c r="J23" s="51"/>
      <c r="K23" s="63"/>
      <c r="L23" s="51"/>
      <c r="M23" s="63"/>
      <c r="N23" s="51"/>
      <c r="O23" s="63"/>
      <c r="P23" s="51"/>
      <c r="Q23" s="63"/>
      <c r="R23" s="51"/>
      <c r="S23" s="63"/>
      <c r="T23" s="51"/>
      <c r="U23" s="63"/>
      <c r="V23" s="51"/>
      <c r="W23" s="63"/>
      <c r="X23" s="51"/>
      <c r="Y23" s="63"/>
      <c r="Z23" s="51"/>
      <c r="AA23" s="63"/>
      <c r="AB23" s="51"/>
      <c r="AC23" s="63"/>
      <c r="AD23" s="51"/>
      <c r="AE23" s="63"/>
      <c r="AF23" s="51"/>
      <c r="AG23" s="63"/>
      <c r="AH23" s="51"/>
      <c r="AI23" s="63"/>
      <c r="AJ23" s="51"/>
      <c r="AK23" s="63"/>
      <c r="AL23" s="51"/>
      <c r="AM23" s="63"/>
      <c r="AN23" s="51"/>
      <c r="AO23" s="63"/>
      <c r="AP23" s="51"/>
      <c r="AQ23" s="63"/>
      <c r="AR23" s="51"/>
      <c r="AS23" s="63"/>
      <c r="AT23" s="51"/>
      <c r="AU23" s="63"/>
      <c r="AV23" s="51"/>
      <c r="AW23" s="63"/>
      <c r="AX23" s="51"/>
      <c r="AY23" s="63"/>
      <c r="AZ23" s="51"/>
      <c r="BA23" s="63"/>
      <c r="BB23" s="51"/>
      <c r="BC23" s="63"/>
      <c r="BD23" s="51"/>
      <c r="BE23" s="63"/>
      <c r="BF23" s="51"/>
      <c r="BG23" s="63"/>
      <c r="BH23" s="51"/>
      <c r="BI23" s="63"/>
      <c r="BJ23" s="51"/>
      <c r="BK23" s="63"/>
      <c r="BL23" s="51"/>
      <c r="BM23" s="63"/>
      <c r="BN23" s="51"/>
      <c r="BO23" s="63"/>
      <c r="BP23" s="51"/>
      <c r="BQ23" s="63"/>
      <c r="BR23" s="51"/>
      <c r="BS23" s="63"/>
      <c r="BT23" s="51"/>
      <c r="BU23" s="63"/>
      <c r="BV23" s="51"/>
      <c r="BW23" s="63"/>
      <c r="BX23" s="51"/>
      <c r="BY23" s="63"/>
      <c r="BZ23" s="51"/>
      <c r="CA23" s="63"/>
      <c r="CB23" s="51"/>
      <c r="CC23" s="63"/>
      <c r="CD23" s="51"/>
      <c r="CE23" s="63"/>
      <c r="CF23" s="51"/>
      <c r="CG23" s="63"/>
      <c r="CH23" s="51"/>
      <c r="CI23" s="63"/>
      <c r="CJ23" s="51"/>
      <c r="CK23" s="63"/>
      <c r="CL23" s="51"/>
      <c r="CM23" s="63"/>
      <c r="CN23" s="51"/>
      <c r="CO23" s="63"/>
      <c r="CP23" s="51"/>
      <c r="CQ23" s="63"/>
      <c r="CR23" s="51"/>
      <c r="CS23" s="63"/>
      <c r="CT23" s="51"/>
      <c r="CU23" s="63"/>
      <c r="CV23" s="51"/>
      <c r="CW23" s="63"/>
      <c r="CX23" s="51"/>
      <c r="CY23" s="63"/>
      <c r="CZ23" s="51"/>
      <c r="DA23" s="63"/>
      <c r="DB23" s="51"/>
      <c r="DC23" s="63"/>
      <c r="DD23" s="51"/>
      <c r="DE23" s="63"/>
      <c r="DF23" s="51"/>
      <c r="DG23" s="63"/>
      <c r="DH23" s="51"/>
      <c r="DI23" s="63"/>
      <c r="DJ23" s="51"/>
      <c r="DK23" s="63"/>
      <c r="DL23" s="51"/>
      <c r="DM23" s="63"/>
      <c r="DN23" s="51"/>
      <c r="DO23" s="63"/>
      <c r="DP23" s="51"/>
      <c r="DQ23" s="63"/>
      <c r="DR23" s="51"/>
      <c r="DS23" s="63"/>
      <c r="DT23" s="51"/>
      <c r="DU23" s="63"/>
      <c r="DV23" s="51"/>
      <c r="DW23" s="63"/>
      <c r="DX23" s="51"/>
      <c r="DY23" s="63"/>
      <c r="DZ23" s="51"/>
      <c r="EA23" s="63"/>
      <c r="EB23" s="51"/>
      <c r="EC23" s="63"/>
      <c r="ED23" s="51"/>
      <c r="EE23" s="63"/>
      <c r="EF23" s="51"/>
      <c r="EG23" s="63"/>
      <c r="EH23" s="51"/>
      <c r="EI23" s="63"/>
      <c r="EJ23" s="51"/>
      <c r="EK23" s="63"/>
      <c r="EL23" s="51"/>
      <c r="EM23" s="63"/>
      <c r="EN23" s="51"/>
      <c r="EO23" s="63"/>
      <c r="EP23" s="51"/>
      <c r="EQ23" s="63"/>
      <c r="ER23" s="51"/>
      <c r="ES23" s="63"/>
      <c r="ET23" s="51"/>
      <c r="EU23" s="63"/>
      <c r="EV23" s="51"/>
      <c r="EW23" s="63"/>
      <c r="EX23" s="51"/>
      <c r="EY23" s="63"/>
      <c r="EZ23" s="51"/>
      <c r="FA23" s="63"/>
      <c r="FB23" s="51"/>
      <c r="FC23" s="63"/>
      <c r="FD23" s="51"/>
      <c r="FE23" s="63"/>
      <c r="FF23" s="51"/>
      <c r="FG23" s="63"/>
      <c r="FH23" s="51"/>
      <c r="FI23" s="63"/>
      <c r="FJ23" s="51"/>
      <c r="FK23" s="63"/>
      <c r="FL23" s="51"/>
      <c r="FM23" s="63"/>
      <c r="FN23" s="51"/>
      <c r="FO23" s="63"/>
      <c r="FP23" s="51"/>
      <c r="FQ23" s="63"/>
      <c r="FR23" s="51"/>
      <c r="FS23" s="63"/>
      <c r="FT23" s="51"/>
      <c r="FU23" s="63"/>
      <c r="FV23" s="51"/>
      <c r="FW23" s="63"/>
      <c r="FX23" s="51"/>
      <c r="FY23" s="63"/>
      <c r="FZ23" s="51"/>
      <c r="GA23" s="63"/>
      <c r="GB23" s="51"/>
      <c r="GC23" s="63"/>
      <c r="GD23" s="51"/>
      <c r="GE23" s="63"/>
      <c r="GF23" s="51"/>
      <c r="GG23" s="63"/>
      <c r="GH23" s="51"/>
      <c r="GI23" s="63"/>
      <c r="GJ23" s="51"/>
      <c r="GK23" s="63"/>
      <c r="GL23" s="51"/>
      <c r="GM23" s="63"/>
      <c r="GN23" s="51"/>
      <c r="GO23" s="63"/>
      <c r="GP23" s="51"/>
      <c r="GQ23" s="63"/>
      <c r="GR23" s="51"/>
      <c r="GS23" s="63"/>
      <c r="GT23" s="51"/>
      <c r="GU23" s="63"/>
      <c r="GV23" s="51"/>
      <c r="GW23" s="63"/>
      <c r="GX23" s="51"/>
      <c r="GY23" s="63"/>
      <c r="GZ23" s="51"/>
    </row>
    <row r="24" customFormat="false" ht="9" hidden="false" customHeight="true" outlineLevel="0" collapsed="false">
      <c r="A24" s="4"/>
      <c r="B24" s="36"/>
      <c r="C24" s="36"/>
      <c r="D24" s="49"/>
      <c r="E24" s="50"/>
      <c r="F24" s="11" t="s">
        <v>103</v>
      </c>
      <c r="H24" s="59"/>
      <c r="I24" s="68"/>
      <c r="J24" s="59"/>
      <c r="K24" s="68"/>
      <c r="L24" s="59"/>
      <c r="M24" s="68"/>
      <c r="N24" s="59"/>
      <c r="O24" s="68"/>
      <c r="P24" s="59"/>
      <c r="Q24" s="68"/>
      <c r="R24" s="59"/>
      <c r="S24" s="68"/>
      <c r="T24" s="59"/>
      <c r="U24" s="68"/>
      <c r="V24" s="59"/>
      <c r="W24" s="68"/>
      <c r="X24" s="59"/>
      <c r="Y24" s="68"/>
      <c r="Z24" s="59"/>
      <c r="AA24" s="68"/>
      <c r="AB24" s="59"/>
      <c r="AC24" s="68"/>
      <c r="AD24" s="59"/>
      <c r="AE24" s="68"/>
      <c r="AF24" s="59"/>
      <c r="AG24" s="68"/>
      <c r="AH24" s="59"/>
      <c r="AI24" s="68"/>
      <c r="AJ24" s="59"/>
      <c r="AK24" s="68"/>
      <c r="AL24" s="59"/>
      <c r="AM24" s="68"/>
      <c r="AN24" s="59"/>
      <c r="AO24" s="68"/>
      <c r="AP24" s="59"/>
      <c r="AQ24" s="68"/>
      <c r="AR24" s="59"/>
      <c r="AS24" s="68"/>
      <c r="AT24" s="59"/>
      <c r="AU24" s="68"/>
      <c r="AV24" s="59"/>
      <c r="AW24" s="68"/>
      <c r="AX24" s="59"/>
      <c r="AY24" s="68"/>
      <c r="AZ24" s="59"/>
      <c r="BA24" s="68"/>
      <c r="BB24" s="59"/>
      <c r="BC24" s="68"/>
      <c r="BD24" s="59"/>
      <c r="BE24" s="68"/>
      <c r="BF24" s="59"/>
      <c r="BG24" s="68"/>
      <c r="BH24" s="59"/>
      <c r="BI24" s="68"/>
      <c r="BJ24" s="59"/>
      <c r="BK24" s="68"/>
      <c r="BL24" s="59"/>
      <c r="BM24" s="68"/>
      <c r="BN24" s="59"/>
      <c r="BO24" s="68"/>
      <c r="BP24" s="59"/>
      <c r="BQ24" s="68"/>
      <c r="BR24" s="59"/>
      <c r="BS24" s="68"/>
      <c r="BT24" s="59"/>
      <c r="BU24" s="68"/>
      <c r="BV24" s="59"/>
      <c r="BW24" s="68"/>
      <c r="BX24" s="59"/>
      <c r="BY24" s="68"/>
      <c r="BZ24" s="59"/>
      <c r="CA24" s="68"/>
      <c r="CB24" s="59"/>
      <c r="CC24" s="68"/>
      <c r="CD24" s="59"/>
      <c r="CE24" s="68"/>
      <c r="CF24" s="59"/>
      <c r="CG24" s="68"/>
      <c r="CH24" s="59"/>
      <c r="CI24" s="68"/>
      <c r="CJ24" s="59"/>
      <c r="CK24" s="68"/>
      <c r="CL24" s="59"/>
      <c r="CM24" s="68"/>
      <c r="CN24" s="59"/>
      <c r="CO24" s="68"/>
      <c r="CP24" s="59"/>
      <c r="CQ24" s="68"/>
      <c r="CR24" s="59"/>
      <c r="CS24" s="68"/>
      <c r="CT24" s="59"/>
      <c r="CU24" s="68"/>
      <c r="CV24" s="59"/>
      <c r="CW24" s="68"/>
      <c r="CX24" s="59"/>
      <c r="CY24" s="68"/>
      <c r="CZ24" s="59"/>
      <c r="DA24" s="68"/>
      <c r="DB24" s="59"/>
      <c r="DC24" s="68"/>
      <c r="DD24" s="59"/>
      <c r="DE24" s="68"/>
      <c r="DF24" s="59"/>
      <c r="DG24" s="68"/>
      <c r="DH24" s="59"/>
      <c r="DI24" s="68"/>
      <c r="DJ24" s="59"/>
      <c r="DK24" s="68"/>
      <c r="DL24" s="59"/>
      <c r="DM24" s="68"/>
      <c r="DN24" s="59"/>
      <c r="DO24" s="68"/>
      <c r="DP24" s="59"/>
      <c r="DQ24" s="68"/>
      <c r="DR24" s="59"/>
      <c r="DS24" s="68"/>
      <c r="DT24" s="59"/>
      <c r="DU24" s="68"/>
      <c r="DV24" s="59"/>
      <c r="DW24" s="68"/>
      <c r="DX24" s="59"/>
      <c r="DY24" s="68"/>
      <c r="DZ24" s="59"/>
      <c r="EA24" s="68"/>
      <c r="EB24" s="59"/>
      <c r="EC24" s="68"/>
      <c r="ED24" s="59"/>
      <c r="EE24" s="68"/>
      <c r="EF24" s="59"/>
      <c r="EG24" s="68"/>
      <c r="EH24" s="59"/>
      <c r="EI24" s="68"/>
      <c r="EJ24" s="59"/>
      <c r="EK24" s="68"/>
      <c r="EL24" s="59"/>
      <c r="EM24" s="68"/>
      <c r="EN24" s="59"/>
      <c r="EO24" s="68"/>
      <c r="EP24" s="59"/>
      <c r="EQ24" s="68"/>
      <c r="ER24" s="59"/>
      <c r="ES24" s="68"/>
      <c r="ET24" s="59"/>
      <c r="EU24" s="68"/>
      <c r="EV24" s="59"/>
      <c r="EW24" s="68"/>
      <c r="EX24" s="59"/>
      <c r="EY24" s="68"/>
      <c r="EZ24" s="59"/>
      <c r="FA24" s="68"/>
      <c r="FB24" s="59"/>
      <c r="FC24" s="68"/>
      <c r="FD24" s="59"/>
      <c r="FE24" s="68"/>
      <c r="FF24" s="59"/>
      <c r="FG24" s="68"/>
      <c r="FH24" s="59"/>
      <c r="FI24" s="68"/>
      <c r="FJ24" s="59"/>
      <c r="FK24" s="68"/>
      <c r="FL24" s="59"/>
      <c r="FM24" s="68"/>
      <c r="FN24" s="59"/>
      <c r="FO24" s="68"/>
      <c r="FP24" s="59"/>
      <c r="FQ24" s="68"/>
      <c r="FR24" s="59"/>
      <c r="FS24" s="68"/>
      <c r="FT24" s="59"/>
      <c r="FU24" s="68"/>
      <c r="FV24" s="59"/>
      <c r="FW24" s="68"/>
      <c r="FX24" s="59"/>
      <c r="FY24" s="68"/>
      <c r="FZ24" s="59"/>
      <c r="GA24" s="68"/>
      <c r="GB24" s="59"/>
      <c r="GC24" s="68"/>
      <c r="GD24" s="59"/>
      <c r="GE24" s="68"/>
      <c r="GF24" s="59"/>
      <c r="GG24" s="68"/>
      <c r="GH24" s="59"/>
      <c r="GI24" s="68"/>
      <c r="GJ24" s="59"/>
      <c r="GK24" s="68"/>
      <c r="GL24" s="59"/>
      <c r="GM24" s="68"/>
      <c r="GN24" s="59"/>
      <c r="GO24" s="68"/>
      <c r="GP24" s="59"/>
      <c r="GQ24" s="68"/>
      <c r="GR24" s="59"/>
      <c r="GS24" s="68"/>
      <c r="GT24" s="59"/>
      <c r="GU24" s="68"/>
      <c r="GV24" s="59"/>
      <c r="GW24" s="68"/>
      <c r="GX24" s="59"/>
      <c r="GY24" s="68"/>
      <c r="GZ24" s="59"/>
    </row>
    <row r="25" customFormat="false" ht="19.5" hidden="false" customHeight="true" outlineLevel="0" collapsed="false">
      <c r="A25" s="64"/>
      <c r="B25" s="65"/>
      <c r="C25" s="65"/>
      <c r="D25" s="66"/>
      <c r="E25" s="67"/>
      <c r="F25" s="17" t="s">
        <v>8</v>
      </c>
      <c r="H25" s="47" t="s">
        <v>104</v>
      </c>
      <c r="I25" s="60"/>
      <c r="J25" s="61"/>
      <c r="K25" s="60"/>
      <c r="L25" s="61"/>
      <c r="M25" s="60"/>
      <c r="N25" s="61"/>
      <c r="O25" s="60"/>
      <c r="P25" s="61"/>
      <c r="Q25" s="60"/>
      <c r="R25" s="61"/>
      <c r="S25" s="60"/>
      <c r="T25" s="61"/>
      <c r="U25" s="60"/>
      <c r="V25" s="61"/>
      <c r="W25" s="60"/>
      <c r="X25" s="61"/>
      <c r="Y25" s="60"/>
      <c r="Z25" s="61"/>
      <c r="AA25" s="60"/>
      <c r="AB25" s="61"/>
      <c r="AC25" s="60"/>
      <c r="AD25" s="61"/>
      <c r="AE25" s="60"/>
      <c r="AF25" s="61"/>
      <c r="AG25" s="60"/>
      <c r="AH25" s="61"/>
      <c r="AI25" s="60"/>
      <c r="AJ25" s="61"/>
      <c r="AK25" s="60"/>
      <c r="AL25" s="61"/>
      <c r="AM25" s="60"/>
      <c r="AN25" s="61"/>
      <c r="AO25" s="60"/>
      <c r="AP25" s="61"/>
      <c r="AQ25" s="60"/>
      <c r="AR25" s="61"/>
      <c r="AS25" s="60"/>
      <c r="AT25" s="61"/>
      <c r="AU25" s="60"/>
      <c r="AV25" s="61"/>
      <c r="AW25" s="60"/>
      <c r="AX25" s="61"/>
      <c r="AY25" s="60"/>
      <c r="AZ25" s="61"/>
      <c r="BA25" s="60"/>
      <c r="BB25" s="61"/>
      <c r="BC25" s="60"/>
      <c r="BD25" s="61"/>
      <c r="BE25" s="60"/>
      <c r="BF25" s="61"/>
      <c r="BG25" s="60"/>
      <c r="BH25" s="61"/>
      <c r="BI25" s="60"/>
      <c r="BJ25" s="61"/>
      <c r="BK25" s="60"/>
      <c r="BL25" s="61"/>
      <c r="BM25" s="60"/>
      <c r="BN25" s="61"/>
      <c r="BO25" s="60"/>
      <c r="BP25" s="61"/>
      <c r="BQ25" s="60"/>
      <c r="BR25" s="61"/>
      <c r="BS25" s="60"/>
      <c r="BT25" s="61"/>
      <c r="BU25" s="60"/>
      <c r="BV25" s="61"/>
      <c r="BW25" s="60"/>
      <c r="BX25" s="61"/>
      <c r="BY25" s="60"/>
      <c r="BZ25" s="61"/>
      <c r="CA25" s="60"/>
      <c r="CB25" s="61"/>
      <c r="CC25" s="60"/>
      <c r="CD25" s="61"/>
      <c r="CE25" s="60"/>
      <c r="CF25" s="61"/>
      <c r="CG25" s="60"/>
      <c r="CH25" s="61"/>
      <c r="CI25" s="60"/>
      <c r="CJ25" s="61"/>
      <c r="CK25" s="60"/>
      <c r="CL25" s="61"/>
      <c r="CM25" s="60"/>
      <c r="CN25" s="61"/>
      <c r="CO25" s="60"/>
      <c r="CP25" s="61"/>
      <c r="CQ25" s="60"/>
      <c r="CR25" s="61"/>
      <c r="CS25" s="60"/>
      <c r="CT25" s="61"/>
      <c r="CU25" s="60"/>
      <c r="CV25" s="61"/>
      <c r="CW25" s="60"/>
      <c r="CX25" s="61"/>
      <c r="CY25" s="60"/>
      <c r="CZ25" s="61"/>
      <c r="DA25" s="60"/>
      <c r="DB25" s="61"/>
      <c r="DC25" s="60"/>
      <c r="DD25" s="61"/>
      <c r="DE25" s="60"/>
      <c r="DF25" s="61"/>
      <c r="DG25" s="60"/>
      <c r="DH25" s="61"/>
      <c r="DI25" s="60"/>
      <c r="DJ25" s="61"/>
      <c r="DK25" s="60"/>
      <c r="DL25" s="61"/>
      <c r="DM25" s="60"/>
      <c r="DN25" s="61"/>
      <c r="DO25" s="60"/>
      <c r="DP25" s="61"/>
      <c r="DQ25" s="60"/>
      <c r="DR25" s="61"/>
      <c r="DS25" s="60"/>
      <c r="DT25" s="61"/>
      <c r="DU25" s="60"/>
      <c r="DV25" s="61"/>
      <c r="DW25" s="60"/>
      <c r="DX25" s="61"/>
      <c r="DY25" s="60"/>
      <c r="DZ25" s="61"/>
      <c r="EA25" s="60"/>
      <c r="EB25" s="61"/>
      <c r="EC25" s="60"/>
      <c r="ED25" s="61"/>
      <c r="EE25" s="60"/>
      <c r="EF25" s="61"/>
      <c r="EG25" s="60"/>
      <c r="EH25" s="61"/>
      <c r="EI25" s="60"/>
      <c r="EJ25" s="61"/>
      <c r="EK25" s="60"/>
      <c r="EL25" s="61"/>
      <c r="EM25" s="60"/>
      <c r="EN25" s="61"/>
      <c r="EO25" s="60"/>
      <c r="EP25" s="61"/>
      <c r="EQ25" s="60"/>
      <c r="ER25" s="61"/>
      <c r="ES25" s="60"/>
      <c r="ET25" s="61"/>
      <c r="EU25" s="60"/>
      <c r="EV25" s="61"/>
      <c r="EW25" s="60"/>
      <c r="EX25" s="61"/>
      <c r="EY25" s="60"/>
      <c r="EZ25" s="61"/>
      <c r="FA25" s="60"/>
      <c r="FB25" s="61"/>
      <c r="FC25" s="60"/>
      <c r="FD25" s="61"/>
      <c r="FE25" s="60"/>
      <c r="FF25" s="61"/>
      <c r="FG25" s="60"/>
      <c r="FH25" s="61"/>
      <c r="FI25" s="60"/>
      <c r="FJ25" s="61"/>
      <c r="FK25" s="60"/>
      <c r="FL25" s="61"/>
      <c r="FM25" s="60"/>
      <c r="FN25" s="61"/>
      <c r="FO25" s="60"/>
      <c r="FP25" s="61"/>
      <c r="FQ25" s="60"/>
      <c r="FR25" s="61"/>
      <c r="FS25" s="60"/>
      <c r="FT25" s="61"/>
      <c r="FU25" s="60"/>
      <c r="FV25" s="61"/>
      <c r="FW25" s="60"/>
      <c r="FX25" s="61"/>
      <c r="FY25" s="60"/>
      <c r="FZ25" s="61"/>
      <c r="GA25" s="60"/>
      <c r="GB25" s="61"/>
      <c r="GC25" s="60"/>
      <c r="GD25" s="61"/>
      <c r="GE25" s="60"/>
      <c r="GF25" s="61"/>
      <c r="GG25" s="60"/>
      <c r="GH25" s="61"/>
      <c r="GI25" s="60"/>
      <c r="GJ25" s="61"/>
      <c r="GK25" s="60"/>
      <c r="GL25" s="61"/>
      <c r="GM25" s="60"/>
      <c r="GN25" s="61"/>
      <c r="GO25" s="60"/>
      <c r="GP25" s="61"/>
      <c r="GQ25" s="60"/>
      <c r="GR25" s="61"/>
      <c r="GS25" s="60"/>
      <c r="GT25" s="61"/>
      <c r="GU25" s="60"/>
      <c r="GV25" s="61"/>
      <c r="GW25" s="60"/>
      <c r="GX25" s="61"/>
      <c r="GY25" s="60"/>
      <c r="GZ25" s="61"/>
    </row>
    <row r="26" customFormat="false" ht="15" hidden="false" customHeight="false" outlineLevel="0" collapsed="false">
      <c r="A26" s="4"/>
      <c r="B26" s="36"/>
      <c r="C26" s="36"/>
      <c r="D26" s="49"/>
      <c r="E26" s="50"/>
      <c r="F26" s="17" t="s">
        <v>105</v>
      </c>
      <c r="H26" s="11" t="s">
        <v>106</v>
      </c>
      <c r="I26" s="62" t="s">
        <v>107</v>
      </c>
      <c r="J26" s="11" t="s">
        <v>108</v>
      </c>
      <c r="K26" s="62" t="s">
        <v>107</v>
      </c>
      <c r="L26" s="11" t="s">
        <v>108</v>
      </c>
      <c r="M26" s="62" t="s">
        <v>107</v>
      </c>
      <c r="N26" s="11" t="s">
        <v>108</v>
      </c>
      <c r="O26" s="62" t="s">
        <v>107</v>
      </c>
      <c r="P26" s="11" t="s">
        <v>108</v>
      </c>
      <c r="Q26" s="62" t="s">
        <v>107</v>
      </c>
      <c r="R26" s="11" t="s">
        <v>108</v>
      </c>
      <c r="S26" s="62" t="s">
        <v>107</v>
      </c>
      <c r="T26" s="11" t="s">
        <v>108</v>
      </c>
      <c r="U26" s="62" t="s">
        <v>107</v>
      </c>
      <c r="V26" s="11" t="s">
        <v>108</v>
      </c>
      <c r="W26" s="62" t="s">
        <v>107</v>
      </c>
      <c r="X26" s="11" t="s">
        <v>108</v>
      </c>
      <c r="Y26" s="62" t="s">
        <v>107</v>
      </c>
      <c r="Z26" s="11" t="s">
        <v>108</v>
      </c>
      <c r="AA26" s="62" t="s">
        <v>107</v>
      </c>
      <c r="AB26" s="11" t="s">
        <v>108</v>
      </c>
      <c r="AC26" s="62" t="s">
        <v>107</v>
      </c>
      <c r="AD26" s="11" t="s">
        <v>108</v>
      </c>
      <c r="AE26" s="62" t="s">
        <v>107</v>
      </c>
      <c r="AF26" s="11" t="s">
        <v>108</v>
      </c>
      <c r="AG26" s="62" t="s">
        <v>107</v>
      </c>
      <c r="AH26" s="11" t="s">
        <v>108</v>
      </c>
      <c r="AI26" s="62" t="s">
        <v>107</v>
      </c>
      <c r="AJ26" s="11" t="s">
        <v>108</v>
      </c>
      <c r="AK26" s="62" t="s">
        <v>107</v>
      </c>
      <c r="AL26" s="11" t="s">
        <v>108</v>
      </c>
      <c r="AM26" s="62" t="s">
        <v>107</v>
      </c>
      <c r="AN26" s="11" t="s">
        <v>108</v>
      </c>
      <c r="AO26" s="62" t="s">
        <v>107</v>
      </c>
      <c r="AP26" s="11" t="s">
        <v>108</v>
      </c>
      <c r="AQ26" s="62" t="s">
        <v>107</v>
      </c>
      <c r="AR26" s="11" t="s">
        <v>108</v>
      </c>
      <c r="AS26" s="62" t="s">
        <v>107</v>
      </c>
      <c r="AT26" s="11" t="s">
        <v>108</v>
      </c>
      <c r="AU26" s="62" t="s">
        <v>107</v>
      </c>
      <c r="AV26" s="11" t="s">
        <v>108</v>
      </c>
      <c r="AW26" s="62" t="s">
        <v>107</v>
      </c>
      <c r="AX26" s="11" t="s">
        <v>108</v>
      </c>
      <c r="AY26" s="62" t="s">
        <v>107</v>
      </c>
      <c r="AZ26" s="11" t="s">
        <v>108</v>
      </c>
      <c r="BA26" s="62" t="s">
        <v>107</v>
      </c>
      <c r="BB26" s="11" t="s">
        <v>108</v>
      </c>
      <c r="BC26" s="62" t="s">
        <v>107</v>
      </c>
      <c r="BD26" s="11" t="s">
        <v>108</v>
      </c>
      <c r="BE26" s="62" t="s">
        <v>107</v>
      </c>
      <c r="BF26" s="11" t="s">
        <v>108</v>
      </c>
      <c r="BG26" s="62" t="s">
        <v>107</v>
      </c>
      <c r="BH26" s="11" t="s">
        <v>108</v>
      </c>
      <c r="BI26" s="62" t="s">
        <v>107</v>
      </c>
      <c r="BJ26" s="11" t="s">
        <v>108</v>
      </c>
      <c r="BK26" s="62" t="s">
        <v>107</v>
      </c>
      <c r="BL26" s="11" t="s">
        <v>108</v>
      </c>
      <c r="BM26" s="62" t="s">
        <v>107</v>
      </c>
      <c r="BN26" s="11" t="s">
        <v>108</v>
      </c>
      <c r="BO26" s="62" t="s">
        <v>107</v>
      </c>
      <c r="BP26" s="11" t="s">
        <v>108</v>
      </c>
      <c r="BQ26" s="62" t="s">
        <v>107</v>
      </c>
      <c r="BR26" s="11" t="s">
        <v>108</v>
      </c>
      <c r="BS26" s="62" t="s">
        <v>107</v>
      </c>
      <c r="BT26" s="11" t="s">
        <v>108</v>
      </c>
      <c r="BU26" s="62" t="s">
        <v>107</v>
      </c>
      <c r="BV26" s="11" t="s">
        <v>108</v>
      </c>
      <c r="BW26" s="62" t="s">
        <v>107</v>
      </c>
      <c r="BX26" s="11" t="s">
        <v>108</v>
      </c>
      <c r="BY26" s="62" t="s">
        <v>107</v>
      </c>
      <c r="BZ26" s="11" t="s">
        <v>108</v>
      </c>
      <c r="CA26" s="62" t="s">
        <v>107</v>
      </c>
      <c r="CB26" s="11" t="s">
        <v>108</v>
      </c>
      <c r="CC26" s="62" t="s">
        <v>107</v>
      </c>
      <c r="CD26" s="11" t="s">
        <v>108</v>
      </c>
      <c r="CE26" s="62" t="s">
        <v>107</v>
      </c>
      <c r="CF26" s="11" t="s">
        <v>108</v>
      </c>
      <c r="CG26" s="62" t="s">
        <v>107</v>
      </c>
      <c r="CH26" s="11" t="s">
        <v>108</v>
      </c>
      <c r="CI26" s="62" t="s">
        <v>107</v>
      </c>
      <c r="CJ26" s="11" t="s">
        <v>108</v>
      </c>
      <c r="CK26" s="62" t="s">
        <v>107</v>
      </c>
      <c r="CL26" s="11" t="s">
        <v>108</v>
      </c>
      <c r="CM26" s="62" t="s">
        <v>107</v>
      </c>
      <c r="CN26" s="11" t="s">
        <v>108</v>
      </c>
      <c r="CO26" s="62" t="s">
        <v>107</v>
      </c>
      <c r="CP26" s="11" t="s">
        <v>108</v>
      </c>
      <c r="CQ26" s="62" t="s">
        <v>107</v>
      </c>
      <c r="CR26" s="11" t="s">
        <v>108</v>
      </c>
      <c r="CS26" s="62" t="s">
        <v>107</v>
      </c>
      <c r="CT26" s="11" t="s">
        <v>108</v>
      </c>
      <c r="CU26" s="62" t="s">
        <v>107</v>
      </c>
      <c r="CV26" s="11" t="s">
        <v>108</v>
      </c>
      <c r="CW26" s="62" t="s">
        <v>107</v>
      </c>
      <c r="CX26" s="11" t="s">
        <v>108</v>
      </c>
      <c r="CY26" s="62" t="s">
        <v>107</v>
      </c>
      <c r="CZ26" s="11" t="s">
        <v>108</v>
      </c>
      <c r="DA26" s="62" t="s">
        <v>107</v>
      </c>
      <c r="DB26" s="11" t="s">
        <v>108</v>
      </c>
      <c r="DC26" s="62" t="s">
        <v>107</v>
      </c>
      <c r="DD26" s="11" t="s">
        <v>108</v>
      </c>
      <c r="DE26" s="62" t="s">
        <v>107</v>
      </c>
      <c r="DF26" s="11" t="s">
        <v>108</v>
      </c>
      <c r="DG26" s="62" t="s">
        <v>107</v>
      </c>
      <c r="DH26" s="11" t="s">
        <v>108</v>
      </c>
      <c r="DI26" s="62" t="s">
        <v>107</v>
      </c>
      <c r="DJ26" s="11" t="s">
        <v>108</v>
      </c>
      <c r="DK26" s="62" t="s">
        <v>107</v>
      </c>
      <c r="DL26" s="11" t="s">
        <v>108</v>
      </c>
      <c r="DM26" s="62" t="s">
        <v>107</v>
      </c>
      <c r="DN26" s="11" t="s">
        <v>108</v>
      </c>
      <c r="DO26" s="62" t="s">
        <v>107</v>
      </c>
      <c r="DP26" s="11" t="s">
        <v>108</v>
      </c>
      <c r="DQ26" s="62" t="s">
        <v>107</v>
      </c>
      <c r="DR26" s="11" t="s">
        <v>108</v>
      </c>
      <c r="DS26" s="62" t="s">
        <v>107</v>
      </c>
      <c r="DT26" s="11" t="s">
        <v>108</v>
      </c>
      <c r="DU26" s="62" t="s">
        <v>107</v>
      </c>
      <c r="DV26" s="11" t="s">
        <v>108</v>
      </c>
      <c r="DW26" s="62" t="s">
        <v>107</v>
      </c>
      <c r="DX26" s="11" t="s">
        <v>108</v>
      </c>
      <c r="DY26" s="62" t="s">
        <v>107</v>
      </c>
      <c r="DZ26" s="11" t="s">
        <v>108</v>
      </c>
      <c r="EA26" s="62" t="s">
        <v>107</v>
      </c>
      <c r="EB26" s="11" t="s">
        <v>108</v>
      </c>
      <c r="EC26" s="62" t="s">
        <v>107</v>
      </c>
      <c r="ED26" s="11" t="s">
        <v>108</v>
      </c>
      <c r="EE26" s="62" t="s">
        <v>107</v>
      </c>
      <c r="EF26" s="11" t="s">
        <v>108</v>
      </c>
      <c r="EG26" s="62" t="s">
        <v>107</v>
      </c>
      <c r="EH26" s="11" t="s">
        <v>108</v>
      </c>
      <c r="EI26" s="62" t="s">
        <v>107</v>
      </c>
      <c r="EJ26" s="11" t="s">
        <v>108</v>
      </c>
      <c r="EK26" s="62" t="s">
        <v>107</v>
      </c>
      <c r="EL26" s="11" t="s">
        <v>108</v>
      </c>
      <c r="EM26" s="62" t="s">
        <v>107</v>
      </c>
      <c r="EN26" s="11" t="s">
        <v>108</v>
      </c>
      <c r="EO26" s="62" t="s">
        <v>107</v>
      </c>
      <c r="EP26" s="11" t="s">
        <v>108</v>
      </c>
      <c r="EQ26" s="62" t="s">
        <v>107</v>
      </c>
      <c r="ER26" s="11" t="s">
        <v>108</v>
      </c>
      <c r="ES26" s="62" t="s">
        <v>107</v>
      </c>
      <c r="ET26" s="11" t="s">
        <v>108</v>
      </c>
      <c r="EU26" s="62" t="s">
        <v>107</v>
      </c>
      <c r="EV26" s="11" t="s">
        <v>108</v>
      </c>
      <c r="EW26" s="62" t="s">
        <v>107</v>
      </c>
      <c r="EX26" s="11" t="s">
        <v>108</v>
      </c>
      <c r="EY26" s="62" t="s">
        <v>107</v>
      </c>
      <c r="EZ26" s="11" t="s">
        <v>108</v>
      </c>
      <c r="FA26" s="62" t="s">
        <v>107</v>
      </c>
      <c r="FB26" s="11" t="s">
        <v>108</v>
      </c>
      <c r="FC26" s="62" t="s">
        <v>107</v>
      </c>
      <c r="FD26" s="11" t="s">
        <v>108</v>
      </c>
      <c r="FE26" s="62" t="s">
        <v>107</v>
      </c>
      <c r="FF26" s="11" t="s">
        <v>108</v>
      </c>
      <c r="FG26" s="62" t="s">
        <v>107</v>
      </c>
      <c r="FH26" s="11" t="s">
        <v>108</v>
      </c>
      <c r="FI26" s="62" t="s">
        <v>107</v>
      </c>
      <c r="FJ26" s="11" t="s">
        <v>108</v>
      </c>
      <c r="FK26" s="62" t="s">
        <v>107</v>
      </c>
      <c r="FL26" s="11" t="s">
        <v>108</v>
      </c>
      <c r="FM26" s="62" t="s">
        <v>107</v>
      </c>
      <c r="FN26" s="11" t="s">
        <v>108</v>
      </c>
      <c r="FO26" s="62" t="s">
        <v>107</v>
      </c>
      <c r="FP26" s="11" t="s">
        <v>108</v>
      </c>
      <c r="FQ26" s="62" t="s">
        <v>107</v>
      </c>
      <c r="FR26" s="11" t="s">
        <v>108</v>
      </c>
      <c r="FS26" s="62" t="s">
        <v>107</v>
      </c>
      <c r="FT26" s="11" t="s">
        <v>108</v>
      </c>
      <c r="FU26" s="62" t="s">
        <v>107</v>
      </c>
      <c r="FV26" s="11" t="s">
        <v>108</v>
      </c>
      <c r="FW26" s="62" t="s">
        <v>107</v>
      </c>
      <c r="FX26" s="11" t="s">
        <v>108</v>
      </c>
      <c r="FY26" s="62" t="s">
        <v>107</v>
      </c>
      <c r="FZ26" s="11" t="s">
        <v>108</v>
      </c>
      <c r="GA26" s="62" t="s">
        <v>107</v>
      </c>
      <c r="GB26" s="11" t="s">
        <v>108</v>
      </c>
      <c r="GC26" s="62" t="s">
        <v>107</v>
      </c>
      <c r="GD26" s="11" t="s">
        <v>108</v>
      </c>
      <c r="GE26" s="62" t="s">
        <v>107</v>
      </c>
      <c r="GF26" s="11" t="s">
        <v>108</v>
      </c>
      <c r="GG26" s="62" t="s">
        <v>107</v>
      </c>
      <c r="GH26" s="11" t="s">
        <v>108</v>
      </c>
      <c r="GI26" s="62" t="s">
        <v>107</v>
      </c>
      <c r="GJ26" s="11" t="s">
        <v>108</v>
      </c>
      <c r="GK26" s="62" t="s">
        <v>107</v>
      </c>
      <c r="GL26" s="11" t="s">
        <v>108</v>
      </c>
      <c r="GM26" s="62" t="s">
        <v>107</v>
      </c>
      <c r="GN26" s="11" t="s">
        <v>108</v>
      </c>
      <c r="GO26" s="62" t="s">
        <v>107</v>
      </c>
      <c r="GP26" s="11" t="s">
        <v>108</v>
      </c>
      <c r="GQ26" s="62" t="s">
        <v>107</v>
      </c>
      <c r="GR26" s="11" t="s">
        <v>108</v>
      </c>
      <c r="GS26" s="62" t="s">
        <v>107</v>
      </c>
      <c r="GT26" s="11" t="s">
        <v>108</v>
      </c>
      <c r="GU26" s="62" t="s">
        <v>107</v>
      </c>
      <c r="GV26" s="11" t="s">
        <v>108</v>
      </c>
      <c r="GW26" s="62" t="s">
        <v>107</v>
      </c>
      <c r="GX26" s="11" t="s">
        <v>108</v>
      </c>
      <c r="GY26" s="62" t="s">
        <v>107</v>
      </c>
      <c r="GZ26" s="11" t="s">
        <v>108</v>
      </c>
    </row>
    <row r="27" customFormat="false" ht="15" hidden="false" customHeight="false" outlineLevel="0" collapsed="false">
      <c r="A27" s="54"/>
      <c r="B27" s="55"/>
      <c r="C27" s="55"/>
      <c r="D27" s="56"/>
      <c r="E27" s="57"/>
      <c r="F27" s="17" t="s">
        <v>109</v>
      </c>
      <c r="H27" s="69" t="str">
        <f aca="false">""</f>
        <v/>
      </c>
      <c r="I27" s="70"/>
      <c r="J27" s="71"/>
      <c r="K27" s="70"/>
      <c r="L27" s="71"/>
      <c r="M27" s="70"/>
      <c r="N27" s="71"/>
      <c r="O27" s="70"/>
      <c r="P27" s="71"/>
      <c r="Q27" s="70"/>
      <c r="R27" s="71"/>
      <c r="S27" s="70"/>
      <c r="T27" s="71"/>
      <c r="U27" s="70"/>
      <c r="V27" s="71"/>
      <c r="W27" s="70"/>
      <c r="X27" s="71"/>
      <c r="Y27" s="70"/>
      <c r="Z27" s="71"/>
      <c r="AA27" s="70"/>
      <c r="AB27" s="71"/>
      <c r="AC27" s="70"/>
      <c r="AD27" s="71"/>
      <c r="AE27" s="70"/>
      <c r="AF27" s="71"/>
      <c r="AG27" s="70"/>
      <c r="AH27" s="71"/>
      <c r="AI27" s="70"/>
      <c r="AJ27" s="71"/>
      <c r="AK27" s="70"/>
      <c r="AL27" s="71"/>
      <c r="AM27" s="70"/>
      <c r="AN27" s="71"/>
      <c r="AO27" s="70"/>
      <c r="AP27" s="71"/>
      <c r="AQ27" s="70"/>
      <c r="AR27" s="71"/>
      <c r="AS27" s="70"/>
      <c r="AT27" s="71"/>
      <c r="AU27" s="70"/>
      <c r="AV27" s="71"/>
      <c r="AW27" s="70"/>
      <c r="AX27" s="71"/>
      <c r="AY27" s="70"/>
      <c r="AZ27" s="71"/>
      <c r="BA27" s="70"/>
      <c r="BB27" s="71"/>
      <c r="BC27" s="70"/>
      <c r="BD27" s="71"/>
      <c r="BE27" s="70"/>
      <c r="BF27" s="71"/>
      <c r="BG27" s="70"/>
      <c r="BH27" s="71"/>
      <c r="BI27" s="70"/>
      <c r="BJ27" s="71"/>
      <c r="BK27" s="70"/>
      <c r="BL27" s="71"/>
      <c r="BM27" s="70"/>
      <c r="BN27" s="71"/>
      <c r="BO27" s="70"/>
      <c r="BP27" s="71"/>
      <c r="BQ27" s="70"/>
      <c r="BR27" s="71"/>
      <c r="BS27" s="70"/>
      <c r="BT27" s="71"/>
      <c r="BU27" s="70"/>
      <c r="BV27" s="71"/>
      <c r="BW27" s="70"/>
      <c r="BX27" s="71"/>
      <c r="BY27" s="70"/>
      <c r="BZ27" s="71"/>
      <c r="CA27" s="70"/>
      <c r="CB27" s="71"/>
      <c r="CC27" s="70"/>
      <c r="CD27" s="71"/>
      <c r="CE27" s="70"/>
      <c r="CF27" s="71"/>
      <c r="CG27" s="70"/>
      <c r="CH27" s="71"/>
      <c r="CI27" s="70"/>
      <c r="CJ27" s="71"/>
      <c r="CK27" s="70"/>
      <c r="CL27" s="71"/>
      <c r="CM27" s="70"/>
      <c r="CN27" s="71"/>
      <c r="CO27" s="70"/>
      <c r="CP27" s="71"/>
      <c r="CQ27" s="70"/>
      <c r="CR27" s="71"/>
      <c r="CS27" s="70"/>
      <c r="CT27" s="71"/>
      <c r="CU27" s="70"/>
      <c r="CV27" s="71"/>
      <c r="CW27" s="70"/>
      <c r="CX27" s="71"/>
      <c r="CY27" s="70"/>
      <c r="CZ27" s="71"/>
      <c r="DA27" s="70"/>
      <c r="DB27" s="71"/>
      <c r="DC27" s="70"/>
      <c r="DD27" s="71"/>
      <c r="DE27" s="70"/>
      <c r="DF27" s="71"/>
      <c r="DG27" s="70"/>
      <c r="DH27" s="71"/>
      <c r="DI27" s="70"/>
      <c r="DJ27" s="71"/>
      <c r="DK27" s="70"/>
      <c r="DL27" s="71"/>
      <c r="DM27" s="70"/>
      <c r="DN27" s="71"/>
      <c r="DO27" s="70"/>
      <c r="DP27" s="71"/>
      <c r="DQ27" s="70"/>
      <c r="DR27" s="71"/>
      <c r="DS27" s="70"/>
      <c r="DT27" s="71"/>
      <c r="DU27" s="70"/>
      <c r="DV27" s="71"/>
      <c r="DW27" s="70"/>
      <c r="DX27" s="71"/>
      <c r="DY27" s="70"/>
      <c r="DZ27" s="71"/>
      <c r="EA27" s="70"/>
      <c r="EB27" s="71"/>
      <c r="EC27" s="70"/>
      <c r="ED27" s="71"/>
      <c r="EE27" s="70"/>
      <c r="EF27" s="71"/>
      <c r="EG27" s="70"/>
      <c r="EH27" s="71"/>
      <c r="EI27" s="70"/>
      <c r="EJ27" s="71"/>
      <c r="EK27" s="70"/>
      <c r="EL27" s="71"/>
      <c r="EM27" s="70"/>
      <c r="EN27" s="71"/>
      <c r="EO27" s="70"/>
      <c r="EP27" s="71"/>
      <c r="EQ27" s="70"/>
      <c r="ER27" s="71"/>
      <c r="ES27" s="70"/>
      <c r="ET27" s="71"/>
      <c r="EU27" s="70"/>
      <c r="EV27" s="71"/>
      <c r="EW27" s="70"/>
      <c r="EX27" s="71"/>
      <c r="EY27" s="70"/>
      <c r="EZ27" s="71"/>
      <c r="FA27" s="70"/>
      <c r="FB27" s="71"/>
      <c r="FC27" s="70"/>
      <c r="FD27" s="71"/>
      <c r="FE27" s="70"/>
      <c r="FF27" s="71"/>
      <c r="FG27" s="70"/>
      <c r="FH27" s="71"/>
      <c r="FI27" s="70"/>
      <c r="FJ27" s="71"/>
      <c r="FK27" s="70"/>
      <c r="FL27" s="71"/>
      <c r="FM27" s="70"/>
      <c r="FN27" s="71"/>
      <c r="FO27" s="70"/>
      <c r="FP27" s="71"/>
      <c r="FQ27" s="70"/>
      <c r="FR27" s="71"/>
      <c r="FS27" s="70"/>
      <c r="FT27" s="71"/>
      <c r="FU27" s="70"/>
      <c r="FV27" s="71"/>
      <c r="FW27" s="70"/>
      <c r="FX27" s="71"/>
      <c r="FY27" s="70"/>
      <c r="FZ27" s="71"/>
      <c r="GA27" s="70"/>
      <c r="GB27" s="71"/>
      <c r="GC27" s="70"/>
      <c r="GD27" s="71"/>
      <c r="GE27" s="70"/>
      <c r="GF27" s="71"/>
      <c r="GG27" s="70"/>
      <c r="GH27" s="71"/>
      <c r="GI27" s="70"/>
      <c r="GJ27" s="71"/>
      <c r="GK27" s="70"/>
      <c r="GL27" s="71"/>
      <c r="GM27" s="70"/>
      <c r="GN27" s="71"/>
      <c r="GO27" s="70"/>
      <c r="GP27" s="71"/>
      <c r="GQ27" s="70"/>
      <c r="GR27" s="71"/>
      <c r="GS27" s="70"/>
      <c r="GT27" s="71"/>
      <c r="GU27" s="70"/>
      <c r="GV27" s="71"/>
      <c r="GW27" s="70"/>
      <c r="GX27" s="71"/>
      <c r="GY27" s="70"/>
      <c r="GZ27" s="71"/>
    </row>
    <row r="28" customFormat="false" ht="15" hidden="false" customHeight="false" outlineLevel="0" collapsed="false">
      <c r="A28" s="4"/>
      <c r="B28" s="36"/>
      <c r="C28" s="36"/>
      <c r="D28" s="49"/>
      <c r="E28" s="50"/>
      <c r="F28" s="17" t="s">
        <v>110</v>
      </c>
      <c r="H28" s="72" t="str">
        <f aca="false">IF(OR('Довідник категорій'!B6="",'Довідник категорій'!B5=""),"",'Довідник категорій'!B6&amp;"  ↔  "&amp;'Довідник категорій'!B5)</f>
        <v>Forest View Chalet  ↔  Classic Chalet</v>
      </c>
      <c r="I28" s="70" t="n">
        <f aca="false">IF(OR(I13="",I12=""),"",I13-I12)</f>
        <v>500</v>
      </c>
      <c r="J28" s="71" t="n">
        <f aca="false">IF(OR(I13="",I12="",I12=0),"",I13/I12-1)</f>
        <v>0.142857142857143</v>
      </c>
      <c r="K28" s="70" t="n">
        <f aca="false">IF(OR(K13="",K12=""),"",K13-K12)</f>
        <v>500</v>
      </c>
      <c r="L28" s="71" t="n">
        <f aca="false">IF(OR(K13="",K12="",K12=0),"",K13/K12-1)</f>
        <v>0.0833333333333333</v>
      </c>
      <c r="M28" s="70" t="n">
        <f aca="false">IF(OR(M13="",M12=""),"",M13-M12)</f>
        <v>350</v>
      </c>
      <c r="N28" s="71" t="n">
        <f aca="false">IF(OR(M13="",M12="",M12=0),"",M13/M12-1)</f>
        <v>0.0833333333333333</v>
      </c>
      <c r="O28" s="70" t="n">
        <f aca="false">IF(OR(O13="",O12=""),"",O13-O12)</f>
        <v>425</v>
      </c>
      <c r="P28" s="71" t="n">
        <f aca="false">IF(OR(O13="",O12="",O12=0),"",O13/O12-1)</f>
        <v>0.0833333333333333</v>
      </c>
      <c r="Q28" s="70" t="n">
        <f aca="false">IF(OR(Q13="",Q12=""),"",Q13-Q12)</f>
        <v>374.99</v>
      </c>
      <c r="R28" s="71" t="n">
        <f aca="false">IF(OR(Q13="",Q12="",Q12=0),"",Q13/Q12-1)</f>
        <v>0.0833333333333333</v>
      </c>
      <c r="S28" s="70" t="n">
        <f aca="false">IF(OR(S13="",S12=""),"",S13-S12)</f>
        <v>455.344999999999</v>
      </c>
      <c r="T28" s="71" t="n">
        <f aca="false">IF(OR(S13="",S12="",S12=0),"",S13/S12-1)</f>
        <v>0.0833333333333333</v>
      </c>
      <c r="U28" s="70" t="n">
        <f aca="false">IF(OR(U13="",U12=""),"",U13-U12)</f>
        <v>401.764286</v>
      </c>
      <c r="V28" s="71" t="n">
        <f aca="false">IF(OR(U13="",U12="",U12=0),"",U13/U12-1)</f>
        <v>0.0833333333333333</v>
      </c>
      <c r="W28" s="70" t="n">
        <f aca="false">IF(OR(W13="",W12=""),"",W13-W12)</f>
        <v>487.856632999999</v>
      </c>
      <c r="X28" s="71" t="n">
        <f aca="false">IF(OR(W13="",W12="",W12=0),"",W13/W12-1)</f>
        <v>0.0833333333333333</v>
      </c>
      <c r="Y28" s="70" t="n">
        <f aca="false">IF(OR(Y13="",Y12=""),"",Y13-Y12)</f>
        <v>430.450256</v>
      </c>
      <c r="Z28" s="71" t="n">
        <f aca="false">IF(OR(Y13="",Y12="",Y12=0),"",Y13/Y12-1)</f>
        <v>0.0833333333333333</v>
      </c>
      <c r="AA28" s="70" t="n">
        <f aca="false">IF(OR(AA13="",AA12=""),"",AA13-AA12)</f>
        <v>522.689597000001</v>
      </c>
      <c r="AB28" s="71" t="n">
        <f aca="false">IF(OR(AA13="",AA12="",AA12=0),"",AA13/AA12-1)</f>
        <v>0.0833333333997632</v>
      </c>
      <c r="AC28" s="70" t="n">
        <f aca="false">IF(OR(AC13="",AC12=""),"",AC13-AC12)</f>
        <v>461.184404000001</v>
      </c>
      <c r="AD28" s="71" t="n">
        <f aca="false">IF(OR(AC13="",AC12="",AC12=0),"",AC13/AC12-1)</f>
        <v>0.0833333332731021</v>
      </c>
      <c r="AE28" s="70" t="n">
        <f aca="false">IF(OR(AE13="",AE12=""),"",AE13-AE12)</f>
        <v>560.009633</v>
      </c>
      <c r="AF28" s="71" t="n">
        <f aca="false">IF(OR(AE13="",AE12="",AE12=0),"",AE13/AE12-1)</f>
        <v>0.0833333332093276</v>
      </c>
      <c r="AG28" s="70" t="str">
        <f aca="false">IF(OR(AG13="",AG12=""),"",AG13-AG12)</f>
        <v/>
      </c>
      <c r="AH28" s="71" t="str">
        <f aca="false">IF(OR(AG13="",AG12="",AG12=0),"",AG13/AG12-1)</f>
        <v/>
      </c>
      <c r="AI28" s="70" t="str">
        <f aca="false">IF(OR(AI13="",AI12=""),"",AI13-AI12)</f>
        <v/>
      </c>
      <c r="AJ28" s="71" t="str">
        <f aca="false">IF(OR(AI13="",AI12="",AI12=0),"",AI13/AI12-1)</f>
        <v/>
      </c>
      <c r="AK28" s="70" t="str">
        <f aca="false">IF(OR(AK13="",AK12=""),"",AK13-AK12)</f>
        <v/>
      </c>
      <c r="AL28" s="71" t="str">
        <f aca="false">IF(OR(AK13="",AK12="",AK12=0),"",AK13/AK12-1)</f>
        <v/>
      </c>
      <c r="AM28" s="70" t="str">
        <f aca="false">IF(OR(AM13="",AM12=""),"",AM13-AM12)</f>
        <v/>
      </c>
      <c r="AN28" s="71" t="str">
        <f aca="false">IF(OR(AM13="",AM12="",AM12=0),"",AM13/AM12-1)</f>
        <v/>
      </c>
      <c r="AO28" s="70" t="str">
        <f aca="false">IF(OR(AO13="",AO12=""),"",AO13-AO12)</f>
        <v/>
      </c>
      <c r="AP28" s="71" t="str">
        <f aca="false">IF(OR(AO13="",AO12="",AO12=0),"",AO13/AO12-1)</f>
        <v/>
      </c>
      <c r="AQ28" s="70" t="str">
        <f aca="false">IF(OR(AQ13="",AQ12=""),"",AQ13-AQ12)</f>
        <v/>
      </c>
      <c r="AR28" s="71" t="str">
        <f aca="false">IF(OR(AQ13="",AQ12="",AQ12=0),"",AQ13/AQ12-1)</f>
        <v/>
      </c>
      <c r="AS28" s="70" t="str">
        <f aca="false">IF(OR(AS13="",AS12=""),"",AS13-AS12)</f>
        <v/>
      </c>
      <c r="AT28" s="71" t="str">
        <f aca="false">IF(OR(AS13="",AS12="",AS12=0),"",AS13/AS12-1)</f>
        <v/>
      </c>
      <c r="AU28" s="70" t="str">
        <f aca="false">IF(OR(AU13="",AU12=""),"",AU13-AU12)</f>
        <v/>
      </c>
      <c r="AV28" s="71" t="str">
        <f aca="false">IF(OR(AU13="",AU12="",AU12=0),"",AU13/AU12-1)</f>
        <v/>
      </c>
      <c r="AW28" s="70" t="str">
        <f aca="false">IF(OR(AW13="",AW12=""),"",AW13-AW12)</f>
        <v/>
      </c>
      <c r="AX28" s="71" t="str">
        <f aca="false">IF(OR(AW13="",AW12="",AW12=0),"",AW13/AW12-1)</f>
        <v/>
      </c>
      <c r="AY28" s="70" t="str">
        <f aca="false">IF(OR(AY13="",AY12=""),"",AY13-AY12)</f>
        <v/>
      </c>
      <c r="AZ28" s="71" t="str">
        <f aca="false">IF(OR(AY13="",AY12="",AY12=0),"",AY13/AY12-1)</f>
        <v/>
      </c>
      <c r="BA28" s="70" t="str">
        <f aca="false">IF(OR(BA13="",BA12=""),"",BA13-BA12)</f>
        <v/>
      </c>
      <c r="BB28" s="71" t="str">
        <f aca="false">IF(OR(BA13="",BA12="",BA12=0),"",BA13/BA12-1)</f>
        <v/>
      </c>
      <c r="BC28" s="70" t="str">
        <f aca="false">IF(OR(BC13="",BC12=""),"",BC13-BC12)</f>
        <v/>
      </c>
      <c r="BD28" s="71" t="str">
        <f aca="false">IF(OR(BC13="",BC12="",BC12=0),"",BC13/BC12-1)</f>
        <v/>
      </c>
      <c r="BE28" s="70" t="str">
        <f aca="false">IF(OR(BE13="",BE12=""),"",BE13-BE12)</f>
        <v/>
      </c>
      <c r="BF28" s="71" t="str">
        <f aca="false">IF(OR(BE13="",BE12="",BE12=0),"",BE13/BE12-1)</f>
        <v/>
      </c>
      <c r="BG28" s="70" t="str">
        <f aca="false">IF(OR(BG13="",BG12=""),"",BG13-BG12)</f>
        <v/>
      </c>
      <c r="BH28" s="71" t="str">
        <f aca="false">IF(OR(BG13="",BG12="",BG12=0),"",BG13/BG12-1)</f>
        <v/>
      </c>
      <c r="BI28" s="70" t="str">
        <f aca="false">IF(OR(BI13="",BI12=""),"",BI13-BI12)</f>
        <v/>
      </c>
      <c r="BJ28" s="71" t="str">
        <f aca="false">IF(OR(BI13="",BI12="",BI12=0),"",BI13/BI12-1)</f>
        <v/>
      </c>
      <c r="BK28" s="70" t="str">
        <f aca="false">IF(OR(BK13="",BK12=""),"",BK13-BK12)</f>
        <v/>
      </c>
      <c r="BL28" s="71" t="str">
        <f aca="false">IF(OR(BK13="",BK12="",BK12=0),"",BK13/BK12-1)</f>
        <v/>
      </c>
      <c r="BM28" s="70" t="str">
        <f aca="false">IF(OR(BM13="",BM12=""),"",BM13-BM12)</f>
        <v/>
      </c>
      <c r="BN28" s="71" t="str">
        <f aca="false">IF(OR(BM13="",BM12="",BM12=0),"",BM13/BM12-1)</f>
        <v/>
      </c>
      <c r="BO28" s="70" t="str">
        <f aca="false">IF(OR(BO13="",BO12=""),"",BO13-BO12)</f>
        <v/>
      </c>
      <c r="BP28" s="71" t="str">
        <f aca="false">IF(OR(BO13="",BO12="",BO12=0),"",BO13/BO12-1)</f>
        <v/>
      </c>
      <c r="BQ28" s="70" t="str">
        <f aca="false">IF(OR(BQ13="",BQ12=""),"",BQ13-BQ12)</f>
        <v/>
      </c>
      <c r="BR28" s="71" t="str">
        <f aca="false">IF(OR(BQ13="",BQ12="",BQ12=0),"",BQ13/BQ12-1)</f>
        <v/>
      </c>
      <c r="BS28" s="70" t="str">
        <f aca="false">IF(OR(BS13="",BS12=""),"",BS13-BS12)</f>
        <v/>
      </c>
      <c r="BT28" s="71" t="str">
        <f aca="false">IF(OR(BS13="",BS12="",BS12=0),"",BS13/BS12-1)</f>
        <v/>
      </c>
      <c r="BU28" s="70" t="str">
        <f aca="false">IF(OR(BU13="",BU12=""),"",BU13-BU12)</f>
        <v/>
      </c>
      <c r="BV28" s="71" t="str">
        <f aca="false">IF(OR(BU13="",BU12="",BU12=0),"",BU13/BU12-1)</f>
        <v/>
      </c>
      <c r="BW28" s="70" t="str">
        <f aca="false">IF(OR(BW13="",BW12=""),"",BW13-BW12)</f>
        <v/>
      </c>
      <c r="BX28" s="71" t="str">
        <f aca="false">IF(OR(BW13="",BW12="",BW12=0),"",BW13/BW12-1)</f>
        <v/>
      </c>
      <c r="BY28" s="70" t="str">
        <f aca="false">IF(OR(BY13="",BY12=""),"",BY13-BY12)</f>
        <v/>
      </c>
      <c r="BZ28" s="71" t="str">
        <f aca="false">IF(OR(BY13="",BY12="",BY12=0),"",BY13/BY12-1)</f>
        <v/>
      </c>
      <c r="CA28" s="70" t="str">
        <f aca="false">IF(OR(CA13="",CA12=""),"",CA13-CA12)</f>
        <v/>
      </c>
      <c r="CB28" s="71" t="str">
        <f aca="false">IF(OR(CA13="",CA12="",CA12=0),"",CA13/CA12-1)</f>
        <v/>
      </c>
      <c r="CC28" s="70" t="str">
        <f aca="false">IF(OR(CC13="",CC12=""),"",CC13-CC12)</f>
        <v/>
      </c>
      <c r="CD28" s="71" t="str">
        <f aca="false">IF(OR(CC13="",CC12="",CC12=0),"",CC13/CC12-1)</f>
        <v/>
      </c>
      <c r="CE28" s="70" t="str">
        <f aca="false">IF(OR(CE13="",CE12=""),"",CE13-CE12)</f>
        <v/>
      </c>
      <c r="CF28" s="71" t="str">
        <f aca="false">IF(OR(CE13="",CE12="",CE12=0),"",CE13/CE12-1)</f>
        <v/>
      </c>
      <c r="CG28" s="70" t="str">
        <f aca="false">IF(OR(CG13="",CG12=""),"",CG13-CG12)</f>
        <v/>
      </c>
      <c r="CH28" s="71" t="str">
        <f aca="false">IF(OR(CG13="",CG12="",CG12=0),"",CG13/CG12-1)</f>
        <v/>
      </c>
      <c r="CI28" s="70" t="str">
        <f aca="false">IF(OR(CI13="",CI12=""),"",CI13-CI12)</f>
        <v/>
      </c>
      <c r="CJ28" s="71" t="str">
        <f aca="false">IF(OR(CI13="",CI12="",CI12=0),"",CI13/CI12-1)</f>
        <v/>
      </c>
      <c r="CK28" s="70" t="str">
        <f aca="false">IF(OR(CK13="",CK12=""),"",CK13-CK12)</f>
        <v/>
      </c>
      <c r="CL28" s="71" t="str">
        <f aca="false">IF(OR(CK13="",CK12="",CK12=0),"",CK13/CK12-1)</f>
        <v/>
      </c>
      <c r="CM28" s="70" t="str">
        <f aca="false">IF(OR(CM13="",CM12=""),"",CM13-CM12)</f>
        <v/>
      </c>
      <c r="CN28" s="71" t="str">
        <f aca="false">IF(OR(CM13="",CM12="",CM12=0),"",CM13/CM12-1)</f>
        <v/>
      </c>
      <c r="CO28" s="70" t="str">
        <f aca="false">IF(OR(CO13="",CO12=""),"",CO13-CO12)</f>
        <v/>
      </c>
      <c r="CP28" s="71" t="str">
        <f aca="false">IF(OR(CO13="",CO12="",CO12=0),"",CO13/CO12-1)</f>
        <v/>
      </c>
      <c r="CQ28" s="70" t="str">
        <f aca="false">IF(OR(CQ13="",CQ12=""),"",CQ13-CQ12)</f>
        <v/>
      </c>
      <c r="CR28" s="71" t="str">
        <f aca="false">IF(OR(CQ13="",CQ12="",CQ12=0),"",CQ13/CQ12-1)</f>
        <v/>
      </c>
      <c r="CS28" s="70" t="str">
        <f aca="false">IF(OR(CS13="",CS12=""),"",CS13-CS12)</f>
        <v/>
      </c>
      <c r="CT28" s="71" t="str">
        <f aca="false">IF(OR(CS13="",CS12="",CS12=0),"",CS13/CS12-1)</f>
        <v/>
      </c>
      <c r="CU28" s="70" t="str">
        <f aca="false">IF(OR(CU13="",CU12=""),"",CU13-CU12)</f>
        <v/>
      </c>
      <c r="CV28" s="71" t="str">
        <f aca="false">IF(OR(CU13="",CU12="",CU12=0),"",CU13/CU12-1)</f>
        <v/>
      </c>
      <c r="CW28" s="70" t="str">
        <f aca="false">IF(OR(CW13="",CW12=""),"",CW13-CW12)</f>
        <v/>
      </c>
      <c r="CX28" s="71" t="str">
        <f aca="false">IF(OR(CW13="",CW12="",CW12=0),"",CW13/CW12-1)</f>
        <v/>
      </c>
      <c r="CY28" s="70" t="str">
        <f aca="false">IF(OR(CY13="",CY12=""),"",CY13-CY12)</f>
        <v/>
      </c>
      <c r="CZ28" s="71" t="str">
        <f aca="false">IF(OR(CY13="",CY12="",CY12=0),"",CY13/CY12-1)</f>
        <v/>
      </c>
      <c r="DA28" s="70" t="str">
        <f aca="false">IF(OR(DA13="",DA12=""),"",DA13-DA12)</f>
        <v/>
      </c>
      <c r="DB28" s="71" t="str">
        <f aca="false">IF(OR(DA13="",DA12="",DA12=0),"",DA13/DA12-1)</f>
        <v/>
      </c>
      <c r="DC28" s="70" t="str">
        <f aca="false">IF(OR(DC13="",DC12=""),"",DC13-DC12)</f>
        <v/>
      </c>
      <c r="DD28" s="71" t="str">
        <f aca="false">IF(OR(DC13="",DC12="",DC12=0),"",DC13/DC12-1)</f>
        <v/>
      </c>
      <c r="DE28" s="70" t="str">
        <f aca="false">IF(OR(DE13="",DE12=""),"",DE13-DE12)</f>
        <v/>
      </c>
      <c r="DF28" s="71" t="str">
        <f aca="false">IF(OR(DE13="",DE12="",DE12=0),"",DE13/DE12-1)</f>
        <v/>
      </c>
      <c r="DG28" s="70" t="str">
        <f aca="false">IF(OR(DG13="",DG12=""),"",DG13-DG12)</f>
        <v/>
      </c>
      <c r="DH28" s="71" t="str">
        <f aca="false">IF(OR(DG13="",DG12="",DG12=0),"",DG13/DG12-1)</f>
        <v/>
      </c>
      <c r="DI28" s="70" t="str">
        <f aca="false">IF(OR(DI13="",DI12=""),"",DI13-DI12)</f>
        <v/>
      </c>
      <c r="DJ28" s="71" t="str">
        <f aca="false">IF(OR(DI13="",DI12="",DI12=0),"",DI13/DI12-1)</f>
        <v/>
      </c>
      <c r="DK28" s="70" t="str">
        <f aca="false">IF(OR(DK13="",DK12=""),"",DK13-DK12)</f>
        <v/>
      </c>
      <c r="DL28" s="71" t="str">
        <f aca="false">IF(OR(DK13="",DK12="",DK12=0),"",DK13/DK12-1)</f>
        <v/>
      </c>
      <c r="DM28" s="70" t="str">
        <f aca="false">IF(OR(DM13="",DM12=""),"",DM13-DM12)</f>
        <v/>
      </c>
      <c r="DN28" s="71" t="str">
        <f aca="false">IF(OR(DM13="",DM12="",DM12=0),"",DM13/DM12-1)</f>
        <v/>
      </c>
      <c r="DO28" s="70" t="str">
        <f aca="false">IF(OR(DO13="",DO12=""),"",DO13-DO12)</f>
        <v/>
      </c>
      <c r="DP28" s="71" t="str">
        <f aca="false">IF(OR(DO13="",DO12="",DO12=0),"",DO13/DO12-1)</f>
        <v/>
      </c>
      <c r="DQ28" s="70" t="str">
        <f aca="false">IF(OR(DQ13="",DQ12=""),"",DQ13-DQ12)</f>
        <v/>
      </c>
      <c r="DR28" s="71" t="str">
        <f aca="false">IF(OR(DQ13="",DQ12="",DQ12=0),"",DQ13/DQ12-1)</f>
        <v/>
      </c>
      <c r="DS28" s="70" t="str">
        <f aca="false">IF(OR(DS13="",DS12=""),"",DS13-DS12)</f>
        <v/>
      </c>
      <c r="DT28" s="71" t="str">
        <f aca="false">IF(OR(DS13="",DS12="",DS12=0),"",DS13/DS12-1)</f>
        <v/>
      </c>
      <c r="DU28" s="70" t="str">
        <f aca="false">IF(OR(DU13="",DU12=""),"",DU13-DU12)</f>
        <v/>
      </c>
      <c r="DV28" s="71" t="str">
        <f aca="false">IF(OR(DU13="",DU12="",DU12=0),"",DU13/DU12-1)</f>
        <v/>
      </c>
      <c r="DW28" s="70" t="str">
        <f aca="false">IF(OR(DW13="",DW12=""),"",DW13-DW12)</f>
        <v/>
      </c>
      <c r="DX28" s="71" t="str">
        <f aca="false">IF(OR(DW13="",DW12="",DW12=0),"",DW13/DW12-1)</f>
        <v/>
      </c>
      <c r="DY28" s="70" t="str">
        <f aca="false">IF(OR(DY13="",DY12=""),"",DY13-DY12)</f>
        <v/>
      </c>
      <c r="DZ28" s="71" t="str">
        <f aca="false">IF(OR(DY13="",DY12="",DY12=0),"",DY13/DY12-1)</f>
        <v/>
      </c>
      <c r="EA28" s="70" t="str">
        <f aca="false">IF(OR(EA13="",EA12=""),"",EA13-EA12)</f>
        <v/>
      </c>
      <c r="EB28" s="71" t="str">
        <f aca="false">IF(OR(EA13="",EA12="",EA12=0),"",EA13/EA12-1)</f>
        <v/>
      </c>
      <c r="EC28" s="70" t="str">
        <f aca="false">IF(OR(EC13="",EC12=""),"",EC13-EC12)</f>
        <v/>
      </c>
      <c r="ED28" s="71" t="str">
        <f aca="false">IF(OR(EC13="",EC12="",EC12=0),"",EC13/EC12-1)</f>
        <v/>
      </c>
      <c r="EE28" s="70" t="str">
        <f aca="false">IF(OR(EE13="",EE12=""),"",EE13-EE12)</f>
        <v/>
      </c>
      <c r="EF28" s="71" t="str">
        <f aca="false">IF(OR(EE13="",EE12="",EE12=0),"",EE13/EE12-1)</f>
        <v/>
      </c>
      <c r="EG28" s="70" t="str">
        <f aca="false">IF(OR(EG13="",EG12=""),"",EG13-EG12)</f>
        <v/>
      </c>
      <c r="EH28" s="71" t="str">
        <f aca="false">IF(OR(EG13="",EG12="",EG12=0),"",EG13/EG12-1)</f>
        <v/>
      </c>
      <c r="EI28" s="70" t="str">
        <f aca="false">IF(OR(EI13="",EI12=""),"",EI13-EI12)</f>
        <v/>
      </c>
      <c r="EJ28" s="71" t="str">
        <f aca="false">IF(OR(EI13="",EI12="",EI12=0),"",EI13/EI12-1)</f>
        <v/>
      </c>
      <c r="EK28" s="70" t="str">
        <f aca="false">IF(OR(EK13="",EK12=""),"",EK13-EK12)</f>
        <v/>
      </c>
      <c r="EL28" s="71" t="str">
        <f aca="false">IF(OR(EK13="",EK12="",EK12=0),"",EK13/EK12-1)</f>
        <v/>
      </c>
      <c r="EM28" s="70" t="str">
        <f aca="false">IF(OR(EM13="",EM12=""),"",EM13-EM12)</f>
        <v/>
      </c>
      <c r="EN28" s="71" t="str">
        <f aca="false">IF(OR(EM13="",EM12="",EM12=0),"",EM13/EM12-1)</f>
        <v/>
      </c>
      <c r="EO28" s="70" t="str">
        <f aca="false">IF(OR(EO13="",EO12=""),"",EO13-EO12)</f>
        <v/>
      </c>
      <c r="EP28" s="71" t="str">
        <f aca="false">IF(OR(EO13="",EO12="",EO12=0),"",EO13/EO12-1)</f>
        <v/>
      </c>
      <c r="EQ28" s="70" t="str">
        <f aca="false">IF(OR(EQ13="",EQ12=""),"",EQ13-EQ12)</f>
        <v/>
      </c>
      <c r="ER28" s="71" t="str">
        <f aca="false">IF(OR(EQ13="",EQ12="",EQ12=0),"",EQ13/EQ12-1)</f>
        <v/>
      </c>
      <c r="ES28" s="70" t="str">
        <f aca="false">IF(OR(ES13="",ES12=""),"",ES13-ES12)</f>
        <v/>
      </c>
      <c r="ET28" s="71" t="str">
        <f aca="false">IF(OR(ES13="",ES12="",ES12=0),"",ES13/ES12-1)</f>
        <v/>
      </c>
      <c r="EU28" s="70" t="str">
        <f aca="false">IF(OR(EU13="",EU12=""),"",EU13-EU12)</f>
        <v/>
      </c>
      <c r="EV28" s="71" t="str">
        <f aca="false">IF(OR(EU13="",EU12="",EU12=0),"",EU13/EU12-1)</f>
        <v/>
      </c>
      <c r="EW28" s="70" t="str">
        <f aca="false">IF(OR(EW13="",EW12=""),"",EW13-EW12)</f>
        <v/>
      </c>
      <c r="EX28" s="71" t="str">
        <f aca="false">IF(OR(EW13="",EW12="",EW12=0),"",EW13/EW12-1)</f>
        <v/>
      </c>
      <c r="EY28" s="70" t="str">
        <f aca="false">IF(OR(EY13="",EY12=""),"",EY13-EY12)</f>
        <v/>
      </c>
      <c r="EZ28" s="71" t="str">
        <f aca="false">IF(OR(EY13="",EY12="",EY12=0),"",EY13/EY12-1)</f>
        <v/>
      </c>
      <c r="FA28" s="70" t="str">
        <f aca="false">IF(OR(FA13="",FA12=""),"",FA13-FA12)</f>
        <v/>
      </c>
      <c r="FB28" s="71" t="str">
        <f aca="false">IF(OR(FA13="",FA12="",FA12=0),"",FA13/FA12-1)</f>
        <v/>
      </c>
      <c r="FC28" s="70" t="str">
        <f aca="false">IF(OR(FC13="",FC12=""),"",FC13-FC12)</f>
        <v/>
      </c>
      <c r="FD28" s="71" t="str">
        <f aca="false">IF(OR(FC13="",FC12="",FC12=0),"",FC13/FC12-1)</f>
        <v/>
      </c>
      <c r="FE28" s="70" t="str">
        <f aca="false">IF(OR(FE13="",FE12=""),"",FE13-FE12)</f>
        <v/>
      </c>
      <c r="FF28" s="71" t="str">
        <f aca="false">IF(OR(FE13="",FE12="",FE12=0),"",FE13/FE12-1)</f>
        <v/>
      </c>
      <c r="FG28" s="70" t="str">
        <f aca="false">IF(OR(FG13="",FG12=""),"",FG13-FG12)</f>
        <v/>
      </c>
      <c r="FH28" s="71" t="str">
        <f aca="false">IF(OR(FG13="",FG12="",FG12=0),"",FG13/FG12-1)</f>
        <v/>
      </c>
      <c r="FI28" s="70" t="str">
        <f aca="false">IF(OR(FI13="",FI12=""),"",FI13-FI12)</f>
        <v/>
      </c>
      <c r="FJ28" s="71" t="str">
        <f aca="false">IF(OR(FI13="",FI12="",FI12=0),"",FI13/FI12-1)</f>
        <v/>
      </c>
      <c r="FK28" s="70" t="str">
        <f aca="false">IF(OR(FK13="",FK12=""),"",FK13-FK12)</f>
        <v/>
      </c>
      <c r="FL28" s="71" t="str">
        <f aca="false">IF(OR(FK13="",FK12="",FK12=0),"",FK13/FK12-1)</f>
        <v/>
      </c>
      <c r="FM28" s="70" t="str">
        <f aca="false">IF(OR(FM13="",FM12=""),"",FM13-FM12)</f>
        <v/>
      </c>
      <c r="FN28" s="71" t="str">
        <f aca="false">IF(OR(FM13="",FM12="",FM12=0),"",FM13/FM12-1)</f>
        <v/>
      </c>
      <c r="FO28" s="70" t="str">
        <f aca="false">IF(OR(FO13="",FO12=""),"",FO13-FO12)</f>
        <v/>
      </c>
      <c r="FP28" s="71" t="str">
        <f aca="false">IF(OR(FO13="",FO12="",FO12=0),"",FO13/FO12-1)</f>
        <v/>
      </c>
      <c r="FQ28" s="70" t="str">
        <f aca="false">IF(OR(FQ13="",FQ12=""),"",FQ13-FQ12)</f>
        <v/>
      </c>
      <c r="FR28" s="71" t="str">
        <f aca="false">IF(OR(FQ13="",FQ12="",FQ12=0),"",FQ13/FQ12-1)</f>
        <v/>
      </c>
      <c r="FS28" s="70" t="str">
        <f aca="false">IF(OR(FS13="",FS12=""),"",FS13-FS12)</f>
        <v/>
      </c>
      <c r="FT28" s="71" t="str">
        <f aca="false">IF(OR(FS13="",FS12="",FS12=0),"",FS13/FS12-1)</f>
        <v/>
      </c>
      <c r="FU28" s="70" t="str">
        <f aca="false">IF(OR(FU13="",FU12=""),"",FU13-FU12)</f>
        <v/>
      </c>
      <c r="FV28" s="71" t="str">
        <f aca="false">IF(OR(FU13="",FU12="",FU12=0),"",FU13/FU12-1)</f>
        <v/>
      </c>
      <c r="FW28" s="70" t="str">
        <f aca="false">IF(OR(FW13="",FW12=""),"",FW13-FW12)</f>
        <v/>
      </c>
      <c r="FX28" s="71" t="str">
        <f aca="false">IF(OR(FW13="",FW12="",FW12=0),"",FW13/FW12-1)</f>
        <v/>
      </c>
      <c r="FY28" s="70" t="str">
        <f aca="false">IF(OR(FY13="",FY12=""),"",FY13-FY12)</f>
        <v/>
      </c>
      <c r="FZ28" s="71" t="str">
        <f aca="false">IF(OR(FY13="",FY12="",FY12=0),"",FY13/FY12-1)</f>
        <v/>
      </c>
      <c r="GA28" s="70" t="str">
        <f aca="false">IF(OR(GA13="",GA12=""),"",GA13-GA12)</f>
        <v/>
      </c>
      <c r="GB28" s="71" t="str">
        <f aca="false">IF(OR(GA13="",GA12="",GA12=0),"",GA13/GA12-1)</f>
        <v/>
      </c>
      <c r="GC28" s="70" t="str">
        <f aca="false">IF(OR(GC13="",GC12=""),"",GC13-GC12)</f>
        <v/>
      </c>
      <c r="GD28" s="71" t="str">
        <f aca="false">IF(OR(GC13="",GC12="",GC12=0),"",GC13/GC12-1)</f>
        <v/>
      </c>
      <c r="GE28" s="70" t="str">
        <f aca="false">IF(OR(GE13="",GE12=""),"",GE13-GE12)</f>
        <v/>
      </c>
      <c r="GF28" s="71" t="str">
        <f aca="false">IF(OR(GE13="",GE12="",GE12=0),"",GE13/GE12-1)</f>
        <v/>
      </c>
      <c r="GG28" s="70" t="str">
        <f aca="false">IF(OR(GG13="",GG12=""),"",GG13-GG12)</f>
        <v/>
      </c>
      <c r="GH28" s="71" t="str">
        <f aca="false">IF(OR(GG13="",GG12="",GG12=0),"",GG13/GG12-1)</f>
        <v/>
      </c>
      <c r="GI28" s="70" t="str">
        <f aca="false">IF(OR(GI13="",GI12=""),"",GI13-GI12)</f>
        <v/>
      </c>
      <c r="GJ28" s="71" t="str">
        <f aca="false">IF(OR(GI13="",GI12="",GI12=0),"",GI13/GI12-1)</f>
        <v/>
      </c>
      <c r="GK28" s="70" t="str">
        <f aca="false">IF(OR(GK13="",GK12=""),"",GK13-GK12)</f>
        <v/>
      </c>
      <c r="GL28" s="71" t="str">
        <f aca="false">IF(OR(GK13="",GK12="",GK12=0),"",GK13/GK12-1)</f>
        <v/>
      </c>
      <c r="GM28" s="70" t="str">
        <f aca="false">IF(OR(GM13="",GM12=""),"",GM13-GM12)</f>
        <v/>
      </c>
      <c r="GN28" s="71" t="str">
        <f aca="false">IF(OR(GM13="",GM12="",GM12=0),"",GM13/GM12-1)</f>
        <v/>
      </c>
      <c r="GO28" s="70" t="str">
        <f aca="false">IF(OR(GO13="",GO12=""),"",GO13-GO12)</f>
        <v/>
      </c>
      <c r="GP28" s="71" t="str">
        <f aca="false">IF(OR(GO13="",GO12="",GO12=0),"",GO13/GO12-1)</f>
        <v/>
      </c>
      <c r="GQ28" s="70" t="str">
        <f aca="false">IF(OR(GQ13="",GQ12=""),"",GQ13-GQ12)</f>
        <v/>
      </c>
      <c r="GR28" s="71" t="str">
        <f aca="false">IF(OR(GQ13="",GQ12="",GQ12=0),"",GQ13/GQ12-1)</f>
        <v/>
      </c>
      <c r="GS28" s="70" t="str">
        <f aca="false">IF(OR(GS13="",GS12=""),"",GS13-GS12)</f>
        <v/>
      </c>
      <c r="GT28" s="71" t="str">
        <f aca="false">IF(OR(GS13="",GS12="",GS12=0),"",GS13/GS12-1)</f>
        <v/>
      </c>
      <c r="GU28" s="70" t="str">
        <f aca="false">IF(OR(GU13="",GU12=""),"",GU13-GU12)</f>
        <v/>
      </c>
      <c r="GV28" s="71" t="str">
        <f aca="false">IF(OR(GU13="",GU12="",GU12=0),"",GU13/GU12-1)</f>
        <v/>
      </c>
      <c r="GW28" s="70" t="str">
        <f aca="false">IF(OR(GW13="",GW12=""),"",GW13-GW12)</f>
        <v/>
      </c>
      <c r="GX28" s="71" t="str">
        <f aca="false">IF(OR(GW13="",GW12="",GW12=0),"",GW13/GW12-1)</f>
        <v/>
      </c>
      <c r="GY28" s="70" t="str">
        <f aca="false">IF(OR(GY13="",GY12=""),"",GY13-GY12)</f>
        <v/>
      </c>
      <c r="GZ28" s="71" t="str">
        <f aca="false">IF(OR(GY13="",GY12="",GY12=0),"",GY13/GY12-1)</f>
        <v/>
      </c>
    </row>
    <row r="29" customFormat="false" ht="15" hidden="false" customHeight="false" outlineLevel="0" collapsed="false">
      <c r="A29" s="54"/>
      <c r="B29" s="55"/>
      <c r="C29" s="55"/>
      <c r="D29" s="56"/>
      <c r="E29" s="57"/>
      <c r="F29" s="17" t="s">
        <v>111</v>
      </c>
      <c r="H29" s="69" t="str">
        <f aca="false">IF(OR('Довідник категорій'!B7="",'Довідник категорій'!B6=""),"",'Довідник категорій'!B7&amp;"  ↔  "&amp;'Довідник категорій'!B6)</f>
        <v>Premium Chalet  ↔  Forest View Chalet</v>
      </c>
      <c r="I29" s="70" t="n">
        <f aca="false">IF(OR(I14="",I13=""),"",I14-I13)</f>
        <v>3000</v>
      </c>
      <c r="J29" s="71" t="n">
        <f aca="false">IF(OR(I14="",I13="",I13=0),"",I14/I13-1)</f>
        <v>0.75</v>
      </c>
      <c r="K29" s="70" t="n">
        <f aca="false">IF(OR(K14="",K13=""),"",K14-K13)</f>
        <v>4600</v>
      </c>
      <c r="L29" s="71" t="n">
        <f aca="false">IF(OR(K14="",K13="",K13=0),"",K14/K13-1)</f>
        <v>0.707692307692308</v>
      </c>
      <c r="M29" s="70" t="n">
        <f aca="false">IF(OR(M14="",M13=""),"",M14-M13)</f>
        <v>3220</v>
      </c>
      <c r="N29" s="71" t="n">
        <f aca="false">IF(OR(M14="",M13="",M13=0),"",M14/M13-1)</f>
        <v>0.707692307692308</v>
      </c>
      <c r="O29" s="70" t="n">
        <f aca="false">IF(OR(O14="",O13=""),"",O14-O13)</f>
        <v>3910</v>
      </c>
      <c r="P29" s="71" t="n">
        <f aca="false">IF(OR(O14="",O13="",O13=0),"",O14/O13-1)</f>
        <v>0.707692307692308</v>
      </c>
      <c r="Q29" s="70" t="n">
        <f aca="false">IF(OR(Q14="",Q13=""),"",Q14-Q13)</f>
        <v>3449.908</v>
      </c>
      <c r="R29" s="71" t="n">
        <f aca="false">IF(OR(Q14="",Q13="",Q13=0),"",Q14/Q13-1)</f>
        <v>0.707692307692308</v>
      </c>
      <c r="S29" s="70" t="n">
        <f aca="false">IF(OR(S14="",S13=""),"",S14-S13)</f>
        <v>4189.174</v>
      </c>
      <c r="T29" s="71" t="n">
        <f aca="false">IF(OR(S14="",S13="",S13=0),"",S14/S13-1)</f>
        <v>0.707692307692308</v>
      </c>
      <c r="U29" s="70" t="n">
        <f aca="false">IF(OR(U14="",U13=""),"",U14-U13)</f>
        <v>3696.231431</v>
      </c>
      <c r="V29" s="71" t="n">
        <f aca="false">IF(OR(U14="",U13="",U13=0),"",U14/U13-1)</f>
        <v>0.707692307654015</v>
      </c>
      <c r="W29" s="70" t="n">
        <f aca="false">IF(OR(W14="",W13=""),"",W14-W13)</f>
        <v>4488.281021</v>
      </c>
      <c r="X29" s="71" t="n">
        <f aca="false">IF(OR(W14="",W13="",W13=0),"",W14/W13-1)</f>
        <v>0.707692307282351</v>
      </c>
      <c r="Y29" s="70" t="n">
        <f aca="false">IF(OR(Y14="",Y13=""),"",Y14-Y13)</f>
        <v>3960.142356</v>
      </c>
      <c r="Z29" s="71" t="n">
        <f aca="false">IF(OR(Y14="",Y13="",Y13=0),"",Y14/Y13-1)</f>
        <v>0.707692307835271</v>
      </c>
      <c r="AA29" s="70" t="n">
        <f aca="false">IF(OR(AA14="",AA13=""),"",AA14-AA13)</f>
        <v>4808.744284</v>
      </c>
      <c r="AB29" s="71" t="n">
        <f aca="false">IF(OR(AA14="",AA13="",AA13=0),"",AA14/AA13-1)</f>
        <v>0.707692306976846</v>
      </c>
      <c r="AC29" s="70" t="n">
        <f aca="false">IF(OR(AC14="",AC13=""),"",AC14-AC13)</f>
        <v>4242.896524</v>
      </c>
      <c r="AD29" s="71" t="n">
        <f aca="false">IF(OR(AC14="",AC13="",AC13=0),"",AC14/AC13-1)</f>
        <v>0.707692308421072</v>
      </c>
      <c r="AE29" s="70" t="n">
        <f aca="false">IF(OR(AE14="",AE13=""),"",AE14-AE13)</f>
        <v>5152.088631</v>
      </c>
      <c r="AF29" s="71" t="n">
        <f aca="false">IF(OR(AE14="",AE13="",AE13=0),"",AE14/AE13-1)</f>
        <v>0.707692307736686</v>
      </c>
      <c r="AG29" s="70" t="str">
        <f aca="false">IF(OR(AG14="",AG13=""),"",AG14-AG13)</f>
        <v/>
      </c>
      <c r="AH29" s="71" t="str">
        <f aca="false">IF(OR(AG14="",AG13="",AG13=0),"",AG14/AG13-1)</f>
        <v/>
      </c>
      <c r="AI29" s="70" t="str">
        <f aca="false">IF(OR(AI14="",AI13=""),"",AI14-AI13)</f>
        <v/>
      </c>
      <c r="AJ29" s="71" t="str">
        <f aca="false">IF(OR(AI14="",AI13="",AI13=0),"",AI14/AI13-1)</f>
        <v/>
      </c>
      <c r="AK29" s="70" t="str">
        <f aca="false">IF(OR(AK14="",AK13=""),"",AK14-AK13)</f>
        <v/>
      </c>
      <c r="AL29" s="71" t="str">
        <f aca="false">IF(OR(AK14="",AK13="",AK13=0),"",AK14/AK13-1)</f>
        <v/>
      </c>
      <c r="AM29" s="70" t="str">
        <f aca="false">IF(OR(AM14="",AM13=""),"",AM14-AM13)</f>
        <v/>
      </c>
      <c r="AN29" s="71" t="str">
        <f aca="false">IF(OR(AM14="",AM13="",AM13=0),"",AM14/AM13-1)</f>
        <v/>
      </c>
      <c r="AO29" s="70" t="str">
        <f aca="false">IF(OR(AO14="",AO13=""),"",AO14-AO13)</f>
        <v/>
      </c>
      <c r="AP29" s="71" t="str">
        <f aca="false">IF(OR(AO14="",AO13="",AO13=0),"",AO14/AO13-1)</f>
        <v/>
      </c>
      <c r="AQ29" s="70" t="str">
        <f aca="false">IF(OR(AQ14="",AQ13=""),"",AQ14-AQ13)</f>
        <v/>
      </c>
      <c r="AR29" s="71" t="str">
        <f aca="false">IF(OR(AQ14="",AQ13="",AQ13=0),"",AQ14/AQ13-1)</f>
        <v/>
      </c>
      <c r="AS29" s="70" t="str">
        <f aca="false">IF(OR(AS14="",AS13=""),"",AS14-AS13)</f>
        <v/>
      </c>
      <c r="AT29" s="71" t="str">
        <f aca="false">IF(OR(AS14="",AS13="",AS13=0),"",AS14/AS13-1)</f>
        <v/>
      </c>
      <c r="AU29" s="70" t="str">
        <f aca="false">IF(OR(AU14="",AU13=""),"",AU14-AU13)</f>
        <v/>
      </c>
      <c r="AV29" s="71" t="str">
        <f aca="false">IF(OR(AU14="",AU13="",AU13=0),"",AU14/AU13-1)</f>
        <v/>
      </c>
      <c r="AW29" s="70" t="str">
        <f aca="false">IF(OR(AW14="",AW13=""),"",AW14-AW13)</f>
        <v/>
      </c>
      <c r="AX29" s="71" t="str">
        <f aca="false">IF(OR(AW14="",AW13="",AW13=0),"",AW14/AW13-1)</f>
        <v/>
      </c>
      <c r="AY29" s="70" t="str">
        <f aca="false">IF(OR(AY14="",AY13=""),"",AY14-AY13)</f>
        <v/>
      </c>
      <c r="AZ29" s="71" t="str">
        <f aca="false">IF(OR(AY14="",AY13="",AY13=0),"",AY14/AY13-1)</f>
        <v/>
      </c>
      <c r="BA29" s="70" t="str">
        <f aca="false">IF(OR(BA14="",BA13=""),"",BA14-BA13)</f>
        <v/>
      </c>
      <c r="BB29" s="71" t="str">
        <f aca="false">IF(OR(BA14="",BA13="",BA13=0),"",BA14/BA13-1)</f>
        <v/>
      </c>
      <c r="BC29" s="70" t="str">
        <f aca="false">IF(OR(BC14="",BC13=""),"",BC14-BC13)</f>
        <v/>
      </c>
      <c r="BD29" s="71" t="str">
        <f aca="false">IF(OR(BC14="",BC13="",BC13=0),"",BC14/BC13-1)</f>
        <v/>
      </c>
      <c r="BE29" s="70" t="str">
        <f aca="false">IF(OR(BE14="",BE13=""),"",BE14-BE13)</f>
        <v/>
      </c>
      <c r="BF29" s="71" t="str">
        <f aca="false">IF(OR(BE14="",BE13="",BE13=0),"",BE14/BE13-1)</f>
        <v/>
      </c>
      <c r="BG29" s="70" t="str">
        <f aca="false">IF(OR(BG14="",BG13=""),"",BG14-BG13)</f>
        <v/>
      </c>
      <c r="BH29" s="71" t="str">
        <f aca="false">IF(OR(BG14="",BG13="",BG13=0),"",BG14/BG13-1)</f>
        <v/>
      </c>
      <c r="BI29" s="70" t="str">
        <f aca="false">IF(OR(BI14="",BI13=""),"",BI14-BI13)</f>
        <v/>
      </c>
      <c r="BJ29" s="71" t="str">
        <f aca="false">IF(OR(BI14="",BI13="",BI13=0),"",BI14/BI13-1)</f>
        <v/>
      </c>
      <c r="BK29" s="70" t="str">
        <f aca="false">IF(OR(BK14="",BK13=""),"",BK14-BK13)</f>
        <v/>
      </c>
      <c r="BL29" s="71" t="str">
        <f aca="false">IF(OR(BK14="",BK13="",BK13=0),"",BK14/BK13-1)</f>
        <v/>
      </c>
      <c r="BM29" s="70" t="str">
        <f aca="false">IF(OR(BM14="",BM13=""),"",BM14-BM13)</f>
        <v/>
      </c>
      <c r="BN29" s="71" t="str">
        <f aca="false">IF(OR(BM14="",BM13="",BM13=0),"",BM14/BM13-1)</f>
        <v/>
      </c>
      <c r="BO29" s="70" t="str">
        <f aca="false">IF(OR(BO14="",BO13=""),"",BO14-BO13)</f>
        <v/>
      </c>
      <c r="BP29" s="71" t="str">
        <f aca="false">IF(OR(BO14="",BO13="",BO13=0),"",BO14/BO13-1)</f>
        <v/>
      </c>
      <c r="BQ29" s="70" t="str">
        <f aca="false">IF(OR(BQ14="",BQ13=""),"",BQ14-BQ13)</f>
        <v/>
      </c>
      <c r="BR29" s="71" t="str">
        <f aca="false">IF(OR(BQ14="",BQ13="",BQ13=0),"",BQ14/BQ13-1)</f>
        <v/>
      </c>
      <c r="BS29" s="70" t="str">
        <f aca="false">IF(OR(BS14="",BS13=""),"",BS14-BS13)</f>
        <v/>
      </c>
      <c r="BT29" s="71" t="str">
        <f aca="false">IF(OR(BS14="",BS13="",BS13=0),"",BS14/BS13-1)</f>
        <v/>
      </c>
      <c r="BU29" s="70" t="str">
        <f aca="false">IF(OR(BU14="",BU13=""),"",BU14-BU13)</f>
        <v/>
      </c>
      <c r="BV29" s="71" t="str">
        <f aca="false">IF(OR(BU14="",BU13="",BU13=0),"",BU14/BU13-1)</f>
        <v/>
      </c>
      <c r="BW29" s="70" t="str">
        <f aca="false">IF(OR(BW14="",BW13=""),"",BW14-BW13)</f>
        <v/>
      </c>
      <c r="BX29" s="71" t="str">
        <f aca="false">IF(OR(BW14="",BW13="",BW13=0),"",BW14/BW13-1)</f>
        <v/>
      </c>
      <c r="BY29" s="70" t="str">
        <f aca="false">IF(OR(BY14="",BY13=""),"",BY14-BY13)</f>
        <v/>
      </c>
      <c r="BZ29" s="71" t="str">
        <f aca="false">IF(OR(BY14="",BY13="",BY13=0),"",BY14/BY13-1)</f>
        <v/>
      </c>
      <c r="CA29" s="70" t="str">
        <f aca="false">IF(OR(CA14="",CA13=""),"",CA14-CA13)</f>
        <v/>
      </c>
      <c r="CB29" s="71" t="str">
        <f aca="false">IF(OR(CA14="",CA13="",CA13=0),"",CA14/CA13-1)</f>
        <v/>
      </c>
      <c r="CC29" s="70" t="str">
        <f aca="false">IF(OR(CC14="",CC13=""),"",CC14-CC13)</f>
        <v/>
      </c>
      <c r="CD29" s="71" t="str">
        <f aca="false">IF(OR(CC14="",CC13="",CC13=0),"",CC14/CC13-1)</f>
        <v/>
      </c>
      <c r="CE29" s="70" t="str">
        <f aca="false">IF(OR(CE14="",CE13=""),"",CE14-CE13)</f>
        <v/>
      </c>
      <c r="CF29" s="71" t="str">
        <f aca="false">IF(OR(CE14="",CE13="",CE13=0),"",CE14/CE13-1)</f>
        <v/>
      </c>
      <c r="CG29" s="70" t="str">
        <f aca="false">IF(OR(CG14="",CG13=""),"",CG14-CG13)</f>
        <v/>
      </c>
      <c r="CH29" s="71" t="str">
        <f aca="false">IF(OR(CG14="",CG13="",CG13=0),"",CG14/CG13-1)</f>
        <v/>
      </c>
      <c r="CI29" s="70" t="str">
        <f aca="false">IF(OR(CI14="",CI13=""),"",CI14-CI13)</f>
        <v/>
      </c>
      <c r="CJ29" s="71" t="str">
        <f aca="false">IF(OR(CI14="",CI13="",CI13=0),"",CI14/CI13-1)</f>
        <v/>
      </c>
      <c r="CK29" s="70" t="str">
        <f aca="false">IF(OR(CK14="",CK13=""),"",CK14-CK13)</f>
        <v/>
      </c>
      <c r="CL29" s="71" t="str">
        <f aca="false">IF(OR(CK14="",CK13="",CK13=0),"",CK14/CK13-1)</f>
        <v/>
      </c>
      <c r="CM29" s="70" t="str">
        <f aca="false">IF(OR(CM14="",CM13=""),"",CM14-CM13)</f>
        <v/>
      </c>
      <c r="CN29" s="71" t="str">
        <f aca="false">IF(OR(CM14="",CM13="",CM13=0),"",CM14/CM13-1)</f>
        <v/>
      </c>
      <c r="CO29" s="70" t="str">
        <f aca="false">IF(OR(CO14="",CO13=""),"",CO14-CO13)</f>
        <v/>
      </c>
      <c r="CP29" s="71" t="str">
        <f aca="false">IF(OR(CO14="",CO13="",CO13=0),"",CO14/CO13-1)</f>
        <v/>
      </c>
      <c r="CQ29" s="70" t="str">
        <f aca="false">IF(OR(CQ14="",CQ13=""),"",CQ14-CQ13)</f>
        <v/>
      </c>
      <c r="CR29" s="71" t="str">
        <f aca="false">IF(OR(CQ14="",CQ13="",CQ13=0),"",CQ14/CQ13-1)</f>
        <v/>
      </c>
      <c r="CS29" s="70" t="str">
        <f aca="false">IF(OR(CS14="",CS13=""),"",CS14-CS13)</f>
        <v/>
      </c>
      <c r="CT29" s="71" t="str">
        <f aca="false">IF(OR(CS14="",CS13="",CS13=0),"",CS14/CS13-1)</f>
        <v/>
      </c>
      <c r="CU29" s="70" t="str">
        <f aca="false">IF(OR(CU14="",CU13=""),"",CU14-CU13)</f>
        <v/>
      </c>
      <c r="CV29" s="71" t="str">
        <f aca="false">IF(OR(CU14="",CU13="",CU13=0),"",CU14/CU13-1)</f>
        <v/>
      </c>
      <c r="CW29" s="70" t="str">
        <f aca="false">IF(OR(CW14="",CW13=""),"",CW14-CW13)</f>
        <v/>
      </c>
      <c r="CX29" s="71" t="str">
        <f aca="false">IF(OR(CW14="",CW13="",CW13=0),"",CW14/CW13-1)</f>
        <v/>
      </c>
      <c r="CY29" s="70" t="str">
        <f aca="false">IF(OR(CY14="",CY13=""),"",CY14-CY13)</f>
        <v/>
      </c>
      <c r="CZ29" s="71" t="str">
        <f aca="false">IF(OR(CY14="",CY13="",CY13=0),"",CY14/CY13-1)</f>
        <v/>
      </c>
      <c r="DA29" s="70" t="str">
        <f aca="false">IF(OR(DA14="",DA13=""),"",DA14-DA13)</f>
        <v/>
      </c>
      <c r="DB29" s="71" t="str">
        <f aca="false">IF(OR(DA14="",DA13="",DA13=0),"",DA14/DA13-1)</f>
        <v/>
      </c>
      <c r="DC29" s="70" t="str">
        <f aca="false">IF(OR(DC14="",DC13=""),"",DC14-DC13)</f>
        <v/>
      </c>
      <c r="DD29" s="71" t="str">
        <f aca="false">IF(OR(DC14="",DC13="",DC13=0),"",DC14/DC13-1)</f>
        <v/>
      </c>
      <c r="DE29" s="70" t="str">
        <f aca="false">IF(OR(DE14="",DE13=""),"",DE14-DE13)</f>
        <v/>
      </c>
      <c r="DF29" s="71" t="str">
        <f aca="false">IF(OR(DE14="",DE13="",DE13=0),"",DE14/DE13-1)</f>
        <v/>
      </c>
      <c r="DG29" s="70" t="str">
        <f aca="false">IF(OR(DG14="",DG13=""),"",DG14-DG13)</f>
        <v/>
      </c>
      <c r="DH29" s="71" t="str">
        <f aca="false">IF(OR(DG14="",DG13="",DG13=0),"",DG14/DG13-1)</f>
        <v/>
      </c>
      <c r="DI29" s="70" t="str">
        <f aca="false">IF(OR(DI14="",DI13=""),"",DI14-DI13)</f>
        <v/>
      </c>
      <c r="DJ29" s="71" t="str">
        <f aca="false">IF(OR(DI14="",DI13="",DI13=0),"",DI14/DI13-1)</f>
        <v/>
      </c>
      <c r="DK29" s="70" t="str">
        <f aca="false">IF(OR(DK14="",DK13=""),"",DK14-DK13)</f>
        <v/>
      </c>
      <c r="DL29" s="71" t="str">
        <f aca="false">IF(OR(DK14="",DK13="",DK13=0),"",DK14/DK13-1)</f>
        <v/>
      </c>
      <c r="DM29" s="70" t="str">
        <f aca="false">IF(OR(DM14="",DM13=""),"",DM14-DM13)</f>
        <v/>
      </c>
      <c r="DN29" s="71" t="str">
        <f aca="false">IF(OR(DM14="",DM13="",DM13=0),"",DM14/DM13-1)</f>
        <v/>
      </c>
      <c r="DO29" s="70" t="str">
        <f aca="false">IF(OR(DO14="",DO13=""),"",DO14-DO13)</f>
        <v/>
      </c>
      <c r="DP29" s="71" t="str">
        <f aca="false">IF(OR(DO14="",DO13="",DO13=0),"",DO14/DO13-1)</f>
        <v/>
      </c>
      <c r="DQ29" s="70" t="str">
        <f aca="false">IF(OR(DQ14="",DQ13=""),"",DQ14-DQ13)</f>
        <v/>
      </c>
      <c r="DR29" s="71" t="str">
        <f aca="false">IF(OR(DQ14="",DQ13="",DQ13=0),"",DQ14/DQ13-1)</f>
        <v/>
      </c>
      <c r="DS29" s="70" t="str">
        <f aca="false">IF(OR(DS14="",DS13=""),"",DS14-DS13)</f>
        <v/>
      </c>
      <c r="DT29" s="71" t="str">
        <f aca="false">IF(OR(DS14="",DS13="",DS13=0),"",DS14/DS13-1)</f>
        <v/>
      </c>
      <c r="DU29" s="70" t="str">
        <f aca="false">IF(OR(DU14="",DU13=""),"",DU14-DU13)</f>
        <v/>
      </c>
      <c r="DV29" s="71" t="str">
        <f aca="false">IF(OR(DU14="",DU13="",DU13=0),"",DU14/DU13-1)</f>
        <v/>
      </c>
      <c r="DW29" s="70" t="str">
        <f aca="false">IF(OR(DW14="",DW13=""),"",DW14-DW13)</f>
        <v/>
      </c>
      <c r="DX29" s="71" t="str">
        <f aca="false">IF(OR(DW14="",DW13="",DW13=0),"",DW14/DW13-1)</f>
        <v/>
      </c>
      <c r="DY29" s="70" t="str">
        <f aca="false">IF(OR(DY14="",DY13=""),"",DY14-DY13)</f>
        <v/>
      </c>
      <c r="DZ29" s="71" t="str">
        <f aca="false">IF(OR(DY14="",DY13="",DY13=0),"",DY14/DY13-1)</f>
        <v/>
      </c>
      <c r="EA29" s="70" t="str">
        <f aca="false">IF(OR(EA14="",EA13=""),"",EA14-EA13)</f>
        <v/>
      </c>
      <c r="EB29" s="71" t="str">
        <f aca="false">IF(OR(EA14="",EA13="",EA13=0),"",EA14/EA13-1)</f>
        <v/>
      </c>
      <c r="EC29" s="70" t="str">
        <f aca="false">IF(OR(EC14="",EC13=""),"",EC14-EC13)</f>
        <v/>
      </c>
      <c r="ED29" s="71" t="str">
        <f aca="false">IF(OR(EC14="",EC13="",EC13=0),"",EC14/EC13-1)</f>
        <v/>
      </c>
      <c r="EE29" s="70" t="str">
        <f aca="false">IF(OR(EE14="",EE13=""),"",EE14-EE13)</f>
        <v/>
      </c>
      <c r="EF29" s="71" t="str">
        <f aca="false">IF(OR(EE14="",EE13="",EE13=0),"",EE14/EE13-1)</f>
        <v/>
      </c>
      <c r="EG29" s="70" t="str">
        <f aca="false">IF(OR(EG14="",EG13=""),"",EG14-EG13)</f>
        <v/>
      </c>
      <c r="EH29" s="71" t="str">
        <f aca="false">IF(OR(EG14="",EG13="",EG13=0),"",EG14/EG13-1)</f>
        <v/>
      </c>
      <c r="EI29" s="70" t="str">
        <f aca="false">IF(OR(EI14="",EI13=""),"",EI14-EI13)</f>
        <v/>
      </c>
      <c r="EJ29" s="71" t="str">
        <f aca="false">IF(OR(EI14="",EI13="",EI13=0),"",EI14/EI13-1)</f>
        <v/>
      </c>
      <c r="EK29" s="70" t="str">
        <f aca="false">IF(OR(EK14="",EK13=""),"",EK14-EK13)</f>
        <v/>
      </c>
      <c r="EL29" s="71" t="str">
        <f aca="false">IF(OR(EK14="",EK13="",EK13=0),"",EK14/EK13-1)</f>
        <v/>
      </c>
      <c r="EM29" s="70" t="str">
        <f aca="false">IF(OR(EM14="",EM13=""),"",EM14-EM13)</f>
        <v/>
      </c>
      <c r="EN29" s="71" t="str">
        <f aca="false">IF(OR(EM14="",EM13="",EM13=0),"",EM14/EM13-1)</f>
        <v/>
      </c>
      <c r="EO29" s="70" t="str">
        <f aca="false">IF(OR(EO14="",EO13=""),"",EO14-EO13)</f>
        <v/>
      </c>
      <c r="EP29" s="71" t="str">
        <f aca="false">IF(OR(EO14="",EO13="",EO13=0),"",EO14/EO13-1)</f>
        <v/>
      </c>
      <c r="EQ29" s="70" t="str">
        <f aca="false">IF(OR(EQ14="",EQ13=""),"",EQ14-EQ13)</f>
        <v/>
      </c>
      <c r="ER29" s="71" t="str">
        <f aca="false">IF(OR(EQ14="",EQ13="",EQ13=0),"",EQ14/EQ13-1)</f>
        <v/>
      </c>
      <c r="ES29" s="70" t="str">
        <f aca="false">IF(OR(ES14="",ES13=""),"",ES14-ES13)</f>
        <v/>
      </c>
      <c r="ET29" s="71" t="str">
        <f aca="false">IF(OR(ES14="",ES13="",ES13=0),"",ES14/ES13-1)</f>
        <v/>
      </c>
      <c r="EU29" s="70" t="str">
        <f aca="false">IF(OR(EU14="",EU13=""),"",EU14-EU13)</f>
        <v/>
      </c>
      <c r="EV29" s="71" t="str">
        <f aca="false">IF(OR(EU14="",EU13="",EU13=0),"",EU14/EU13-1)</f>
        <v/>
      </c>
      <c r="EW29" s="70" t="str">
        <f aca="false">IF(OR(EW14="",EW13=""),"",EW14-EW13)</f>
        <v/>
      </c>
      <c r="EX29" s="71" t="str">
        <f aca="false">IF(OR(EW14="",EW13="",EW13=0),"",EW14/EW13-1)</f>
        <v/>
      </c>
      <c r="EY29" s="70" t="str">
        <f aca="false">IF(OR(EY14="",EY13=""),"",EY14-EY13)</f>
        <v/>
      </c>
      <c r="EZ29" s="71" t="str">
        <f aca="false">IF(OR(EY14="",EY13="",EY13=0),"",EY14/EY13-1)</f>
        <v/>
      </c>
      <c r="FA29" s="70" t="str">
        <f aca="false">IF(OR(FA14="",FA13=""),"",FA14-FA13)</f>
        <v/>
      </c>
      <c r="FB29" s="71" t="str">
        <f aca="false">IF(OR(FA14="",FA13="",FA13=0),"",FA14/FA13-1)</f>
        <v/>
      </c>
      <c r="FC29" s="70" t="str">
        <f aca="false">IF(OR(FC14="",FC13=""),"",FC14-FC13)</f>
        <v/>
      </c>
      <c r="FD29" s="71" t="str">
        <f aca="false">IF(OR(FC14="",FC13="",FC13=0),"",FC14/FC13-1)</f>
        <v/>
      </c>
      <c r="FE29" s="70" t="str">
        <f aca="false">IF(OR(FE14="",FE13=""),"",FE14-FE13)</f>
        <v/>
      </c>
      <c r="FF29" s="71" t="str">
        <f aca="false">IF(OR(FE14="",FE13="",FE13=0),"",FE14/FE13-1)</f>
        <v/>
      </c>
      <c r="FG29" s="70" t="str">
        <f aca="false">IF(OR(FG14="",FG13=""),"",FG14-FG13)</f>
        <v/>
      </c>
      <c r="FH29" s="71" t="str">
        <f aca="false">IF(OR(FG14="",FG13="",FG13=0),"",FG14/FG13-1)</f>
        <v/>
      </c>
      <c r="FI29" s="70" t="str">
        <f aca="false">IF(OR(FI14="",FI13=""),"",FI14-FI13)</f>
        <v/>
      </c>
      <c r="FJ29" s="71" t="str">
        <f aca="false">IF(OR(FI14="",FI13="",FI13=0),"",FI14/FI13-1)</f>
        <v/>
      </c>
      <c r="FK29" s="70" t="str">
        <f aca="false">IF(OR(FK14="",FK13=""),"",FK14-FK13)</f>
        <v/>
      </c>
      <c r="FL29" s="71" t="str">
        <f aca="false">IF(OR(FK14="",FK13="",FK13=0),"",FK14/FK13-1)</f>
        <v/>
      </c>
      <c r="FM29" s="70" t="str">
        <f aca="false">IF(OR(FM14="",FM13=""),"",FM14-FM13)</f>
        <v/>
      </c>
      <c r="FN29" s="71" t="str">
        <f aca="false">IF(OR(FM14="",FM13="",FM13=0),"",FM14/FM13-1)</f>
        <v/>
      </c>
      <c r="FO29" s="70" t="str">
        <f aca="false">IF(OR(FO14="",FO13=""),"",FO14-FO13)</f>
        <v/>
      </c>
      <c r="FP29" s="71" t="str">
        <f aca="false">IF(OR(FO14="",FO13="",FO13=0),"",FO14/FO13-1)</f>
        <v/>
      </c>
      <c r="FQ29" s="70" t="str">
        <f aca="false">IF(OR(FQ14="",FQ13=""),"",FQ14-FQ13)</f>
        <v/>
      </c>
      <c r="FR29" s="71" t="str">
        <f aca="false">IF(OR(FQ14="",FQ13="",FQ13=0),"",FQ14/FQ13-1)</f>
        <v/>
      </c>
      <c r="FS29" s="70" t="str">
        <f aca="false">IF(OR(FS14="",FS13=""),"",FS14-FS13)</f>
        <v/>
      </c>
      <c r="FT29" s="71" t="str">
        <f aca="false">IF(OR(FS14="",FS13="",FS13=0),"",FS14/FS13-1)</f>
        <v/>
      </c>
      <c r="FU29" s="70" t="str">
        <f aca="false">IF(OR(FU14="",FU13=""),"",FU14-FU13)</f>
        <v/>
      </c>
      <c r="FV29" s="71" t="str">
        <f aca="false">IF(OR(FU14="",FU13="",FU13=0),"",FU14/FU13-1)</f>
        <v/>
      </c>
      <c r="FW29" s="70" t="str">
        <f aca="false">IF(OR(FW14="",FW13=""),"",FW14-FW13)</f>
        <v/>
      </c>
      <c r="FX29" s="71" t="str">
        <f aca="false">IF(OR(FW14="",FW13="",FW13=0),"",FW14/FW13-1)</f>
        <v/>
      </c>
      <c r="FY29" s="70" t="str">
        <f aca="false">IF(OR(FY14="",FY13=""),"",FY14-FY13)</f>
        <v/>
      </c>
      <c r="FZ29" s="71" t="str">
        <f aca="false">IF(OR(FY14="",FY13="",FY13=0),"",FY14/FY13-1)</f>
        <v/>
      </c>
      <c r="GA29" s="70" t="str">
        <f aca="false">IF(OR(GA14="",GA13=""),"",GA14-GA13)</f>
        <v/>
      </c>
      <c r="GB29" s="71" t="str">
        <f aca="false">IF(OR(GA14="",GA13="",GA13=0),"",GA14/GA13-1)</f>
        <v/>
      </c>
      <c r="GC29" s="70" t="str">
        <f aca="false">IF(OR(GC14="",GC13=""),"",GC14-GC13)</f>
        <v/>
      </c>
      <c r="GD29" s="71" t="str">
        <f aca="false">IF(OR(GC14="",GC13="",GC13=0),"",GC14/GC13-1)</f>
        <v/>
      </c>
      <c r="GE29" s="70" t="str">
        <f aca="false">IF(OR(GE14="",GE13=""),"",GE14-GE13)</f>
        <v/>
      </c>
      <c r="GF29" s="71" t="str">
        <f aca="false">IF(OR(GE14="",GE13="",GE13=0),"",GE14/GE13-1)</f>
        <v/>
      </c>
      <c r="GG29" s="70" t="str">
        <f aca="false">IF(OR(GG14="",GG13=""),"",GG14-GG13)</f>
        <v/>
      </c>
      <c r="GH29" s="71" t="str">
        <f aca="false">IF(OR(GG14="",GG13="",GG13=0),"",GG14/GG13-1)</f>
        <v/>
      </c>
      <c r="GI29" s="70" t="str">
        <f aca="false">IF(OR(GI14="",GI13=""),"",GI14-GI13)</f>
        <v/>
      </c>
      <c r="GJ29" s="71" t="str">
        <f aca="false">IF(OR(GI14="",GI13="",GI13=0),"",GI14/GI13-1)</f>
        <v/>
      </c>
      <c r="GK29" s="70" t="str">
        <f aca="false">IF(OR(GK14="",GK13=""),"",GK14-GK13)</f>
        <v/>
      </c>
      <c r="GL29" s="71" t="str">
        <f aca="false">IF(OR(GK14="",GK13="",GK13=0),"",GK14/GK13-1)</f>
        <v/>
      </c>
      <c r="GM29" s="70" t="str">
        <f aca="false">IF(OR(GM14="",GM13=""),"",GM14-GM13)</f>
        <v/>
      </c>
      <c r="GN29" s="71" t="str">
        <f aca="false">IF(OR(GM14="",GM13="",GM13=0),"",GM14/GM13-1)</f>
        <v/>
      </c>
      <c r="GO29" s="70" t="str">
        <f aca="false">IF(OR(GO14="",GO13=""),"",GO14-GO13)</f>
        <v/>
      </c>
      <c r="GP29" s="71" t="str">
        <f aca="false">IF(OR(GO14="",GO13="",GO13=0),"",GO14/GO13-1)</f>
        <v/>
      </c>
      <c r="GQ29" s="70" t="str">
        <f aca="false">IF(OR(GQ14="",GQ13=""),"",GQ14-GQ13)</f>
        <v/>
      </c>
      <c r="GR29" s="71" t="str">
        <f aca="false">IF(OR(GQ14="",GQ13="",GQ13=0),"",GQ14/GQ13-1)</f>
        <v/>
      </c>
      <c r="GS29" s="70" t="str">
        <f aca="false">IF(OR(GS14="",GS13=""),"",GS14-GS13)</f>
        <v/>
      </c>
      <c r="GT29" s="71" t="str">
        <f aca="false">IF(OR(GS14="",GS13="",GS13=0),"",GS14/GS13-1)</f>
        <v/>
      </c>
      <c r="GU29" s="70" t="str">
        <f aca="false">IF(OR(GU14="",GU13=""),"",GU14-GU13)</f>
        <v/>
      </c>
      <c r="GV29" s="71" t="str">
        <f aca="false">IF(OR(GU14="",GU13="",GU13=0),"",GU14/GU13-1)</f>
        <v/>
      </c>
      <c r="GW29" s="70" t="str">
        <f aca="false">IF(OR(GW14="",GW13=""),"",GW14-GW13)</f>
        <v/>
      </c>
      <c r="GX29" s="71" t="str">
        <f aca="false">IF(OR(GW14="",GW13="",GW13=0),"",GW14/GW13-1)</f>
        <v/>
      </c>
      <c r="GY29" s="70" t="str">
        <f aca="false">IF(OR(GY14="",GY13=""),"",GY14-GY13)</f>
        <v/>
      </c>
      <c r="GZ29" s="71" t="str">
        <f aca="false">IF(OR(GY14="",GY13="",GY13=0),"",GY14/GY13-1)</f>
        <v/>
      </c>
    </row>
    <row r="30" customFormat="false" ht="15" hidden="false" customHeight="false" outlineLevel="0" collapsed="false">
      <c r="A30" s="4"/>
      <c r="B30" s="36"/>
      <c r="C30" s="36"/>
      <c r="D30" s="49"/>
      <c r="E30" s="50"/>
      <c r="H30" s="72" t="str">
        <f aca="false">IF(OR('Довідник категорій'!B8="",'Довідник категорій'!B7=""),"",'Довідник категорій'!B8&amp;"  ↔  "&amp;'Довідник категорій'!B7)</f>
        <v/>
      </c>
      <c r="I30" s="70" t="str">
        <f aca="false">IF(OR(I15="",I14=""),"",I15-I14)</f>
        <v/>
      </c>
      <c r="J30" s="71" t="str">
        <f aca="false">IF(OR(I15="",I14="",I14=0),"",I15/I14-1)</f>
        <v/>
      </c>
      <c r="K30" s="70" t="str">
        <f aca="false">IF(OR(K15="",K14=""),"",K15-K14)</f>
        <v/>
      </c>
      <c r="L30" s="71" t="str">
        <f aca="false">IF(OR(K15="",K14="",K14=0),"",K15/K14-1)</f>
        <v/>
      </c>
      <c r="M30" s="70" t="str">
        <f aca="false">IF(OR(M15="",M14=""),"",M15-M14)</f>
        <v/>
      </c>
      <c r="N30" s="71" t="str">
        <f aca="false">IF(OR(M15="",M14="",M14=0),"",M15/M14-1)</f>
        <v/>
      </c>
      <c r="O30" s="70" t="str">
        <f aca="false">IF(OR(O15="",O14=""),"",O15-O14)</f>
        <v/>
      </c>
      <c r="P30" s="71" t="str">
        <f aca="false">IF(OR(O15="",O14="",O14=0),"",O15/O14-1)</f>
        <v/>
      </c>
      <c r="Q30" s="70" t="str">
        <f aca="false">IF(OR(Q15="",Q14=""),"",Q15-Q14)</f>
        <v/>
      </c>
      <c r="R30" s="71" t="str">
        <f aca="false">IF(OR(Q15="",Q14="",Q14=0),"",Q15/Q14-1)</f>
        <v/>
      </c>
      <c r="S30" s="70" t="str">
        <f aca="false">IF(OR(S15="",S14=""),"",S15-S14)</f>
        <v/>
      </c>
      <c r="T30" s="71" t="str">
        <f aca="false">IF(OR(S15="",S14="",S14=0),"",S15/S14-1)</f>
        <v/>
      </c>
      <c r="U30" s="70" t="str">
        <f aca="false">IF(OR(U15="",U14=""),"",U15-U14)</f>
        <v/>
      </c>
      <c r="V30" s="71" t="str">
        <f aca="false">IF(OR(U15="",U14="",U14=0),"",U15/U14-1)</f>
        <v/>
      </c>
      <c r="W30" s="70" t="str">
        <f aca="false">IF(OR(W15="",W14=""),"",W15-W14)</f>
        <v/>
      </c>
      <c r="X30" s="71" t="str">
        <f aca="false">IF(OR(W15="",W14="",W14=0),"",W15/W14-1)</f>
        <v/>
      </c>
      <c r="Y30" s="70" t="str">
        <f aca="false">IF(OR(Y15="",Y14=""),"",Y15-Y14)</f>
        <v/>
      </c>
      <c r="Z30" s="71" t="str">
        <f aca="false">IF(OR(Y15="",Y14="",Y14=0),"",Y15/Y14-1)</f>
        <v/>
      </c>
      <c r="AA30" s="70" t="str">
        <f aca="false">IF(OR(AA15="",AA14=""),"",AA15-AA14)</f>
        <v/>
      </c>
      <c r="AB30" s="71" t="str">
        <f aca="false">IF(OR(AA15="",AA14="",AA14=0),"",AA15/AA14-1)</f>
        <v/>
      </c>
      <c r="AC30" s="70" t="str">
        <f aca="false">IF(OR(AC15="",AC14=""),"",AC15-AC14)</f>
        <v/>
      </c>
      <c r="AD30" s="71" t="str">
        <f aca="false">IF(OR(AC15="",AC14="",AC14=0),"",AC15/AC14-1)</f>
        <v/>
      </c>
      <c r="AE30" s="70" t="str">
        <f aca="false">IF(OR(AE15="",AE14=""),"",AE15-AE14)</f>
        <v/>
      </c>
      <c r="AF30" s="71" t="str">
        <f aca="false">IF(OR(AE15="",AE14="",AE14=0),"",AE15/AE14-1)</f>
        <v/>
      </c>
      <c r="AG30" s="70" t="str">
        <f aca="false">IF(OR(AG15="",AG14=""),"",AG15-AG14)</f>
        <v/>
      </c>
      <c r="AH30" s="71" t="str">
        <f aca="false">IF(OR(AG15="",AG14="",AG14=0),"",AG15/AG14-1)</f>
        <v/>
      </c>
      <c r="AI30" s="70" t="str">
        <f aca="false">IF(OR(AI15="",AI14=""),"",AI15-AI14)</f>
        <v/>
      </c>
      <c r="AJ30" s="71" t="str">
        <f aca="false">IF(OR(AI15="",AI14="",AI14=0),"",AI15/AI14-1)</f>
        <v/>
      </c>
      <c r="AK30" s="70" t="str">
        <f aca="false">IF(OR(AK15="",AK14=""),"",AK15-AK14)</f>
        <v/>
      </c>
      <c r="AL30" s="71" t="str">
        <f aca="false">IF(OR(AK15="",AK14="",AK14=0),"",AK15/AK14-1)</f>
        <v/>
      </c>
      <c r="AM30" s="70" t="str">
        <f aca="false">IF(OR(AM15="",AM14=""),"",AM15-AM14)</f>
        <v/>
      </c>
      <c r="AN30" s="71" t="str">
        <f aca="false">IF(OR(AM15="",AM14="",AM14=0),"",AM15/AM14-1)</f>
        <v/>
      </c>
      <c r="AO30" s="70" t="str">
        <f aca="false">IF(OR(AO15="",AO14=""),"",AO15-AO14)</f>
        <v/>
      </c>
      <c r="AP30" s="71" t="str">
        <f aca="false">IF(OR(AO15="",AO14="",AO14=0),"",AO15/AO14-1)</f>
        <v/>
      </c>
      <c r="AQ30" s="70" t="str">
        <f aca="false">IF(OR(AQ15="",AQ14=""),"",AQ15-AQ14)</f>
        <v/>
      </c>
      <c r="AR30" s="71" t="str">
        <f aca="false">IF(OR(AQ15="",AQ14="",AQ14=0),"",AQ15/AQ14-1)</f>
        <v/>
      </c>
      <c r="AS30" s="70" t="str">
        <f aca="false">IF(OR(AS15="",AS14=""),"",AS15-AS14)</f>
        <v/>
      </c>
      <c r="AT30" s="71" t="str">
        <f aca="false">IF(OR(AS15="",AS14="",AS14=0),"",AS15/AS14-1)</f>
        <v/>
      </c>
      <c r="AU30" s="70" t="str">
        <f aca="false">IF(OR(AU15="",AU14=""),"",AU15-AU14)</f>
        <v/>
      </c>
      <c r="AV30" s="71" t="str">
        <f aca="false">IF(OR(AU15="",AU14="",AU14=0),"",AU15/AU14-1)</f>
        <v/>
      </c>
      <c r="AW30" s="70" t="str">
        <f aca="false">IF(OR(AW15="",AW14=""),"",AW15-AW14)</f>
        <v/>
      </c>
      <c r="AX30" s="71" t="str">
        <f aca="false">IF(OR(AW15="",AW14="",AW14=0),"",AW15/AW14-1)</f>
        <v/>
      </c>
      <c r="AY30" s="70" t="str">
        <f aca="false">IF(OR(AY15="",AY14=""),"",AY15-AY14)</f>
        <v/>
      </c>
      <c r="AZ30" s="71" t="str">
        <f aca="false">IF(OR(AY15="",AY14="",AY14=0),"",AY15/AY14-1)</f>
        <v/>
      </c>
      <c r="BA30" s="70" t="str">
        <f aca="false">IF(OR(BA15="",BA14=""),"",BA15-BA14)</f>
        <v/>
      </c>
      <c r="BB30" s="71" t="str">
        <f aca="false">IF(OR(BA15="",BA14="",BA14=0),"",BA15/BA14-1)</f>
        <v/>
      </c>
      <c r="BC30" s="70" t="str">
        <f aca="false">IF(OR(BC15="",BC14=""),"",BC15-BC14)</f>
        <v/>
      </c>
      <c r="BD30" s="71" t="str">
        <f aca="false">IF(OR(BC15="",BC14="",BC14=0),"",BC15/BC14-1)</f>
        <v/>
      </c>
      <c r="BE30" s="70" t="str">
        <f aca="false">IF(OR(BE15="",BE14=""),"",BE15-BE14)</f>
        <v/>
      </c>
      <c r="BF30" s="71" t="str">
        <f aca="false">IF(OR(BE15="",BE14="",BE14=0),"",BE15/BE14-1)</f>
        <v/>
      </c>
      <c r="BG30" s="70" t="str">
        <f aca="false">IF(OR(BG15="",BG14=""),"",BG15-BG14)</f>
        <v/>
      </c>
      <c r="BH30" s="71" t="str">
        <f aca="false">IF(OR(BG15="",BG14="",BG14=0),"",BG15/BG14-1)</f>
        <v/>
      </c>
      <c r="BI30" s="70" t="str">
        <f aca="false">IF(OR(BI15="",BI14=""),"",BI15-BI14)</f>
        <v/>
      </c>
      <c r="BJ30" s="71" t="str">
        <f aca="false">IF(OR(BI15="",BI14="",BI14=0),"",BI15/BI14-1)</f>
        <v/>
      </c>
      <c r="BK30" s="70" t="str">
        <f aca="false">IF(OR(BK15="",BK14=""),"",BK15-BK14)</f>
        <v/>
      </c>
      <c r="BL30" s="71" t="str">
        <f aca="false">IF(OR(BK15="",BK14="",BK14=0),"",BK15/BK14-1)</f>
        <v/>
      </c>
      <c r="BM30" s="70" t="str">
        <f aca="false">IF(OR(BM15="",BM14=""),"",BM15-BM14)</f>
        <v/>
      </c>
      <c r="BN30" s="71" t="str">
        <f aca="false">IF(OR(BM15="",BM14="",BM14=0),"",BM15/BM14-1)</f>
        <v/>
      </c>
      <c r="BO30" s="70" t="str">
        <f aca="false">IF(OR(BO15="",BO14=""),"",BO15-BO14)</f>
        <v/>
      </c>
      <c r="BP30" s="71" t="str">
        <f aca="false">IF(OR(BO15="",BO14="",BO14=0),"",BO15/BO14-1)</f>
        <v/>
      </c>
      <c r="BQ30" s="70" t="str">
        <f aca="false">IF(OR(BQ15="",BQ14=""),"",BQ15-BQ14)</f>
        <v/>
      </c>
      <c r="BR30" s="71" t="str">
        <f aca="false">IF(OR(BQ15="",BQ14="",BQ14=0),"",BQ15/BQ14-1)</f>
        <v/>
      </c>
      <c r="BS30" s="70" t="str">
        <f aca="false">IF(OR(BS15="",BS14=""),"",BS15-BS14)</f>
        <v/>
      </c>
      <c r="BT30" s="71" t="str">
        <f aca="false">IF(OR(BS15="",BS14="",BS14=0),"",BS15/BS14-1)</f>
        <v/>
      </c>
      <c r="BU30" s="70" t="str">
        <f aca="false">IF(OR(BU15="",BU14=""),"",BU15-BU14)</f>
        <v/>
      </c>
      <c r="BV30" s="71" t="str">
        <f aca="false">IF(OR(BU15="",BU14="",BU14=0),"",BU15/BU14-1)</f>
        <v/>
      </c>
      <c r="BW30" s="70" t="str">
        <f aca="false">IF(OR(BW15="",BW14=""),"",BW15-BW14)</f>
        <v/>
      </c>
      <c r="BX30" s="71" t="str">
        <f aca="false">IF(OR(BW15="",BW14="",BW14=0),"",BW15/BW14-1)</f>
        <v/>
      </c>
      <c r="BY30" s="70" t="str">
        <f aca="false">IF(OR(BY15="",BY14=""),"",BY15-BY14)</f>
        <v/>
      </c>
      <c r="BZ30" s="71" t="str">
        <f aca="false">IF(OR(BY15="",BY14="",BY14=0),"",BY15/BY14-1)</f>
        <v/>
      </c>
      <c r="CA30" s="70" t="str">
        <f aca="false">IF(OR(CA15="",CA14=""),"",CA15-CA14)</f>
        <v/>
      </c>
      <c r="CB30" s="71" t="str">
        <f aca="false">IF(OR(CA15="",CA14="",CA14=0),"",CA15/CA14-1)</f>
        <v/>
      </c>
      <c r="CC30" s="70" t="str">
        <f aca="false">IF(OR(CC15="",CC14=""),"",CC15-CC14)</f>
        <v/>
      </c>
      <c r="CD30" s="71" t="str">
        <f aca="false">IF(OR(CC15="",CC14="",CC14=0),"",CC15/CC14-1)</f>
        <v/>
      </c>
      <c r="CE30" s="70" t="str">
        <f aca="false">IF(OR(CE15="",CE14=""),"",CE15-CE14)</f>
        <v/>
      </c>
      <c r="CF30" s="71" t="str">
        <f aca="false">IF(OR(CE15="",CE14="",CE14=0),"",CE15/CE14-1)</f>
        <v/>
      </c>
      <c r="CG30" s="70" t="str">
        <f aca="false">IF(OR(CG15="",CG14=""),"",CG15-CG14)</f>
        <v/>
      </c>
      <c r="CH30" s="71" t="str">
        <f aca="false">IF(OR(CG15="",CG14="",CG14=0),"",CG15/CG14-1)</f>
        <v/>
      </c>
      <c r="CI30" s="70" t="str">
        <f aca="false">IF(OR(CI15="",CI14=""),"",CI15-CI14)</f>
        <v/>
      </c>
      <c r="CJ30" s="71" t="str">
        <f aca="false">IF(OR(CI15="",CI14="",CI14=0),"",CI15/CI14-1)</f>
        <v/>
      </c>
      <c r="CK30" s="70" t="str">
        <f aca="false">IF(OR(CK15="",CK14=""),"",CK15-CK14)</f>
        <v/>
      </c>
      <c r="CL30" s="71" t="str">
        <f aca="false">IF(OR(CK15="",CK14="",CK14=0),"",CK15/CK14-1)</f>
        <v/>
      </c>
      <c r="CM30" s="70" t="str">
        <f aca="false">IF(OR(CM15="",CM14=""),"",CM15-CM14)</f>
        <v/>
      </c>
      <c r="CN30" s="71" t="str">
        <f aca="false">IF(OR(CM15="",CM14="",CM14=0),"",CM15/CM14-1)</f>
        <v/>
      </c>
      <c r="CO30" s="70" t="str">
        <f aca="false">IF(OR(CO15="",CO14=""),"",CO15-CO14)</f>
        <v/>
      </c>
      <c r="CP30" s="71" t="str">
        <f aca="false">IF(OR(CO15="",CO14="",CO14=0),"",CO15/CO14-1)</f>
        <v/>
      </c>
      <c r="CQ30" s="70" t="str">
        <f aca="false">IF(OR(CQ15="",CQ14=""),"",CQ15-CQ14)</f>
        <v/>
      </c>
      <c r="CR30" s="71" t="str">
        <f aca="false">IF(OR(CQ15="",CQ14="",CQ14=0),"",CQ15/CQ14-1)</f>
        <v/>
      </c>
      <c r="CS30" s="70" t="str">
        <f aca="false">IF(OR(CS15="",CS14=""),"",CS15-CS14)</f>
        <v/>
      </c>
      <c r="CT30" s="71" t="str">
        <f aca="false">IF(OR(CS15="",CS14="",CS14=0),"",CS15/CS14-1)</f>
        <v/>
      </c>
      <c r="CU30" s="70" t="str">
        <f aca="false">IF(OR(CU15="",CU14=""),"",CU15-CU14)</f>
        <v/>
      </c>
      <c r="CV30" s="71" t="str">
        <f aca="false">IF(OR(CU15="",CU14="",CU14=0),"",CU15/CU14-1)</f>
        <v/>
      </c>
      <c r="CW30" s="70" t="str">
        <f aca="false">IF(OR(CW15="",CW14=""),"",CW15-CW14)</f>
        <v/>
      </c>
      <c r="CX30" s="71" t="str">
        <f aca="false">IF(OR(CW15="",CW14="",CW14=0),"",CW15/CW14-1)</f>
        <v/>
      </c>
      <c r="CY30" s="70" t="str">
        <f aca="false">IF(OR(CY15="",CY14=""),"",CY15-CY14)</f>
        <v/>
      </c>
      <c r="CZ30" s="71" t="str">
        <f aca="false">IF(OR(CY15="",CY14="",CY14=0),"",CY15/CY14-1)</f>
        <v/>
      </c>
      <c r="DA30" s="70" t="str">
        <f aca="false">IF(OR(DA15="",DA14=""),"",DA15-DA14)</f>
        <v/>
      </c>
      <c r="DB30" s="71" t="str">
        <f aca="false">IF(OR(DA15="",DA14="",DA14=0),"",DA15/DA14-1)</f>
        <v/>
      </c>
      <c r="DC30" s="70" t="str">
        <f aca="false">IF(OR(DC15="",DC14=""),"",DC15-DC14)</f>
        <v/>
      </c>
      <c r="DD30" s="71" t="str">
        <f aca="false">IF(OR(DC15="",DC14="",DC14=0),"",DC15/DC14-1)</f>
        <v/>
      </c>
      <c r="DE30" s="70" t="str">
        <f aca="false">IF(OR(DE15="",DE14=""),"",DE15-DE14)</f>
        <v/>
      </c>
      <c r="DF30" s="71" t="str">
        <f aca="false">IF(OR(DE15="",DE14="",DE14=0),"",DE15/DE14-1)</f>
        <v/>
      </c>
      <c r="DG30" s="70" t="str">
        <f aca="false">IF(OR(DG15="",DG14=""),"",DG15-DG14)</f>
        <v/>
      </c>
      <c r="DH30" s="71" t="str">
        <f aca="false">IF(OR(DG15="",DG14="",DG14=0),"",DG15/DG14-1)</f>
        <v/>
      </c>
      <c r="DI30" s="70" t="str">
        <f aca="false">IF(OR(DI15="",DI14=""),"",DI15-DI14)</f>
        <v/>
      </c>
      <c r="DJ30" s="71" t="str">
        <f aca="false">IF(OR(DI15="",DI14="",DI14=0),"",DI15/DI14-1)</f>
        <v/>
      </c>
      <c r="DK30" s="70" t="str">
        <f aca="false">IF(OR(DK15="",DK14=""),"",DK15-DK14)</f>
        <v/>
      </c>
      <c r="DL30" s="71" t="str">
        <f aca="false">IF(OR(DK15="",DK14="",DK14=0),"",DK15/DK14-1)</f>
        <v/>
      </c>
      <c r="DM30" s="70" t="str">
        <f aca="false">IF(OR(DM15="",DM14=""),"",DM15-DM14)</f>
        <v/>
      </c>
      <c r="DN30" s="71" t="str">
        <f aca="false">IF(OR(DM15="",DM14="",DM14=0),"",DM15/DM14-1)</f>
        <v/>
      </c>
      <c r="DO30" s="70" t="str">
        <f aca="false">IF(OR(DO15="",DO14=""),"",DO15-DO14)</f>
        <v/>
      </c>
      <c r="DP30" s="71" t="str">
        <f aca="false">IF(OR(DO15="",DO14="",DO14=0),"",DO15/DO14-1)</f>
        <v/>
      </c>
      <c r="DQ30" s="70" t="str">
        <f aca="false">IF(OR(DQ15="",DQ14=""),"",DQ15-DQ14)</f>
        <v/>
      </c>
      <c r="DR30" s="71" t="str">
        <f aca="false">IF(OR(DQ15="",DQ14="",DQ14=0),"",DQ15/DQ14-1)</f>
        <v/>
      </c>
      <c r="DS30" s="70" t="str">
        <f aca="false">IF(OR(DS15="",DS14=""),"",DS15-DS14)</f>
        <v/>
      </c>
      <c r="DT30" s="71" t="str">
        <f aca="false">IF(OR(DS15="",DS14="",DS14=0),"",DS15/DS14-1)</f>
        <v/>
      </c>
      <c r="DU30" s="70" t="str">
        <f aca="false">IF(OR(DU15="",DU14=""),"",DU15-DU14)</f>
        <v/>
      </c>
      <c r="DV30" s="71" t="str">
        <f aca="false">IF(OR(DU15="",DU14="",DU14=0),"",DU15/DU14-1)</f>
        <v/>
      </c>
      <c r="DW30" s="70" t="str">
        <f aca="false">IF(OR(DW15="",DW14=""),"",DW15-DW14)</f>
        <v/>
      </c>
      <c r="DX30" s="71" t="str">
        <f aca="false">IF(OR(DW15="",DW14="",DW14=0),"",DW15/DW14-1)</f>
        <v/>
      </c>
      <c r="DY30" s="70" t="str">
        <f aca="false">IF(OR(DY15="",DY14=""),"",DY15-DY14)</f>
        <v/>
      </c>
      <c r="DZ30" s="71" t="str">
        <f aca="false">IF(OR(DY15="",DY14="",DY14=0),"",DY15/DY14-1)</f>
        <v/>
      </c>
      <c r="EA30" s="70" t="str">
        <f aca="false">IF(OR(EA15="",EA14=""),"",EA15-EA14)</f>
        <v/>
      </c>
      <c r="EB30" s="71" t="str">
        <f aca="false">IF(OR(EA15="",EA14="",EA14=0),"",EA15/EA14-1)</f>
        <v/>
      </c>
      <c r="EC30" s="70" t="str">
        <f aca="false">IF(OR(EC15="",EC14=""),"",EC15-EC14)</f>
        <v/>
      </c>
      <c r="ED30" s="71" t="str">
        <f aca="false">IF(OR(EC15="",EC14="",EC14=0),"",EC15/EC14-1)</f>
        <v/>
      </c>
      <c r="EE30" s="70" t="str">
        <f aca="false">IF(OR(EE15="",EE14=""),"",EE15-EE14)</f>
        <v/>
      </c>
      <c r="EF30" s="71" t="str">
        <f aca="false">IF(OR(EE15="",EE14="",EE14=0),"",EE15/EE14-1)</f>
        <v/>
      </c>
      <c r="EG30" s="70" t="str">
        <f aca="false">IF(OR(EG15="",EG14=""),"",EG15-EG14)</f>
        <v/>
      </c>
      <c r="EH30" s="71" t="str">
        <f aca="false">IF(OR(EG15="",EG14="",EG14=0),"",EG15/EG14-1)</f>
        <v/>
      </c>
      <c r="EI30" s="70" t="str">
        <f aca="false">IF(OR(EI15="",EI14=""),"",EI15-EI14)</f>
        <v/>
      </c>
      <c r="EJ30" s="71" t="str">
        <f aca="false">IF(OR(EI15="",EI14="",EI14=0),"",EI15/EI14-1)</f>
        <v/>
      </c>
      <c r="EK30" s="70" t="str">
        <f aca="false">IF(OR(EK15="",EK14=""),"",EK15-EK14)</f>
        <v/>
      </c>
      <c r="EL30" s="71" t="str">
        <f aca="false">IF(OR(EK15="",EK14="",EK14=0),"",EK15/EK14-1)</f>
        <v/>
      </c>
      <c r="EM30" s="70" t="str">
        <f aca="false">IF(OR(EM15="",EM14=""),"",EM15-EM14)</f>
        <v/>
      </c>
      <c r="EN30" s="71" t="str">
        <f aca="false">IF(OR(EM15="",EM14="",EM14=0),"",EM15/EM14-1)</f>
        <v/>
      </c>
      <c r="EO30" s="70" t="str">
        <f aca="false">IF(OR(EO15="",EO14=""),"",EO15-EO14)</f>
        <v/>
      </c>
      <c r="EP30" s="71" t="str">
        <f aca="false">IF(OR(EO15="",EO14="",EO14=0),"",EO15/EO14-1)</f>
        <v/>
      </c>
      <c r="EQ30" s="70" t="str">
        <f aca="false">IF(OR(EQ15="",EQ14=""),"",EQ15-EQ14)</f>
        <v/>
      </c>
      <c r="ER30" s="71" t="str">
        <f aca="false">IF(OR(EQ15="",EQ14="",EQ14=0),"",EQ15/EQ14-1)</f>
        <v/>
      </c>
      <c r="ES30" s="70" t="str">
        <f aca="false">IF(OR(ES15="",ES14=""),"",ES15-ES14)</f>
        <v/>
      </c>
      <c r="ET30" s="71" t="str">
        <f aca="false">IF(OR(ES15="",ES14="",ES14=0),"",ES15/ES14-1)</f>
        <v/>
      </c>
      <c r="EU30" s="70" t="str">
        <f aca="false">IF(OR(EU15="",EU14=""),"",EU15-EU14)</f>
        <v/>
      </c>
      <c r="EV30" s="71" t="str">
        <f aca="false">IF(OR(EU15="",EU14="",EU14=0),"",EU15/EU14-1)</f>
        <v/>
      </c>
      <c r="EW30" s="70" t="str">
        <f aca="false">IF(OR(EW15="",EW14=""),"",EW15-EW14)</f>
        <v/>
      </c>
      <c r="EX30" s="71" t="str">
        <f aca="false">IF(OR(EW15="",EW14="",EW14=0),"",EW15/EW14-1)</f>
        <v/>
      </c>
      <c r="EY30" s="70" t="str">
        <f aca="false">IF(OR(EY15="",EY14=""),"",EY15-EY14)</f>
        <v/>
      </c>
      <c r="EZ30" s="71" t="str">
        <f aca="false">IF(OR(EY15="",EY14="",EY14=0),"",EY15/EY14-1)</f>
        <v/>
      </c>
      <c r="FA30" s="70" t="str">
        <f aca="false">IF(OR(FA15="",FA14=""),"",FA15-FA14)</f>
        <v/>
      </c>
      <c r="FB30" s="71" t="str">
        <f aca="false">IF(OR(FA15="",FA14="",FA14=0),"",FA15/FA14-1)</f>
        <v/>
      </c>
      <c r="FC30" s="70" t="str">
        <f aca="false">IF(OR(FC15="",FC14=""),"",FC15-FC14)</f>
        <v/>
      </c>
      <c r="FD30" s="71" t="str">
        <f aca="false">IF(OR(FC15="",FC14="",FC14=0),"",FC15/FC14-1)</f>
        <v/>
      </c>
      <c r="FE30" s="70" t="str">
        <f aca="false">IF(OR(FE15="",FE14=""),"",FE15-FE14)</f>
        <v/>
      </c>
      <c r="FF30" s="71" t="str">
        <f aca="false">IF(OR(FE15="",FE14="",FE14=0),"",FE15/FE14-1)</f>
        <v/>
      </c>
      <c r="FG30" s="70" t="str">
        <f aca="false">IF(OR(FG15="",FG14=""),"",FG15-FG14)</f>
        <v/>
      </c>
      <c r="FH30" s="71" t="str">
        <f aca="false">IF(OR(FG15="",FG14="",FG14=0),"",FG15/FG14-1)</f>
        <v/>
      </c>
      <c r="FI30" s="70" t="str">
        <f aca="false">IF(OR(FI15="",FI14=""),"",FI15-FI14)</f>
        <v/>
      </c>
      <c r="FJ30" s="71" t="str">
        <f aca="false">IF(OR(FI15="",FI14="",FI14=0),"",FI15/FI14-1)</f>
        <v/>
      </c>
      <c r="FK30" s="70" t="str">
        <f aca="false">IF(OR(FK15="",FK14=""),"",FK15-FK14)</f>
        <v/>
      </c>
      <c r="FL30" s="71" t="str">
        <f aca="false">IF(OR(FK15="",FK14="",FK14=0),"",FK15/FK14-1)</f>
        <v/>
      </c>
      <c r="FM30" s="70" t="str">
        <f aca="false">IF(OR(FM15="",FM14=""),"",FM15-FM14)</f>
        <v/>
      </c>
      <c r="FN30" s="71" t="str">
        <f aca="false">IF(OR(FM15="",FM14="",FM14=0),"",FM15/FM14-1)</f>
        <v/>
      </c>
      <c r="FO30" s="70" t="str">
        <f aca="false">IF(OR(FO15="",FO14=""),"",FO15-FO14)</f>
        <v/>
      </c>
      <c r="FP30" s="71" t="str">
        <f aca="false">IF(OR(FO15="",FO14="",FO14=0),"",FO15/FO14-1)</f>
        <v/>
      </c>
      <c r="FQ30" s="70" t="str">
        <f aca="false">IF(OR(FQ15="",FQ14=""),"",FQ15-FQ14)</f>
        <v/>
      </c>
      <c r="FR30" s="71" t="str">
        <f aca="false">IF(OR(FQ15="",FQ14="",FQ14=0),"",FQ15/FQ14-1)</f>
        <v/>
      </c>
      <c r="FS30" s="70" t="str">
        <f aca="false">IF(OR(FS15="",FS14=""),"",FS15-FS14)</f>
        <v/>
      </c>
      <c r="FT30" s="71" t="str">
        <f aca="false">IF(OR(FS15="",FS14="",FS14=0),"",FS15/FS14-1)</f>
        <v/>
      </c>
      <c r="FU30" s="70" t="str">
        <f aca="false">IF(OR(FU15="",FU14=""),"",FU15-FU14)</f>
        <v/>
      </c>
      <c r="FV30" s="71" t="str">
        <f aca="false">IF(OR(FU15="",FU14="",FU14=0),"",FU15/FU14-1)</f>
        <v/>
      </c>
      <c r="FW30" s="70" t="str">
        <f aca="false">IF(OR(FW15="",FW14=""),"",FW15-FW14)</f>
        <v/>
      </c>
      <c r="FX30" s="71" t="str">
        <f aca="false">IF(OR(FW15="",FW14="",FW14=0),"",FW15/FW14-1)</f>
        <v/>
      </c>
      <c r="FY30" s="70" t="str">
        <f aca="false">IF(OR(FY15="",FY14=""),"",FY15-FY14)</f>
        <v/>
      </c>
      <c r="FZ30" s="71" t="str">
        <f aca="false">IF(OR(FY15="",FY14="",FY14=0),"",FY15/FY14-1)</f>
        <v/>
      </c>
      <c r="GA30" s="70" t="str">
        <f aca="false">IF(OR(GA15="",GA14=""),"",GA15-GA14)</f>
        <v/>
      </c>
      <c r="GB30" s="71" t="str">
        <f aca="false">IF(OR(GA15="",GA14="",GA14=0),"",GA15/GA14-1)</f>
        <v/>
      </c>
      <c r="GC30" s="70" t="str">
        <f aca="false">IF(OR(GC15="",GC14=""),"",GC15-GC14)</f>
        <v/>
      </c>
      <c r="GD30" s="71" t="str">
        <f aca="false">IF(OR(GC15="",GC14="",GC14=0),"",GC15/GC14-1)</f>
        <v/>
      </c>
      <c r="GE30" s="70" t="str">
        <f aca="false">IF(OR(GE15="",GE14=""),"",GE15-GE14)</f>
        <v/>
      </c>
      <c r="GF30" s="71" t="str">
        <f aca="false">IF(OR(GE15="",GE14="",GE14=0),"",GE15/GE14-1)</f>
        <v/>
      </c>
      <c r="GG30" s="70" t="str">
        <f aca="false">IF(OR(GG15="",GG14=""),"",GG15-GG14)</f>
        <v/>
      </c>
      <c r="GH30" s="71" t="str">
        <f aca="false">IF(OR(GG15="",GG14="",GG14=0),"",GG15/GG14-1)</f>
        <v/>
      </c>
      <c r="GI30" s="70" t="str">
        <f aca="false">IF(OR(GI15="",GI14=""),"",GI15-GI14)</f>
        <v/>
      </c>
      <c r="GJ30" s="71" t="str">
        <f aca="false">IF(OR(GI15="",GI14="",GI14=0),"",GI15/GI14-1)</f>
        <v/>
      </c>
      <c r="GK30" s="70" t="str">
        <f aca="false">IF(OR(GK15="",GK14=""),"",GK15-GK14)</f>
        <v/>
      </c>
      <c r="GL30" s="71" t="str">
        <f aca="false">IF(OR(GK15="",GK14="",GK14=0),"",GK15/GK14-1)</f>
        <v/>
      </c>
      <c r="GM30" s="70" t="str">
        <f aca="false">IF(OR(GM15="",GM14=""),"",GM15-GM14)</f>
        <v/>
      </c>
      <c r="GN30" s="71" t="str">
        <f aca="false">IF(OR(GM15="",GM14="",GM14=0),"",GM15/GM14-1)</f>
        <v/>
      </c>
      <c r="GO30" s="70" t="str">
        <f aca="false">IF(OR(GO15="",GO14=""),"",GO15-GO14)</f>
        <v/>
      </c>
      <c r="GP30" s="71" t="str">
        <f aca="false">IF(OR(GO15="",GO14="",GO14=0),"",GO15/GO14-1)</f>
        <v/>
      </c>
      <c r="GQ30" s="70" t="str">
        <f aca="false">IF(OR(GQ15="",GQ14=""),"",GQ15-GQ14)</f>
        <v/>
      </c>
      <c r="GR30" s="71" t="str">
        <f aca="false">IF(OR(GQ15="",GQ14="",GQ14=0),"",GQ15/GQ14-1)</f>
        <v/>
      </c>
      <c r="GS30" s="70" t="str">
        <f aca="false">IF(OR(GS15="",GS14=""),"",GS15-GS14)</f>
        <v/>
      </c>
      <c r="GT30" s="71" t="str">
        <f aca="false">IF(OR(GS15="",GS14="",GS14=0),"",GS15/GS14-1)</f>
        <v/>
      </c>
      <c r="GU30" s="70" t="str">
        <f aca="false">IF(OR(GU15="",GU14=""),"",GU15-GU14)</f>
        <v/>
      </c>
      <c r="GV30" s="71" t="str">
        <f aca="false">IF(OR(GU15="",GU14="",GU14=0),"",GU15/GU14-1)</f>
        <v/>
      </c>
      <c r="GW30" s="70" t="str">
        <f aca="false">IF(OR(GW15="",GW14=""),"",GW15-GW14)</f>
        <v/>
      </c>
      <c r="GX30" s="71" t="str">
        <f aca="false">IF(OR(GW15="",GW14="",GW14=0),"",GW15/GW14-1)</f>
        <v/>
      </c>
      <c r="GY30" s="70" t="str">
        <f aca="false">IF(OR(GY15="",GY14=""),"",GY15-GY14)</f>
        <v/>
      </c>
      <c r="GZ30" s="71" t="str">
        <f aca="false">IF(OR(GY15="",GY14="",GY14=0),"",GY15/GY14-1)</f>
        <v/>
      </c>
    </row>
    <row r="31" customFormat="false" ht="15" hidden="false" customHeight="false" outlineLevel="0" collapsed="false">
      <c r="A31" s="54"/>
      <c r="B31" s="55"/>
      <c r="C31" s="55"/>
      <c r="D31" s="56"/>
      <c r="E31" s="57"/>
      <c r="F31" s="11" t="s">
        <v>112</v>
      </c>
      <c r="H31" s="69" t="str">
        <f aca="false">IF(OR('Довідник категорій'!B9="",'Довідник категорій'!B8=""),"",'Довідник категорій'!B9&amp;"  ↔  "&amp;'Довідник категорій'!B8)</f>
        <v/>
      </c>
      <c r="I31" s="70" t="str">
        <f aca="false">IF(OR(I16="",I15=""),"",I16-I15)</f>
        <v/>
      </c>
      <c r="J31" s="71" t="str">
        <f aca="false">IF(OR(I16="",I15="",I15=0),"",I16/I15-1)</f>
        <v/>
      </c>
      <c r="K31" s="70" t="str">
        <f aca="false">IF(OR(K16="",K15=""),"",K16-K15)</f>
        <v/>
      </c>
      <c r="L31" s="71" t="str">
        <f aca="false">IF(OR(K16="",K15="",K15=0),"",K16/K15-1)</f>
        <v/>
      </c>
      <c r="M31" s="70" t="str">
        <f aca="false">IF(OR(M16="",M15=""),"",M16-M15)</f>
        <v/>
      </c>
      <c r="N31" s="71" t="str">
        <f aca="false">IF(OR(M16="",M15="",M15=0),"",M16/M15-1)</f>
        <v/>
      </c>
      <c r="O31" s="70" t="str">
        <f aca="false">IF(OR(O16="",O15=""),"",O16-O15)</f>
        <v/>
      </c>
      <c r="P31" s="71" t="str">
        <f aca="false">IF(OR(O16="",O15="",O15=0),"",O16/O15-1)</f>
        <v/>
      </c>
      <c r="Q31" s="70" t="str">
        <f aca="false">IF(OR(Q16="",Q15=""),"",Q16-Q15)</f>
        <v/>
      </c>
      <c r="R31" s="71" t="str">
        <f aca="false">IF(OR(Q16="",Q15="",Q15=0),"",Q16/Q15-1)</f>
        <v/>
      </c>
      <c r="S31" s="70" t="str">
        <f aca="false">IF(OR(S16="",S15=""),"",S16-S15)</f>
        <v/>
      </c>
      <c r="T31" s="71" t="str">
        <f aca="false">IF(OR(S16="",S15="",S15=0),"",S16/S15-1)</f>
        <v/>
      </c>
      <c r="U31" s="70" t="str">
        <f aca="false">IF(OR(U16="",U15=""),"",U16-U15)</f>
        <v/>
      </c>
      <c r="V31" s="71" t="str">
        <f aca="false">IF(OR(U16="",U15="",U15=0),"",U16/U15-1)</f>
        <v/>
      </c>
      <c r="W31" s="70" t="str">
        <f aca="false">IF(OR(W16="",W15=""),"",W16-W15)</f>
        <v/>
      </c>
      <c r="X31" s="71" t="str">
        <f aca="false">IF(OR(W16="",W15="",W15=0),"",W16/W15-1)</f>
        <v/>
      </c>
      <c r="Y31" s="70" t="str">
        <f aca="false">IF(OR(Y16="",Y15=""),"",Y16-Y15)</f>
        <v/>
      </c>
      <c r="Z31" s="71" t="str">
        <f aca="false">IF(OR(Y16="",Y15="",Y15=0),"",Y16/Y15-1)</f>
        <v/>
      </c>
      <c r="AA31" s="70" t="str">
        <f aca="false">IF(OR(AA16="",AA15=""),"",AA16-AA15)</f>
        <v/>
      </c>
      <c r="AB31" s="71" t="str">
        <f aca="false">IF(OR(AA16="",AA15="",AA15=0),"",AA16/AA15-1)</f>
        <v/>
      </c>
      <c r="AC31" s="70" t="str">
        <f aca="false">IF(OR(AC16="",AC15=""),"",AC16-AC15)</f>
        <v/>
      </c>
      <c r="AD31" s="71" t="str">
        <f aca="false">IF(OR(AC16="",AC15="",AC15=0),"",AC16/AC15-1)</f>
        <v/>
      </c>
      <c r="AE31" s="70" t="str">
        <f aca="false">IF(OR(AE16="",AE15=""),"",AE16-AE15)</f>
        <v/>
      </c>
      <c r="AF31" s="71" t="str">
        <f aca="false">IF(OR(AE16="",AE15="",AE15=0),"",AE16/AE15-1)</f>
        <v/>
      </c>
      <c r="AG31" s="70" t="str">
        <f aca="false">IF(OR(AG16="",AG15=""),"",AG16-AG15)</f>
        <v/>
      </c>
      <c r="AH31" s="71" t="str">
        <f aca="false">IF(OR(AG16="",AG15="",AG15=0),"",AG16/AG15-1)</f>
        <v/>
      </c>
      <c r="AI31" s="70" t="str">
        <f aca="false">IF(OR(AI16="",AI15=""),"",AI16-AI15)</f>
        <v/>
      </c>
      <c r="AJ31" s="71" t="str">
        <f aca="false">IF(OR(AI16="",AI15="",AI15=0),"",AI16/AI15-1)</f>
        <v/>
      </c>
      <c r="AK31" s="70" t="str">
        <f aca="false">IF(OR(AK16="",AK15=""),"",AK16-AK15)</f>
        <v/>
      </c>
      <c r="AL31" s="71" t="str">
        <f aca="false">IF(OR(AK16="",AK15="",AK15=0),"",AK16/AK15-1)</f>
        <v/>
      </c>
      <c r="AM31" s="70" t="str">
        <f aca="false">IF(OR(AM16="",AM15=""),"",AM16-AM15)</f>
        <v/>
      </c>
      <c r="AN31" s="71" t="str">
        <f aca="false">IF(OR(AM16="",AM15="",AM15=0),"",AM16/AM15-1)</f>
        <v/>
      </c>
      <c r="AO31" s="70" t="str">
        <f aca="false">IF(OR(AO16="",AO15=""),"",AO16-AO15)</f>
        <v/>
      </c>
      <c r="AP31" s="71" t="str">
        <f aca="false">IF(OR(AO16="",AO15="",AO15=0),"",AO16/AO15-1)</f>
        <v/>
      </c>
      <c r="AQ31" s="70" t="str">
        <f aca="false">IF(OR(AQ16="",AQ15=""),"",AQ16-AQ15)</f>
        <v/>
      </c>
      <c r="AR31" s="71" t="str">
        <f aca="false">IF(OR(AQ16="",AQ15="",AQ15=0),"",AQ16/AQ15-1)</f>
        <v/>
      </c>
      <c r="AS31" s="70" t="str">
        <f aca="false">IF(OR(AS16="",AS15=""),"",AS16-AS15)</f>
        <v/>
      </c>
      <c r="AT31" s="71" t="str">
        <f aca="false">IF(OR(AS16="",AS15="",AS15=0),"",AS16/AS15-1)</f>
        <v/>
      </c>
      <c r="AU31" s="70" t="str">
        <f aca="false">IF(OR(AU16="",AU15=""),"",AU16-AU15)</f>
        <v/>
      </c>
      <c r="AV31" s="71" t="str">
        <f aca="false">IF(OR(AU16="",AU15="",AU15=0),"",AU16/AU15-1)</f>
        <v/>
      </c>
      <c r="AW31" s="70" t="str">
        <f aca="false">IF(OR(AW16="",AW15=""),"",AW16-AW15)</f>
        <v/>
      </c>
      <c r="AX31" s="71" t="str">
        <f aca="false">IF(OR(AW16="",AW15="",AW15=0),"",AW16/AW15-1)</f>
        <v/>
      </c>
      <c r="AY31" s="70" t="str">
        <f aca="false">IF(OR(AY16="",AY15=""),"",AY16-AY15)</f>
        <v/>
      </c>
      <c r="AZ31" s="71" t="str">
        <f aca="false">IF(OR(AY16="",AY15="",AY15=0),"",AY16/AY15-1)</f>
        <v/>
      </c>
      <c r="BA31" s="70" t="str">
        <f aca="false">IF(OR(BA16="",BA15=""),"",BA16-BA15)</f>
        <v/>
      </c>
      <c r="BB31" s="71" t="str">
        <f aca="false">IF(OR(BA16="",BA15="",BA15=0),"",BA16/BA15-1)</f>
        <v/>
      </c>
      <c r="BC31" s="70" t="str">
        <f aca="false">IF(OR(BC16="",BC15=""),"",BC16-BC15)</f>
        <v/>
      </c>
      <c r="BD31" s="71" t="str">
        <f aca="false">IF(OR(BC16="",BC15="",BC15=0),"",BC16/BC15-1)</f>
        <v/>
      </c>
      <c r="BE31" s="70" t="str">
        <f aca="false">IF(OR(BE16="",BE15=""),"",BE16-BE15)</f>
        <v/>
      </c>
      <c r="BF31" s="71" t="str">
        <f aca="false">IF(OR(BE16="",BE15="",BE15=0),"",BE16/BE15-1)</f>
        <v/>
      </c>
      <c r="BG31" s="70" t="str">
        <f aca="false">IF(OR(BG16="",BG15=""),"",BG16-BG15)</f>
        <v/>
      </c>
      <c r="BH31" s="71" t="str">
        <f aca="false">IF(OR(BG16="",BG15="",BG15=0),"",BG16/BG15-1)</f>
        <v/>
      </c>
      <c r="BI31" s="70" t="str">
        <f aca="false">IF(OR(BI16="",BI15=""),"",BI16-BI15)</f>
        <v/>
      </c>
      <c r="BJ31" s="71" t="str">
        <f aca="false">IF(OR(BI16="",BI15="",BI15=0),"",BI16/BI15-1)</f>
        <v/>
      </c>
      <c r="BK31" s="70" t="str">
        <f aca="false">IF(OR(BK16="",BK15=""),"",BK16-BK15)</f>
        <v/>
      </c>
      <c r="BL31" s="71" t="str">
        <f aca="false">IF(OR(BK16="",BK15="",BK15=0),"",BK16/BK15-1)</f>
        <v/>
      </c>
      <c r="BM31" s="70" t="str">
        <f aca="false">IF(OR(BM16="",BM15=""),"",BM16-BM15)</f>
        <v/>
      </c>
      <c r="BN31" s="71" t="str">
        <f aca="false">IF(OR(BM16="",BM15="",BM15=0),"",BM16/BM15-1)</f>
        <v/>
      </c>
      <c r="BO31" s="70" t="str">
        <f aca="false">IF(OR(BO16="",BO15=""),"",BO16-BO15)</f>
        <v/>
      </c>
      <c r="BP31" s="71" t="str">
        <f aca="false">IF(OR(BO16="",BO15="",BO15=0),"",BO16/BO15-1)</f>
        <v/>
      </c>
      <c r="BQ31" s="70" t="str">
        <f aca="false">IF(OR(BQ16="",BQ15=""),"",BQ16-BQ15)</f>
        <v/>
      </c>
      <c r="BR31" s="71" t="str">
        <f aca="false">IF(OR(BQ16="",BQ15="",BQ15=0),"",BQ16/BQ15-1)</f>
        <v/>
      </c>
      <c r="BS31" s="70" t="str">
        <f aca="false">IF(OR(BS16="",BS15=""),"",BS16-BS15)</f>
        <v/>
      </c>
      <c r="BT31" s="71" t="str">
        <f aca="false">IF(OR(BS16="",BS15="",BS15=0),"",BS16/BS15-1)</f>
        <v/>
      </c>
      <c r="BU31" s="70" t="str">
        <f aca="false">IF(OR(BU16="",BU15=""),"",BU16-BU15)</f>
        <v/>
      </c>
      <c r="BV31" s="71" t="str">
        <f aca="false">IF(OR(BU16="",BU15="",BU15=0),"",BU16/BU15-1)</f>
        <v/>
      </c>
      <c r="BW31" s="70" t="str">
        <f aca="false">IF(OR(BW16="",BW15=""),"",BW16-BW15)</f>
        <v/>
      </c>
      <c r="BX31" s="71" t="str">
        <f aca="false">IF(OR(BW16="",BW15="",BW15=0),"",BW16/BW15-1)</f>
        <v/>
      </c>
      <c r="BY31" s="70" t="str">
        <f aca="false">IF(OR(BY16="",BY15=""),"",BY16-BY15)</f>
        <v/>
      </c>
      <c r="BZ31" s="71" t="str">
        <f aca="false">IF(OR(BY16="",BY15="",BY15=0),"",BY16/BY15-1)</f>
        <v/>
      </c>
      <c r="CA31" s="70" t="str">
        <f aca="false">IF(OR(CA16="",CA15=""),"",CA16-CA15)</f>
        <v/>
      </c>
      <c r="CB31" s="71" t="str">
        <f aca="false">IF(OR(CA16="",CA15="",CA15=0),"",CA16/CA15-1)</f>
        <v/>
      </c>
      <c r="CC31" s="70" t="str">
        <f aca="false">IF(OR(CC16="",CC15=""),"",CC16-CC15)</f>
        <v/>
      </c>
      <c r="CD31" s="71" t="str">
        <f aca="false">IF(OR(CC16="",CC15="",CC15=0),"",CC16/CC15-1)</f>
        <v/>
      </c>
      <c r="CE31" s="70" t="str">
        <f aca="false">IF(OR(CE16="",CE15=""),"",CE16-CE15)</f>
        <v/>
      </c>
      <c r="CF31" s="71" t="str">
        <f aca="false">IF(OR(CE16="",CE15="",CE15=0),"",CE16/CE15-1)</f>
        <v/>
      </c>
      <c r="CG31" s="70" t="str">
        <f aca="false">IF(OR(CG16="",CG15=""),"",CG16-CG15)</f>
        <v/>
      </c>
      <c r="CH31" s="71" t="str">
        <f aca="false">IF(OR(CG16="",CG15="",CG15=0),"",CG16/CG15-1)</f>
        <v/>
      </c>
      <c r="CI31" s="70" t="str">
        <f aca="false">IF(OR(CI16="",CI15=""),"",CI16-CI15)</f>
        <v/>
      </c>
      <c r="CJ31" s="71" t="str">
        <f aca="false">IF(OR(CI16="",CI15="",CI15=0),"",CI16/CI15-1)</f>
        <v/>
      </c>
      <c r="CK31" s="70" t="str">
        <f aca="false">IF(OR(CK16="",CK15=""),"",CK16-CK15)</f>
        <v/>
      </c>
      <c r="CL31" s="71" t="str">
        <f aca="false">IF(OR(CK16="",CK15="",CK15=0),"",CK16/CK15-1)</f>
        <v/>
      </c>
      <c r="CM31" s="70" t="str">
        <f aca="false">IF(OR(CM16="",CM15=""),"",CM16-CM15)</f>
        <v/>
      </c>
      <c r="CN31" s="71" t="str">
        <f aca="false">IF(OR(CM16="",CM15="",CM15=0),"",CM16/CM15-1)</f>
        <v/>
      </c>
      <c r="CO31" s="70" t="str">
        <f aca="false">IF(OR(CO16="",CO15=""),"",CO16-CO15)</f>
        <v/>
      </c>
      <c r="CP31" s="71" t="str">
        <f aca="false">IF(OR(CO16="",CO15="",CO15=0),"",CO16/CO15-1)</f>
        <v/>
      </c>
      <c r="CQ31" s="70" t="str">
        <f aca="false">IF(OR(CQ16="",CQ15=""),"",CQ16-CQ15)</f>
        <v/>
      </c>
      <c r="CR31" s="71" t="str">
        <f aca="false">IF(OR(CQ16="",CQ15="",CQ15=0),"",CQ16/CQ15-1)</f>
        <v/>
      </c>
      <c r="CS31" s="70" t="str">
        <f aca="false">IF(OR(CS16="",CS15=""),"",CS16-CS15)</f>
        <v/>
      </c>
      <c r="CT31" s="71" t="str">
        <f aca="false">IF(OR(CS16="",CS15="",CS15=0),"",CS16/CS15-1)</f>
        <v/>
      </c>
      <c r="CU31" s="70" t="str">
        <f aca="false">IF(OR(CU16="",CU15=""),"",CU16-CU15)</f>
        <v/>
      </c>
      <c r="CV31" s="71" t="str">
        <f aca="false">IF(OR(CU16="",CU15="",CU15=0),"",CU16/CU15-1)</f>
        <v/>
      </c>
      <c r="CW31" s="70" t="str">
        <f aca="false">IF(OR(CW16="",CW15=""),"",CW16-CW15)</f>
        <v/>
      </c>
      <c r="CX31" s="71" t="str">
        <f aca="false">IF(OR(CW16="",CW15="",CW15=0),"",CW16/CW15-1)</f>
        <v/>
      </c>
      <c r="CY31" s="70" t="str">
        <f aca="false">IF(OR(CY16="",CY15=""),"",CY16-CY15)</f>
        <v/>
      </c>
      <c r="CZ31" s="71" t="str">
        <f aca="false">IF(OR(CY16="",CY15="",CY15=0),"",CY16/CY15-1)</f>
        <v/>
      </c>
      <c r="DA31" s="70" t="str">
        <f aca="false">IF(OR(DA16="",DA15=""),"",DA16-DA15)</f>
        <v/>
      </c>
      <c r="DB31" s="71" t="str">
        <f aca="false">IF(OR(DA16="",DA15="",DA15=0),"",DA16/DA15-1)</f>
        <v/>
      </c>
      <c r="DC31" s="70" t="str">
        <f aca="false">IF(OR(DC16="",DC15=""),"",DC16-DC15)</f>
        <v/>
      </c>
      <c r="DD31" s="71" t="str">
        <f aca="false">IF(OR(DC16="",DC15="",DC15=0),"",DC16/DC15-1)</f>
        <v/>
      </c>
      <c r="DE31" s="70" t="str">
        <f aca="false">IF(OR(DE16="",DE15=""),"",DE16-DE15)</f>
        <v/>
      </c>
      <c r="DF31" s="71" t="str">
        <f aca="false">IF(OR(DE16="",DE15="",DE15=0),"",DE16/DE15-1)</f>
        <v/>
      </c>
      <c r="DG31" s="70" t="str">
        <f aca="false">IF(OR(DG16="",DG15=""),"",DG16-DG15)</f>
        <v/>
      </c>
      <c r="DH31" s="71" t="str">
        <f aca="false">IF(OR(DG16="",DG15="",DG15=0),"",DG16/DG15-1)</f>
        <v/>
      </c>
      <c r="DI31" s="70" t="str">
        <f aca="false">IF(OR(DI16="",DI15=""),"",DI16-DI15)</f>
        <v/>
      </c>
      <c r="DJ31" s="71" t="str">
        <f aca="false">IF(OR(DI16="",DI15="",DI15=0),"",DI16/DI15-1)</f>
        <v/>
      </c>
      <c r="DK31" s="70" t="str">
        <f aca="false">IF(OR(DK16="",DK15=""),"",DK16-DK15)</f>
        <v/>
      </c>
      <c r="DL31" s="71" t="str">
        <f aca="false">IF(OR(DK16="",DK15="",DK15=0),"",DK16/DK15-1)</f>
        <v/>
      </c>
      <c r="DM31" s="70" t="str">
        <f aca="false">IF(OR(DM16="",DM15=""),"",DM16-DM15)</f>
        <v/>
      </c>
      <c r="DN31" s="71" t="str">
        <f aca="false">IF(OR(DM16="",DM15="",DM15=0),"",DM16/DM15-1)</f>
        <v/>
      </c>
      <c r="DO31" s="70" t="str">
        <f aca="false">IF(OR(DO16="",DO15=""),"",DO16-DO15)</f>
        <v/>
      </c>
      <c r="DP31" s="71" t="str">
        <f aca="false">IF(OR(DO16="",DO15="",DO15=0),"",DO16/DO15-1)</f>
        <v/>
      </c>
      <c r="DQ31" s="70" t="str">
        <f aca="false">IF(OR(DQ16="",DQ15=""),"",DQ16-DQ15)</f>
        <v/>
      </c>
      <c r="DR31" s="71" t="str">
        <f aca="false">IF(OR(DQ16="",DQ15="",DQ15=0),"",DQ16/DQ15-1)</f>
        <v/>
      </c>
      <c r="DS31" s="70" t="str">
        <f aca="false">IF(OR(DS16="",DS15=""),"",DS16-DS15)</f>
        <v/>
      </c>
      <c r="DT31" s="71" t="str">
        <f aca="false">IF(OR(DS16="",DS15="",DS15=0),"",DS16/DS15-1)</f>
        <v/>
      </c>
      <c r="DU31" s="70" t="str">
        <f aca="false">IF(OR(DU16="",DU15=""),"",DU16-DU15)</f>
        <v/>
      </c>
      <c r="DV31" s="71" t="str">
        <f aca="false">IF(OR(DU16="",DU15="",DU15=0),"",DU16/DU15-1)</f>
        <v/>
      </c>
      <c r="DW31" s="70" t="str">
        <f aca="false">IF(OR(DW16="",DW15=""),"",DW16-DW15)</f>
        <v/>
      </c>
      <c r="DX31" s="71" t="str">
        <f aca="false">IF(OR(DW16="",DW15="",DW15=0),"",DW16/DW15-1)</f>
        <v/>
      </c>
      <c r="DY31" s="70" t="str">
        <f aca="false">IF(OR(DY16="",DY15=""),"",DY16-DY15)</f>
        <v/>
      </c>
      <c r="DZ31" s="71" t="str">
        <f aca="false">IF(OR(DY16="",DY15="",DY15=0),"",DY16/DY15-1)</f>
        <v/>
      </c>
      <c r="EA31" s="70" t="str">
        <f aca="false">IF(OR(EA16="",EA15=""),"",EA16-EA15)</f>
        <v/>
      </c>
      <c r="EB31" s="71" t="str">
        <f aca="false">IF(OR(EA16="",EA15="",EA15=0),"",EA16/EA15-1)</f>
        <v/>
      </c>
      <c r="EC31" s="70" t="str">
        <f aca="false">IF(OR(EC16="",EC15=""),"",EC16-EC15)</f>
        <v/>
      </c>
      <c r="ED31" s="71" t="str">
        <f aca="false">IF(OR(EC16="",EC15="",EC15=0),"",EC16/EC15-1)</f>
        <v/>
      </c>
      <c r="EE31" s="70" t="str">
        <f aca="false">IF(OR(EE16="",EE15=""),"",EE16-EE15)</f>
        <v/>
      </c>
      <c r="EF31" s="71" t="str">
        <f aca="false">IF(OR(EE16="",EE15="",EE15=0),"",EE16/EE15-1)</f>
        <v/>
      </c>
      <c r="EG31" s="70" t="str">
        <f aca="false">IF(OR(EG16="",EG15=""),"",EG16-EG15)</f>
        <v/>
      </c>
      <c r="EH31" s="71" t="str">
        <f aca="false">IF(OR(EG16="",EG15="",EG15=0),"",EG16/EG15-1)</f>
        <v/>
      </c>
      <c r="EI31" s="70" t="str">
        <f aca="false">IF(OR(EI16="",EI15=""),"",EI16-EI15)</f>
        <v/>
      </c>
      <c r="EJ31" s="71" t="str">
        <f aca="false">IF(OR(EI16="",EI15="",EI15=0),"",EI16/EI15-1)</f>
        <v/>
      </c>
      <c r="EK31" s="70" t="str">
        <f aca="false">IF(OR(EK16="",EK15=""),"",EK16-EK15)</f>
        <v/>
      </c>
      <c r="EL31" s="71" t="str">
        <f aca="false">IF(OR(EK16="",EK15="",EK15=0),"",EK16/EK15-1)</f>
        <v/>
      </c>
      <c r="EM31" s="70" t="str">
        <f aca="false">IF(OR(EM16="",EM15=""),"",EM16-EM15)</f>
        <v/>
      </c>
      <c r="EN31" s="71" t="str">
        <f aca="false">IF(OR(EM16="",EM15="",EM15=0),"",EM16/EM15-1)</f>
        <v/>
      </c>
      <c r="EO31" s="70" t="str">
        <f aca="false">IF(OR(EO16="",EO15=""),"",EO16-EO15)</f>
        <v/>
      </c>
      <c r="EP31" s="71" t="str">
        <f aca="false">IF(OR(EO16="",EO15="",EO15=0),"",EO16/EO15-1)</f>
        <v/>
      </c>
      <c r="EQ31" s="70" t="str">
        <f aca="false">IF(OR(EQ16="",EQ15=""),"",EQ16-EQ15)</f>
        <v/>
      </c>
      <c r="ER31" s="71" t="str">
        <f aca="false">IF(OR(EQ16="",EQ15="",EQ15=0),"",EQ16/EQ15-1)</f>
        <v/>
      </c>
      <c r="ES31" s="70" t="str">
        <f aca="false">IF(OR(ES16="",ES15=""),"",ES16-ES15)</f>
        <v/>
      </c>
      <c r="ET31" s="71" t="str">
        <f aca="false">IF(OR(ES16="",ES15="",ES15=0),"",ES16/ES15-1)</f>
        <v/>
      </c>
      <c r="EU31" s="70" t="str">
        <f aca="false">IF(OR(EU16="",EU15=""),"",EU16-EU15)</f>
        <v/>
      </c>
      <c r="EV31" s="71" t="str">
        <f aca="false">IF(OR(EU16="",EU15="",EU15=0),"",EU16/EU15-1)</f>
        <v/>
      </c>
      <c r="EW31" s="70" t="str">
        <f aca="false">IF(OR(EW16="",EW15=""),"",EW16-EW15)</f>
        <v/>
      </c>
      <c r="EX31" s="71" t="str">
        <f aca="false">IF(OR(EW16="",EW15="",EW15=0),"",EW16/EW15-1)</f>
        <v/>
      </c>
      <c r="EY31" s="70" t="str">
        <f aca="false">IF(OR(EY16="",EY15=""),"",EY16-EY15)</f>
        <v/>
      </c>
      <c r="EZ31" s="71" t="str">
        <f aca="false">IF(OR(EY16="",EY15="",EY15=0),"",EY16/EY15-1)</f>
        <v/>
      </c>
      <c r="FA31" s="70" t="str">
        <f aca="false">IF(OR(FA16="",FA15=""),"",FA16-FA15)</f>
        <v/>
      </c>
      <c r="FB31" s="71" t="str">
        <f aca="false">IF(OR(FA16="",FA15="",FA15=0),"",FA16/FA15-1)</f>
        <v/>
      </c>
      <c r="FC31" s="70" t="str">
        <f aca="false">IF(OR(FC16="",FC15=""),"",FC16-FC15)</f>
        <v/>
      </c>
      <c r="FD31" s="71" t="str">
        <f aca="false">IF(OR(FC16="",FC15="",FC15=0),"",FC16/FC15-1)</f>
        <v/>
      </c>
      <c r="FE31" s="70" t="str">
        <f aca="false">IF(OR(FE16="",FE15=""),"",FE16-FE15)</f>
        <v/>
      </c>
      <c r="FF31" s="71" t="str">
        <f aca="false">IF(OR(FE16="",FE15="",FE15=0),"",FE16/FE15-1)</f>
        <v/>
      </c>
      <c r="FG31" s="70" t="str">
        <f aca="false">IF(OR(FG16="",FG15=""),"",FG16-FG15)</f>
        <v/>
      </c>
      <c r="FH31" s="71" t="str">
        <f aca="false">IF(OR(FG16="",FG15="",FG15=0),"",FG16/FG15-1)</f>
        <v/>
      </c>
      <c r="FI31" s="70" t="str">
        <f aca="false">IF(OR(FI16="",FI15=""),"",FI16-FI15)</f>
        <v/>
      </c>
      <c r="FJ31" s="71" t="str">
        <f aca="false">IF(OR(FI16="",FI15="",FI15=0),"",FI16/FI15-1)</f>
        <v/>
      </c>
      <c r="FK31" s="70" t="str">
        <f aca="false">IF(OR(FK16="",FK15=""),"",FK16-FK15)</f>
        <v/>
      </c>
      <c r="FL31" s="71" t="str">
        <f aca="false">IF(OR(FK16="",FK15="",FK15=0),"",FK16/FK15-1)</f>
        <v/>
      </c>
      <c r="FM31" s="70" t="str">
        <f aca="false">IF(OR(FM16="",FM15=""),"",FM16-FM15)</f>
        <v/>
      </c>
      <c r="FN31" s="71" t="str">
        <f aca="false">IF(OR(FM16="",FM15="",FM15=0),"",FM16/FM15-1)</f>
        <v/>
      </c>
      <c r="FO31" s="70" t="str">
        <f aca="false">IF(OR(FO16="",FO15=""),"",FO16-FO15)</f>
        <v/>
      </c>
      <c r="FP31" s="71" t="str">
        <f aca="false">IF(OR(FO16="",FO15="",FO15=0),"",FO16/FO15-1)</f>
        <v/>
      </c>
      <c r="FQ31" s="70" t="str">
        <f aca="false">IF(OR(FQ16="",FQ15=""),"",FQ16-FQ15)</f>
        <v/>
      </c>
      <c r="FR31" s="71" t="str">
        <f aca="false">IF(OR(FQ16="",FQ15="",FQ15=0),"",FQ16/FQ15-1)</f>
        <v/>
      </c>
      <c r="FS31" s="70" t="str">
        <f aca="false">IF(OR(FS16="",FS15=""),"",FS16-FS15)</f>
        <v/>
      </c>
      <c r="FT31" s="71" t="str">
        <f aca="false">IF(OR(FS16="",FS15="",FS15=0),"",FS16/FS15-1)</f>
        <v/>
      </c>
      <c r="FU31" s="70" t="str">
        <f aca="false">IF(OR(FU16="",FU15=""),"",FU16-FU15)</f>
        <v/>
      </c>
      <c r="FV31" s="71" t="str">
        <f aca="false">IF(OR(FU16="",FU15="",FU15=0),"",FU16/FU15-1)</f>
        <v/>
      </c>
      <c r="FW31" s="70" t="str">
        <f aca="false">IF(OR(FW16="",FW15=""),"",FW16-FW15)</f>
        <v/>
      </c>
      <c r="FX31" s="71" t="str">
        <f aca="false">IF(OR(FW16="",FW15="",FW15=0),"",FW16/FW15-1)</f>
        <v/>
      </c>
      <c r="FY31" s="70" t="str">
        <f aca="false">IF(OR(FY16="",FY15=""),"",FY16-FY15)</f>
        <v/>
      </c>
      <c r="FZ31" s="71" t="str">
        <f aca="false">IF(OR(FY16="",FY15="",FY15=0),"",FY16/FY15-1)</f>
        <v/>
      </c>
      <c r="GA31" s="70" t="str">
        <f aca="false">IF(OR(GA16="",GA15=""),"",GA16-GA15)</f>
        <v/>
      </c>
      <c r="GB31" s="71" t="str">
        <f aca="false">IF(OR(GA16="",GA15="",GA15=0),"",GA16/GA15-1)</f>
        <v/>
      </c>
      <c r="GC31" s="70" t="str">
        <f aca="false">IF(OR(GC16="",GC15=""),"",GC16-GC15)</f>
        <v/>
      </c>
      <c r="GD31" s="71" t="str">
        <f aca="false">IF(OR(GC16="",GC15="",GC15=0),"",GC16/GC15-1)</f>
        <v/>
      </c>
      <c r="GE31" s="70" t="str">
        <f aca="false">IF(OR(GE16="",GE15=""),"",GE16-GE15)</f>
        <v/>
      </c>
      <c r="GF31" s="71" t="str">
        <f aca="false">IF(OR(GE16="",GE15="",GE15=0),"",GE16/GE15-1)</f>
        <v/>
      </c>
      <c r="GG31" s="70" t="str">
        <f aca="false">IF(OR(GG16="",GG15=""),"",GG16-GG15)</f>
        <v/>
      </c>
      <c r="GH31" s="71" t="str">
        <f aca="false">IF(OR(GG16="",GG15="",GG15=0),"",GG16/GG15-1)</f>
        <v/>
      </c>
      <c r="GI31" s="70" t="str">
        <f aca="false">IF(OR(GI16="",GI15=""),"",GI16-GI15)</f>
        <v/>
      </c>
      <c r="GJ31" s="71" t="str">
        <f aca="false">IF(OR(GI16="",GI15="",GI15=0),"",GI16/GI15-1)</f>
        <v/>
      </c>
      <c r="GK31" s="70" t="str">
        <f aca="false">IF(OR(GK16="",GK15=""),"",GK16-GK15)</f>
        <v/>
      </c>
      <c r="GL31" s="71" t="str">
        <f aca="false">IF(OR(GK16="",GK15="",GK15=0),"",GK16/GK15-1)</f>
        <v/>
      </c>
      <c r="GM31" s="70" t="str">
        <f aca="false">IF(OR(GM16="",GM15=""),"",GM16-GM15)</f>
        <v/>
      </c>
      <c r="GN31" s="71" t="str">
        <f aca="false">IF(OR(GM16="",GM15="",GM15=0),"",GM16/GM15-1)</f>
        <v/>
      </c>
      <c r="GO31" s="70" t="str">
        <f aca="false">IF(OR(GO16="",GO15=""),"",GO16-GO15)</f>
        <v/>
      </c>
      <c r="GP31" s="71" t="str">
        <f aca="false">IF(OR(GO16="",GO15="",GO15=0),"",GO16/GO15-1)</f>
        <v/>
      </c>
      <c r="GQ31" s="70" t="str">
        <f aca="false">IF(OR(GQ16="",GQ15=""),"",GQ16-GQ15)</f>
        <v/>
      </c>
      <c r="GR31" s="71" t="str">
        <f aca="false">IF(OR(GQ16="",GQ15="",GQ15=0),"",GQ16/GQ15-1)</f>
        <v/>
      </c>
      <c r="GS31" s="70" t="str">
        <f aca="false">IF(OR(GS16="",GS15=""),"",GS16-GS15)</f>
        <v/>
      </c>
      <c r="GT31" s="71" t="str">
        <f aca="false">IF(OR(GS16="",GS15="",GS15=0),"",GS16/GS15-1)</f>
        <v/>
      </c>
      <c r="GU31" s="70" t="str">
        <f aca="false">IF(OR(GU16="",GU15=""),"",GU16-GU15)</f>
        <v/>
      </c>
      <c r="GV31" s="71" t="str">
        <f aca="false">IF(OR(GU16="",GU15="",GU15=0),"",GU16/GU15-1)</f>
        <v/>
      </c>
      <c r="GW31" s="70" t="str">
        <f aca="false">IF(OR(GW16="",GW15=""),"",GW16-GW15)</f>
        <v/>
      </c>
      <c r="GX31" s="71" t="str">
        <f aca="false">IF(OR(GW16="",GW15="",GW15=0),"",GW16/GW15-1)</f>
        <v/>
      </c>
      <c r="GY31" s="70" t="str">
        <f aca="false">IF(OR(GY16="",GY15=""),"",GY16-GY15)</f>
        <v/>
      </c>
      <c r="GZ31" s="71" t="str">
        <f aca="false">IF(OR(GY16="",GY15="",GY15=0),"",GY16/GY15-1)</f>
        <v/>
      </c>
    </row>
    <row r="32" customFormat="false" ht="15" hidden="false" customHeight="false" outlineLevel="0" collapsed="false">
      <c r="A32" s="4"/>
      <c r="B32" s="36"/>
      <c r="C32" s="36"/>
      <c r="D32" s="49"/>
      <c r="E32" s="50"/>
      <c r="F32" s="17" t="s">
        <v>32</v>
      </c>
      <c r="H32" s="72" t="str">
        <f aca="false">IF(OR('Довідник категорій'!B10="",'Довідник категорій'!B9=""),"",'Довідник категорій'!B10&amp;"  ↔  "&amp;'Довідник категорій'!B9)</f>
        <v/>
      </c>
      <c r="I32" s="70" t="str">
        <f aca="false">IF(OR(I17="",I16=""),"",I17-I16)</f>
        <v/>
      </c>
      <c r="J32" s="71" t="str">
        <f aca="false">IF(OR(I17="",I16="",I16=0),"",I17/I16-1)</f>
        <v/>
      </c>
      <c r="K32" s="70" t="str">
        <f aca="false">IF(OR(K17="",K16=""),"",K17-K16)</f>
        <v/>
      </c>
      <c r="L32" s="71" t="str">
        <f aca="false">IF(OR(K17="",K16="",K16=0),"",K17/K16-1)</f>
        <v/>
      </c>
      <c r="M32" s="70" t="str">
        <f aca="false">IF(OR(M17="",M16=""),"",M17-M16)</f>
        <v/>
      </c>
      <c r="N32" s="71" t="str">
        <f aca="false">IF(OR(M17="",M16="",M16=0),"",M17/M16-1)</f>
        <v/>
      </c>
      <c r="O32" s="70" t="str">
        <f aca="false">IF(OR(O17="",O16=""),"",O17-O16)</f>
        <v/>
      </c>
      <c r="P32" s="71" t="str">
        <f aca="false">IF(OR(O17="",O16="",O16=0),"",O17/O16-1)</f>
        <v/>
      </c>
      <c r="Q32" s="70" t="str">
        <f aca="false">IF(OR(Q17="",Q16=""),"",Q17-Q16)</f>
        <v/>
      </c>
      <c r="R32" s="71" t="str">
        <f aca="false">IF(OR(Q17="",Q16="",Q16=0),"",Q17/Q16-1)</f>
        <v/>
      </c>
      <c r="S32" s="70" t="str">
        <f aca="false">IF(OR(S17="",S16=""),"",S17-S16)</f>
        <v/>
      </c>
      <c r="T32" s="71" t="str">
        <f aca="false">IF(OR(S17="",S16="",S16=0),"",S17/S16-1)</f>
        <v/>
      </c>
      <c r="U32" s="70" t="str">
        <f aca="false">IF(OR(U17="",U16=""),"",U17-U16)</f>
        <v/>
      </c>
      <c r="V32" s="71" t="str">
        <f aca="false">IF(OR(U17="",U16="",U16=0),"",U17/U16-1)</f>
        <v/>
      </c>
      <c r="W32" s="70" t="str">
        <f aca="false">IF(OR(W17="",W16=""),"",W17-W16)</f>
        <v/>
      </c>
      <c r="X32" s="71" t="str">
        <f aca="false">IF(OR(W17="",W16="",W16=0),"",W17/W16-1)</f>
        <v/>
      </c>
      <c r="Y32" s="70" t="str">
        <f aca="false">IF(OR(Y17="",Y16=""),"",Y17-Y16)</f>
        <v/>
      </c>
      <c r="Z32" s="71" t="str">
        <f aca="false">IF(OR(Y17="",Y16="",Y16=0),"",Y17/Y16-1)</f>
        <v/>
      </c>
      <c r="AA32" s="70" t="str">
        <f aca="false">IF(OR(AA17="",AA16=""),"",AA17-AA16)</f>
        <v/>
      </c>
      <c r="AB32" s="71" t="str">
        <f aca="false">IF(OR(AA17="",AA16="",AA16=0),"",AA17/AA16-1)</f>
        <v/>
      </c>
      <c r="AC32" s="70" t="str">
        <f aca="false">IF(OR(AC17="",AC16=""),"",AC17-AC16)</f>
        <v/>
      </c>
      <c r="AD32" s="71" t="str">
        <f aca="false">IF(OR(AC17="",AC16="",AC16=0),"",AC17/AC16-1)</f>
        <v/>
      </c>
      <c r="AE32" s="70" t="str">
        <f aca="false">IF(OR(AE17="",AE16=""),"",AE17-AE16)</f>
        <v/>
      </c>
      <c r="AF32" s="71" t="str">
        <f aca="false">IF(OR(AE17="",AE16="",AE16=0),"",AE17/AE16-1)</f>
        <v/>
      </c>
      <c r="AG32" s="70" t="str">
        <f aca="false">IF(OR(AG17="",AG16=""),"",AG17-AG16)</f>
        <v/>
      </c>
      <c r="AH32" s="71" t="str">
        <f aca="false">IF(OR(AG17="",AG16="",AG16=0),"",AG17/AG16-1)</f>
        <v/>
      </c>
      <c r="AI32" s="70" t="str">
        <f aca="false">IF(OR(AI17="",AI16=""),"",AI17-AI16)</f>
        <v/>
      </c>
      <c r="AJ32" s="71" t="str">
        <f aca="false">IF(OR(AI17="",AI16="",AI16=0),"",AI17/AI16-1)</f>
        <v/>
      </c>
      <c r="AK32" s="70" t="str">
        <f aca="false">IF(OR(AK17="",AK16=""),"",AK17-AK16)</f>
        <v/>
      </c>
      <c r="AL32" s="71" t="str">
        <f aca="false">IF(OR(AK17="",AK16="",AK16=0),"",AK17/AK16-1)</f>
        <v/>
      </c>
      <c r="AM32" s="70" t="str">
        <f aca="false">IF(OR(AM17="",AM16=""),"",AM17-AM16)</f>
        <v/>
      </c>
      <c r="AN32" s="71" t="str">
        <f aca="false">IF(OR(AM17="",AM16="",AM16=0),"",AM17/AM16-1)</f>
        <v/>
      </c>
      <c r="AO32" s="70" t="str">
        <f aca="false">IF(OR(AO17="",AO16=""),"",AO17-AO16)</f>
        <v/>
      </c>
      <c r="AP32" s="71" t="str">
        <f aca="false">IF(OR(AO17="",AO16="",AO16=0),"",AO17/AO16-1)</f>
        <v/>
      </c>
      <c r="AQ32" s="70" t="str">
        <f aca="false">IF(OR(AQ17="",AQ16=""),"",AQ17-AQ16)</f>
        <v/>
      </c>
      <c r="AR32" s="71" t="str">
        <f aca="false">IF(OR(AQ17="",AQ16="",AQ16=0),"",AQ17/AQ16-1)</f>
        <v/>
      </c>
      <c r="AS32" s="70" t="str">
        <f aca="false">IF(OR(AS17="",AS16=""),"",AS17-AS16)</f>
        <v/>
      </c>
      <c r="AT32" s="71" t="str">
        <f aca="false">IF(OR(AS17="",AS16="",AS16=0),"",AS17/AS16-1)</f>
        <v/>
      </c>
      <c r="AU32" s="70" t="str">
        <f aca="false">IF(OR(AU17="",AU16=""),"",AU17-AU16)</f>
        <v/>
      </c>
      <c r="AV32" s="71" t="str">
        <f aca="false">IF(OR(AU17="",AU16="",AU16=0),"",AU17/AU16-1)</f>
        <v/>
      </c>
      <c r="AW32" s="70" t="str">
        <f aca="false">IF(OR(AW17="",AW16=""),"",AW17-AW16)</f>
        <v/>
      </c>
      <c r="AX32" s="71" t="str">
        <f aca="false">IF(OR(AW17="",AW16="",AW16=0),"",AW17/AW16-1)</f>
        <v/>
      </c>
      <c r="AY32" s="70" t="str">
        <f aca="false">IF(OR(AY17="",AY16=""),"",AY17-AY16)</f>
        <v/>
      </c>
      <c r="AZ32" s="71" t="str">
        <f aca="false">IF(OR(AY17="",AY16="",AY16=0),"",AY17/AY16-1)</f>
        <v/>
      </c>
      <c r="BA32" s="70" t="str">
        <f aca="false">IF(OR(BA17="",BA16=""),"",BA17-BA16)</f>
        <v/>
      </c>
      <c r="BB32" s="71" t="str">
        <f aca="false">IF(OR(BA17="",BA16="",BA16=0),"",BA17/BA16-1)</f>
        <v/>
      </c>
      <c r="BC32" s="70" t="str">
        <f aca="false">IF(OR(BC17="",BC16=""),"",BC17-BC16)</f>
        <v/>
      </c>
      <c r="BD32" s="71" t="str">
        <f aca="false">IF(OR(BC17="",BC16="",BC16=0),"",BC17/BC16-1)</f>
        <v/>
      </c>
      <c r="BE32" s="70" t="str">
        <f aca="false">IF(OR(BE17="",BE16=""),"",BE17-BE16)</f>
        <v/>
      </c>
      <c r="BF32" s="71" t="str">
        <f aca="false">IF(OR(BE17="",BE16="",BE16=0),"",BE17/BE16-1)</f>
        <v/>
      </c>
      <c r="BG32" s="70" t="str">
        <f aca="false">IF(OR(BG17="",BG16=""),"",BG17-BG16)</f>
        <v/>
      </c>
      <c r="BH32" s="71" t="str">
        <f aca="false">IF(OR(BG17="",BG16="",BG16=0),"",BG17/BG16-1)</f>
        <v/>
      </c>
      <c r="BI32" s="70" t="str">
        <f aca="false">IF(OR(BI17="",BI16=""),"",BI17-BI16)</f>
        <v/>
      </c>
      <c r="BJ32" s="71" t="str">
        <f aca="false">IF(OR(BI17="",BI16="",BI16=0),"",BI17/BI16-1)</f>
        <v/>
      </c>
      <c r="BK32" s="70" t="str">
        <f aca="false">IF(OR(BK17="",BK16=""),"",BK17-BK16)</f>
        <v/>
      </c>
      <c r="BL32" s="71" t="str">
        <f aca="false">IF(OR(BK17="",BK16="",BK16=0),"",BK17/BK16-1)</f>
        <v/>
      </c>
      <c r="BM32" s="70" t="str">
        <f aca="false">IF(OR(BM17="",BM16=""),"",BM17-BM16)</f>
        <v/>
      </c>
      <c r="BN32" s="71" t="str">
        <f aca="false">IF(OR(BM17="",BM16="",BM16=0),"",BM17/BM16-1)</f>
        <v/>
      </c>
      <c r="BO32" s="70" t="str">
        <f aca="false">IF(OR(BO17="",BO16=""),"",BO17-BO16)</f>
        <v/>
      </c>
      <c r="BP32" s="71" t="str">
        <f aca="false">IF(OR(BO17="",BO16="",BO16=0),"",BO17/BO16-1)</f>
        <v/>
      </c>
      <c r="BQ32" s="70" t="str">
        <f aca="false">IF(OR(BQ17="",BQ16=""),"",BQ17-BQ16)</f>
        <v/>
      </c>
      <c r="BR32" s="71" t="str">
        <f aca="false">IF(OR(BQ17="",BQ16="",BQ16=0),"",BQ17/BQ16-1)</f>
        <v/>
      </c>
      <c r="BS32" s="70" t="str">
        <f aca="false">IF(OR(BS17="",BS16=""),"",BS17-BS16)</f>
        <v/>
      </c>
      <c r="BT32" s="71" t="str">
        <f aca="false">IF(OR(BS17="",BS16="",BS16=0),"",BS17/BS16-1)</f>
        <v/>
      </c>
      <c r="BU32" s="70" t="str">
        <f aca="false">IF(OR(BU17="",BU16=""),"",BU17-BU16)</f>
        <v/>
      </c>
      <c r="BV32" s="71" t="str">
        <f aca="false">IF(OR(BU17="",BU16="",BU16=0),"",BU17/BU16-1)</f>
        <v/>
      </c>
      <c r="BW32" s="70" t="str">
        <f aca="false">IF(OR(BW17="",BW16=""),"",BW17-BW16)</f>
        <v/>
      </c>
      <c r="BX32" s="71" t="str">
        <f aca="false">IF(OR(BW17="",BW16="",BW16=0),"",BW17/BW16-1)</f>
        <v/>
      </c>
      <c r="BY32" s="70" t="str">
        <f aca="false">IF(OR(BY17="",BY16=""),"",BY17-BY16)</f>
        <v/>
      </c>
      <c r="BZ32" s="71" t="str">
        <f aca="false">IF(OR(BY17="",BY16="",BY16=0),"",BY17/BY16-1)</f>
        <v/>
      </c>
      <c r="CA32" s="70" t="str">
        <f aca="false">IF(OR(CA17="",CA16=""),"",CA17-CA16)</f>
        <v/>
      </c>
      <c r="CB32" s="71" t="str">
        <f aca="false">IF(OR(CA17="",CA16="",CA16=0),"",CA17/CA16-1)</f>
        <v/>
      </c>
      <c r="CC32" s="70" t="str">
        <f aca="false">IF(OR(CC17="",CC16=""),"",CC17-CC16)</f>
        <v/>
      </c>
      <c r="CD32" s="71" t="str">
        <f aca="false">IF(OR(CC17="",CC16="",CC16=0),"",CC17/CC16-1)</f>
        <v/>
      </c>
      <c r="CE32" s="70" t="str">
        <f aca="false">IF(OR(CE17="",CE16=""),"",CE17-CE16)</f>
        <v/>
      </c>
      <c r="CF32" s="71" t="str">
        <f aca="false">IF(OR(CE17="",CE16="",CE16=0),"",CE17/CE16-1)</f>
        <v/>
      </c>
      <c r="CG32" s="70" t="str">
        <f aca="false">IF(OR(CG17="",CG16=""),"",CG17-CG16)</f>
        <v/>
      </c>
      <c r="CH32" s="71" t="str">
        <f aca="false">IF(OR(CG17="",CG16="",CG16=0),"",CG17/CG16-1)</f>
        <v/>
      </c>
      <c r="CI32" s="70" t="str">
        <f aca="false">IF(OR(CI17="",CI16=""),"",CI17-CI16)</f>
        <v/>
      </c>
      <c r="CJ32" s="71" t="str">
        <f aca="false">IF(OR(CI17="",CI16="",CI16=0),"",CI17/CI16-1)</f>
        <v/>
      </c>
      <c r="CK32" s="70" t="str">
        <f aca="false">IF(OR(CK17="",CK16=""),"",CK17-CK16)</f>
        <v/>
      </c>
      <c r="CL32" s="71" t="str">
        <f aca="false">IF(OR(CK17="",CK16="",CK16=0),"",CK17/CK16-1)</f>
        <v/>
      </c>
      <c r="CM32" s="70" t="str">
        <f aca="false">IF(OR(CM17="",CM16=""),"",CM17-CM16)</f>
        <v/>
      </c>
      <c r="CN32" s="71" t="str">
        <f aca="false">IF(OR(CM17="",CM16="",CM16=0),"",CM17/CM16-1)</f>
        <v/>
      </c>
      <c r="CO32" s="70" t="str">
        <f aca="false">IF(OR(CO17="",CO16=""),"",CO17-CO16)</f>
        <v/>
      </c>
      <c r="CP32" s="71" t="str">
        <f aca="false">IF(OR(CO17="",CO16="",CO16=0),"",CO17/CO16-1)</f>
        <v/>
      </c>
      <c r="CQ32" s="70" t="str">
        <f aca="false">IF(OR(CQ17="",CQ16=""),"",CQ17-CQ16)</f>
        <v/>
      </c>
      <c r="CR32" s="71" t="str">
        <f aca="false">IF(OR(CQ17="",CQ16="",CQ16=0),"",CQ17/CQ16-1)</f>
        <v/>
      </c>
      <c r="CS32" s="70" t="str">
        <f aca="false">IF(OR(CS17="",CS16=""),"",CS17-CS16)</f>
        <v/>
      </c>
      <c r="CT32" s="71" t="str">
        <f aca="false">IF(OR(CS17="",CS16="",CS16=0),"",CS17/CS16-1)</f>
        <v/>
      </c>
      <c r="CU32" s="70" t="str">
        <f aca="false">IF(OR(CU17="",CU16=""),"",CU17-CU16)</f>
        <v/>
      </c>
      <c r="CV32" s="71" t="str">
        <f aca="false">IF(OR(CU17="",CU16="",CU16=0),"",CU17/CU16-1)</f>
        <v/>
      </c>
      <c r="CW32" s="70" t="str">
        <f aca="false">IF(OR(CW17="",CW16=""),"",CW17-CW16)</f>
        <v/>
      </c>
      <c r="CX32" s="71" t="str">
        <f aca="false">IF(OR(CW17="",CW16="",CW16=0),"",CW17/CW16-1)</f>
        <v/>
      </c>
      <c r="CY32" s="70" t="str">
        <f aca="false">IF(OR(CY17="",CY16=""),"",CY17-CY16)</f>
        <v/>
      </c>
      <c r="CZ32" s="71" t="str">
        <f aca="false">IF(OR(CY17="",CY16="",CY16=0),"",CY17/CY16-1)</f>
        <v/>
      </c>
      <c r="DA32" s="70" t="str">
        <f aca="false">IF(OR(DA17="",DA16=""),"",DA17-DA16)</f>
        <v/>
      </c>
      <c r="DB32" s="71" t="str">
        <f aca="false">IF(OR(DA17="",DA16="",DA16=0),"",DA17/DA16-1)</f>
        <v/>
      </c>
      <c r="DC32" s="70" t="str">
        <f aca="false">IF(OR(DC17="",DC16=""),"",DC17-DC16)</f>
        <v/>
      </c>
      <c r="DD32" s="71" t="str">
        <f aca="false">IF(OR(DC17="",DC16="",DC16=0),"",DC17/DC16-1)</f>
        <v/>
      </c>
      <c r="DE32" s="70" t="str">
        <f aca="false">IF(OR(DE17="",DE16=""),"",DE17-DE16)</f>
        <v/>
      </c>
      <c r="DF32" s="71" t="str">
        <f aca="false">IF(OR(DE17="",DE16="",DE16=0),"",DE17/DE16-1)</f>
        <v/>
      </c>
      <c r="DG32" s="70" t="str">
        <f aca="false">IF(OR(DG17="",DG16=""),"",DG17-DG16)</f>
        <v/>
      </c>
      <c r="DH32" s="71" t="str">
        <f aca="false">IF(OR(DG17="",DG16="",DG16=0),"",DG17/DG16-1)</f>
        <v/>
      </c>
      <c r="DI32" s="70" t="str">
        <f aca="false">IF(OR(DI17="",DI16=""),"",DI17-DI16)</f>
        <v/>
      </c>
      <c r="DJ32" s="71" t="str">
        <f aca="false">IF(OR(DI17="",DI16="",DI16=0),"",DI17/DI16-1)</f>
        <v/>
      </c>
      <c r="DK32" s="70" t="str">
        <f aca="false">IF(OR(DK17="",DK16=""),"",DK17-DK16)</f>
        <v/>
      </c>
      <c r="DL32" s="71" t="str">
        <f aca="false">IF(OR(DK17="",DK16="",DK16=0),"",DK17/DK16-1)</f>
        <v/>
      </c>
      <c r="DM32" s="70" t="str">
        <f aca="false">IF(OR(DM17="",DM16=""),"",DM17-DM16)</f>
        <v/>
      </c>
      <c r="DN32" s="71" t="str">
        <f aca="false">IF(OR(DM17="",DM16="",DM16=0),"",DM17/DM16-1)</f>
        <v/>
      </c>
      <c r="DO32" s="70" t="str">
        <f aca="false">IF(OR(DO17="",DO16=""),"",DO17-DO16)</f>
        <v/>
      </c>
      <c r="DP32" s="71" t="str">
        <f aca="false">IF(OR(DO17="",DO16="",DO16=0),"",DO17/DO16-1)</f>
        <v/>
      </c>
      <c r="DQ32" s="70" t="str">
        <f aca="false">IF(OR(DQ17="",DQ16=""),"",DQ17-DQ16)</f>
        <v/>
      </c>
      <c r="DR32" s="71" t="str">
        <f aca="false">IF(OR(DQ17="",DQ16="",DQ16=0),"",DQ17/DQ16-1)</f>
        <v/>
      </c>
      <c r="DS32" s="70" t="str">
        <f aca="false">IF(OR(DS17="",DS16=""),"",DS17-DS16)</f>
        <v/>
      </c>
      <c r="DT32" s="71" t="str">
        <f aca="false">IF(OR(DS17="",DS16="",DS16=0),"",DS17/DS16-1)</f>
        <v/>
      </c>
      <c r="DU32" s="70" t="str">
        <f aca="false">IF(OR(DU17="",DU16=""),"",DU17-DU16)</f>
        <v/>
      </c>
      <c r="DV32" s="71" t="str">
        <f aca="false">IF(OR(DU17="",DU16="",DU16=0),"",DU17/DU16-1)</f>
        <v/>
      </c>
      <c r="DW32" s="70" t="str">
        <f aca="false">IF(OR(DW17="",DW16=""),"",DW17-DW16)</f>
        <v/>
      </c>
      <c r="DX32" s="71" t="str">
        <f aca="false">IF(OR(DW17="",DW16="",DW16=0),"",DW17/DW16-1)</f>
        <v/>
      </c>
      <c r="DY32" s="70" t="str">
        <f aca="false">IF(OR(DY17="",DY16=""),"",DY17-DY16)</f>
        <v/>
      </c>
      <c r="DZ32" s="71" t="str">
        <f aca="false">IF(OR(DY17="",DY16="",DY16=0),"",DY17/DY16-1)</f>
        <v/>
      </c>
      <c r="EA32" s="70" t="str">
        <f aca="false">IF(OR(EA17="",EA16=""),"",EA17-EA16)</f>
        <v/>
      </c>
      <c r="EB32" s="71" t="str">
        <f aca="false">IF(OR(EA17="",EA16="",EA16=0),"",EA17/EA16-1)</f>
        <v/>
      </c>
      <c r="EC32" s="70" t="str">
        <f aca="false">IF(OR(EC17="",EC16=""),"",EC17-EC16)</f>
        <v/>
      </c>
      <c r="ED32" s="71" t="str">
        <f aca="false">IF(OR(EC17="",EC16="",EC16=0),"",EC17/EC16-1)</f>
        <v/>
      </c>
      <c r="EE32" s="70" t="str">
        <f aca="false">IF(OR(EE17="",EE16=""),"",EE17-EE16)</f>
        <v/>
      </c>
      <c r="EF32" s="71" t="str">
        <f aca="false">IF(OR(EE17="",EE16="",EE16=0),"",EE17/EE16-1)</f>
        <v/>
      </c>
      <c r="EG32" s="70" t="str">
        <f aca="false">IF(OR(EG17="",EG16=""),"",EG17-EG16)</f>
        <v/>
      </c>
      <c r="EH32" s="71" t="str">
        <f aca="false">IF(OR(EG17="",EG16="",EG16=0),"",EG17/EG16-1)</f>
        <v/>
      </c>
      <c r="EI32" s="70" t="str">
        <f aca="false">IF(OR(EI17="",EI16=""),"",EI17-EI16)</f>
        <v/>
      </c>
      <c r="EJ32" s="71" t="str">
        <f aca="false">IF(OR(EI17="",EI16="",EI16=0),"",EI17/EI16-1)</f>
        <v/>
      </c>
      <c r="EK32" s="70" t="str">
        <f aca="false">IF(OR(EK17="",EK16=""),"",EK17-EK16)</f>
        <v/>
      </c>
      <c r="EL32" s="71" t="str">
        <f aca="false">IF(OR(EK17="",EK16="",EK16=0),"",EK17/EK16-1)</f>
        <v/>
      </c>
      <c r="EM32" s="70" t="str">
        <f aca="false">IF(OR(EM17="",EM16=""),"",EM17-EM16)</f>
        <v/>
      </c>
      <c r="EN32" s="71" t="str">
        <f aca="false">IF(OR(EM17="",EM16="",EM16=0),"",EM17/EM16-1)</f>
        <v/>
      </c>
      <c r="EO32" s="70" t="str">
        <f aca="false">IF(OR(EO17="",EO16=""),"",EO17-EO16)</f>
        <v/>
      </c>
      <c r="EP32" s="71" t="str">
        <f aca="false">IF(OR(EO17="",EO16="",EO16=0),"",EO17/EO16-1)</f>
        <v/>
      </c>
      <c r="EQ32" s="70" t="str">
        <f aca="false">IF(OR(EQ17="",EQ16=""),"",EQ17-EQ16)</f>
        <v/>
      </c>
      <c r="ER32" s="71" t="str">
        <f aca="false">IF(OR(EQ17="",EQ16="",EQ16=0),"",EQ17/EQ16-1)</f>
        <v/>
      </c>
      <c r="ES32" s="70" t="str">
        <f aca="false">IF(OR(ES17="",ES16=""),"",ES17-ES16)</f>
        <v/>
      </c>
      <c r="ET32" s="71" t="str">
        <f aca="false">IF(OR(ES17="",ES16="",ES16=0),"",ES17/ES16-1)</f>
        <v/>
      </c>
      <c r="EU32" s="70" t="str">
        <f aca="false">IF(OR(EU17="",EU16=""),"",EU17-EU16)</f>
        <v/>
      </c>
      <c r="EV32" s="71" t="str">
        <f aca="false">IF(OR(EU17="",EU16="",EU16=0),"",EU17/EU16-1)</f>
        <v/>
      </c>
      <c r="EW32" s="70" t="str">
        <f aca="false">IF(OR(EW17="",EW16=""),"",EW17-EW16)</f>
        <v/>
      </c>
      <c r="EX32" s="71" t="str">
        <f aca="false">IF(OR(EW17="",EW16="",EW16=0),"",EW17/EW16-1)</f>
        <v/>
      </c>
      <c r="EY32" s="70" t="str">
        <f aca="false">IF(OR(EY17="",EY16=""),"",EY17-EY16)</f>
        <v/>
      </c>
      <c r="EZ32" s="71" t="str">
        <f aca="false">IF(OR(EY17="",EY16="",EY16=0),"",EY17/EY16-1)</f>
        <v/>
      </c>
      <c r="FA32" s="70" t="str">
        <f aca="false">IF(OR(FA17="",FA16=""),"",FA17-FA16)</f>
        <v/>
      </c>
      <c r="FB32" s="71" t="str">
        <f aca="false">IF(OR(FA17="",FA16="",FA16=0),"",FA17/FA16-1)</f>
        <v/>
      </c>
      <c r="FC32" s="70" t="str">
        <f aca="false">IF(OR(FC17="",FC16=""),"",FC17-FC16)</f>
        <v/>
      </c>
      <c r="FD32" s="71" t="str">
        <f aca="false">IF(OR(FC17="",FC16="",FC16=0),"",FC17/FC16-1)</f>
        <v/>
      </c>
      <c r="FE32" s="70" t="str">
        <f aca="false">IF(OR(FE17="",FE16=""),"",FE17-FE16)</f>
        <v/>
      </c>
      <c r="FF32" s="71" t="str">
        <f aca="false">IF(OR(FE17="",FE16="",FE16=0),"",FE17/FE16-1)</f>
        <v/>
      </c>
      <c r="FG32" s="70" t="str">
        <f aca="false">IF(OR(FG17="",FG16=""),"",FG17-FG16)</f>
        <v/>
      </c>
      <c r="FH32" s="71" t="str">
        <f aca="false">IF(OR(FG17="",FG16="",FG16=0),"",FG17/FG16-1)</f>
        <v/>
      </c>
      <c r="FI32" s="70" t="str">
        <f aca="false">IF(OR(FI17="",FI16=""),"",FI17-FI16)</f>
        <v/>
      </c>
      <c r="FJ32" s="71" t="str">
        <f aca="false">IF(OR(FI17="",FI16="",FI16=0),"",FI17/FI16-1)</f>
        <v/>
      </c>
      <c r="FK32" s="70" t="str">
        <f aca="false">IF(OR(FK17="",FK16=""),"",FK17-FK16)</f>
        <v/>
      </c>
      <c r="FL32" s="71" t="str">
        <f aca="false">IF(OR(FK17="",FK16="",FK16=0),"",FK17/FK16-1)</f>
        <v/>
      </c>
      <c r="FM32" s="70" t="str">
        <f aca="false">IF(OR(FM17="",FM16=""),"",FM17-FM16)</f>
        <v/>
      </c>
      <c r="FN32" s="71" t="str">
        <f aca="false">IF(OR(FM17="",FM16="",FM16=0),"",FM17/FM16-1)</f>
        <v/>
      </c>
      <c r="FO32" s="70" t="str">
        <f aca="false">IF(OR(FO17="",FO16=""),"",FO17-FO16)</f>
        <v/>
      </c>
      <c r="FP32" s="71" t="str">
        <f aca="false">IF(OR(FO17="",FO16="",FO16=0),"",FO17/FO16-1)</f>
        <v/>
      </c>
      <c r="FQ32" s="70" t="str">
        <f aca="false">IF(OR(FQ17="",FQ16=""),"",FQ17-FQ16)</f>
        <v/>
      </c>
      <c r="FR32" s="71" t="str">
        <f aca="false">IF(OR(FQ17="",FQ16="",FQ16=0),"",FQ17/FQ16-1)</f>
        <v/>
      </c>
      <c r="FS32" s="70" t="str">
        <f aca="false">IF(OR(FS17="",FS16=""),"",FS17-FS16)</f>
        <v/>
      </c>
      <c r="FT32" s="71" t="str">
        <f aca="false">IF(OR(FS17="",FS16="",FS16=0),"",FS17/FS16-1)</f>
        <v/>
      </c>
      <c r="FU32" s="70" t="str">
        <f aca="false">IF(OR(FU17="",FU16=""),"",FU17-FU16)</f>
        <v/>
      </c>
      <c r="FV32" s="71" t="str">
        <f aca="false">IF(OR(FU17="",FU16="",FU16=0),"",FU17/FU16-1)</f>
        <v/>
      </c>
      <c r="FW32" s="70" t="str">
        <f aca="false">IF(OR(FW17="",FW16=""),"",FW17-FW16)</f>
        <v/>
      </c>
      <c r="FX32" s="71" t="str">
        <f aca="false">IF(OR(FW17="",FW16="",FW16=0),"",FW17/FW16-1)</f>
        <v/>
      </c>
      <c r="FY32" s="70" t="str">
        <f aca="false">IF(OR(FY17="",FY16=""),"",FY17-FY16)</f>
        <v/>
      </c>
      <c r="FZ32" s="71" t="str">
        <f aca="false">IF(OR(FY17="",FY16="",FY16=0),"",FY17/FY16-1)</f>
        <v/>
      </c>
      <c r="GA32" s="70" t="str">
        <f aca="false">IF(OR(GA17="",GA16=""),"",GA17-GA16)</f>
        <v/>
      </c>
      <c r="GB32" s="71" t="str">
        <f aca="false">IF(OR(GA17="",GA16="",GA16=0),"",GA17/GA16-1)</f>
        <v/>
      </c>
      <c r="GC32" s="70" t="str">
        <f aca="false">IF(OR(GC17="",GC16=""),"",GC17-GC16)</f>
        <v/>
      </c>
      <c r="GD32" s="71" t="str">
        <f aca="false">IF(OR(GC17="",GC16="",GC16=0),"",GC17/GC16-1)</f>
        <v/>
      </c>
      <c r="GE32" s="70" t="str">
        <f aca="false">IF(OR(GE17="",GE16=""),"",GE17-GE16)</f>
        <v/>
      </c>
      <c r="GF32" s="71" t="str">
        <f aca="false">IF(OR(GE17="",GE16="",GE16=0),"",GE17/GE16-1)</f>
        <v/>
      </c>
      <c r="GG32" s="70" t="str">
        <f aca="false">IF(OR(GG17="",GG16=""),"",GG17-GG16)</f>
        <v/>
      </c>
      <c r="GH32" s="71" t="str">
        <f aca="false">IF(OR(GG17="",GG16="",GG16=0),"",GG17/GG16-1)</f>
        <v/>
      </c>
      <c r="GI32" s="70" t="str">
        <f aca="false">IF(OR(GI17="",GI16=""),"",GI17-GI16)</f>
        <v/>
      </c>
      <c r="GJ32" s="71" t="str">
        <f aca="false">IF(OR(GI17="",GI16="",GI16=0),"",GI17/GI16-1)</f>
        <v/>
      </c>
      <c r="GK32" s="70" t="str">
        <f aca="false">IF(OR(GK17="",GK16=""),"",GK17-GK16)</f>
        <v/>
      </c>
      <c r="GL32" s="71" t="str">
        <f aca="false">IF(OR(GK17="",GK16="",GK16=0),"",GK17/GK16-1)</f>
        <v/>
      </c>
      <c r="GM32" s="70" t="str">
        <f aca="false">IF(OR(GM17="",GM16=""),"",GM17-GM16)</f>
        <v/>
      </c>
      <c r="GN32" s="71" t="str">
        <f aca="false">IF(OR(GM17="",GM16="",GM16=0),"",GM17/GM16-1)</f>
        <v/>
      </c>
      <c r="GO32" s="70" t="str">
        <f aca="false">IF(OR(GO17="",GO16=""),"",GO17-GO16)</f>
        <v/>
      </c>
      <c r="GP32" s="71" t="str">
        <f aca="false">IF(OR(GO17="",GO16="",GO16=0),"",GO17/GO16-1)</f>
        <v/>
      </c>
      <c r="GQ32" s="70" t="str">
        <f aca="false">IF(OR(GQ17="",GQ16=""),"",GQ17-GQ16)</f>
        <v/>
      </c>
      <c r="GR32" s="71" t="str">
        <f aca="false">IF(OR(GQ17="",GQ16="",GQ16=0),"",GQ17/GQ16-1)</f>
        <v/>
      </c>
      <c r="GS32" s="70" t="str">
        <f aca="false">IF(OR(GS17="",GS16=""),"",GS17-GS16)</f>
        <v/>
      </c>
      <c r="GT32" s="71" t="str">
        <f aca="false">IF(OR(GS17="",GS16="",GS16=0),"",GS17/GS16-1)</f>
        <v/>
      </c>
      <c r="GU32" s="70" t="str">
        <f aca="false">IF(OR(GU17="",GU16=""),"",GU17-GU16)</f>
        <v/>
      </c>
      <c r="GV32" s="71" t="str">
        <f aca="false">IF(OR(GU17="",GU16="",GU16=0),"",GU17/GU16-1)</f>
        <v/>
      </c>
      <c r="GW32" s="70" t="str">
        <f aca="false">IF(OR(GW17="",GW16=""),"",GW17-GW16)</f>
        <v/>
      </c>
      <c r="GX32" s="71" t="str">
        <f aca="false">IF(OR(GW17="",GW16="",GW16=0),"",GW17/GW16-1)</f>
        <v/>
      </c>
      <c r="GY32" s="70" t="str">
        <f aca="false">IF(OR(GY17="",GY16=""),"",GY17-GY16)</f>
        <v/>
      </c>
      <c r="GZ32" s="71" t="str">
        <f aca="false">IF(OR(GY17="",GY16="",GY16=0),"",GY17/GY16-1)</f>
        <v/>
      </c>
    </row>
    <row r="33" customFormat="false" ht="15" hidden="false" customHeight="false" outlineLevel="0" collapsed="false">
      <c r="A33" s="54"/>
      <c r="B33" s="55"/>
      <c r="C33" s="55"/>
      <c r="D33" s="56"/>
      <c r="E33" s="57"/>
      <c r="F33" s="17" t="s">
        <v>113</v>
      </c>
      <c r="H33" s="69" t="str">
        <f aca="false">IF(OR('Довідник категорій'!B11="",'Довідник категорій'!B10=""),"",'Довідник категорій'!B11&amp;"  ↔  "&amp;'Довідник категорій'!B10)</f>
        <v/>
      </c>
      <c r="I33" s="70" t="str">
        <f aca="false">IF(OR(I18="",I17=""),"",I18-I17)</f>
        <v/>
      </c>
      <c r="J33" s="71" t="str">
        <f aca="false">IF(OR(I18="",I17="",I17=0),"",I18/I17-1)</f>
        <v/>
      </c>
      <c r="K33" s="70" t="str">
        <f aca="false">IF(OR(K18="",K17=""),"",K18-K17)</f>
        <v/>
      </c>
      <c r="L33" s="71" t="str">
        <f aca="false">IF(OR(K18="",K17="",K17=0),"",K18/K17-1)</f>
        <v/>
      </c>
      <c r="M33" s="70" t="str">
        <f aca="false">IF(OR(M18="",M17=""),"",M18-M17)</f>
        <v/>
      </c>
      <c r="N33" s="71" t="str">
        <f aca="false">IF(OR(M18="",M17="",M17=0),"",M18/M17-1)</f>
        <v/>
      </c>
      <c r="O33" s="70" t="str">
        <f aca="false">IF(OR(O18="",O17=""),"",O18-O17)</f>
        <v/>
      </c>
      <c r="P33" s="71" t="str">
        <f aca="false">IF(OR(O18="",O17="",O17=0),"",O18/O17-1)</f>
        <v/>
      </c>
      <c r="Q33" s="70" t="str">
        <f aca="false">IF(OR(Q18="",Q17=""),"",Q18-Q17)</f>
        <v/>
      </c>
      <c r="R33" s="71" t="str">
        <f aca="false">IF(OR(Q18="",Q17="",Q17=0),"",Q18/Q17-1)</f>
        <v/>
      </c>
      <c r="S33" s="70" t="str">
        <f aca="false">IF(OR(S18="",S17=""),"",S18-S17)</f>
        <v/>
      </c>
      <c r="T33" s="71" t="str">
        <f aca="false">IF(OR(S18="",S17="",S17=0),"",S18/S17-1)</f>
        <v/>
      </c>
      <c r="U33" s="70" t="str">
        <f aca="false">IF(OR(U18="",U17=""),"",U18-U17)</f>
        <v/>
      </c>
      <c r="V33" s="71" t="str">
        <f aca="false">IF(OR(U18="",U17="",U17=0),"",U18/U17-1)</f>
        <v/>
      </c>
      <c r="W33" s="70" t="str">
        <f aca="false">IF(OR(W18="",W17=""),"",W18-W17)</f>
        <v/>
      </c>
      <c r="X33" s="71" t="str">
        <f aca="false">IF(OR(W18="",W17="",W17=0),"",W18/W17-1)</f>
        <v/>
      </c>
      <c r="Y33" s="70" t="str">
        <f aca="false">IF(OR(Y18="",Y17=""),"",Y18-Y17)</f>
        <v/>
      </c>
      <c r="Z33" s="71" t="str">
        <f aca="false">IF(OR(Y18="",Y17="",Y17=0),"",Y18/Y17-1)</f>
        <v/>
      </c>
      <c r="AA33" s="70" t="str">
        <f aca="false">IF(OR(AA18="",AA17=""),"",AA18-AA17)</f>
        <v/>
      </c>
      <c r="AB33" s="71" t="str">
        <f aca="false">IF(OR(AA18="",AA17="",AA17=0),"",AA18/AA17-1)</f>
        <v/>
      </c>
      <c r="AC33" s="70" t="str">
        <f aca="false">IF(OR(AC18="",AC17=""),"",AC18-AC17)</f>
        <v/>
      </c>
      <c r="AD33" s="71" t="str">
        <f aca="false">IF(OR(AC18="",AC17="",AC17=0),"",AC18/AC17-1)</f>
        <v/>
      </c>
      <c r="AE33" s="70" t="str">
        <f aca="false">IF(OR(AE18="",AE17=""),"",AE18-AE17)</f>
        <v/>
      </c>
      <c r="AF33" s="71" t="str">
        <f aca="false">IF(OR(AE18="",AE17="",AE17=0),"",AE18/AE17-1)</f>
        <v/>
      </c>
      <c r="AG33" s="70" t="str">
        <f aca="false">IF(OR(AG18="",AG17=""),"",AG18-AG17)</f>
        <v/>
      </c>
      <c r="AH33" s="71" t="str">
        <f aca="false">IF(OR(AG18="",AG17="",AG17=0),"",AG18/AG17-1)</f>
        <v/>
      </c>
      <c r="AI33" s="70" t="str">
        <f aca="false">IF(OR(AI18="",AI17=""),"",AI18-AI17)</f>
        <v/>
      </c>
      <c r="AJ33" s="71" t="str">
        <f aca="false">IF(OR(AI18="",AI17="",AI17=0),"",AI18/AI17-1)</f>
        <v/>
      </c>
      <c r="AK33" s="70" t="str">
        <f aca="false">IF(OR(AK18="",AK17=""),"",AK18-AK17)</f>
        <v/>
      </c>
      <c r="AL33" s="71" t="str">
        <f aca="false">IF(OR(AK18="",AK17="",AK17=0),"",AK18/AK17-1)</f>
        <v/>
      </c>
      <c r="AM33" s="70" t="str">
        <f aca="false">IF(OR(AM18="",AM17=""),"",AM18-AM17)</f>
        <v/>
      </c>
      <c r="AN33" s="71" t="str">
        <f aca="false">IF(OR(AM18="",AM17="",AM17=0),"",AM18/AM17-1)</f>
        <v/>
      </c>
      <c r="AO33" s="70" t="str">
        <f aca="false">IF(OR(AO18="",AO17=""),"",AO18-AO17)</f>
        <v/>
      </c>
      <c r="AP33" s="71" t="str">
        <f aca="false">IF(OR(AO18="",AO17="",AO17=0),"",AO18/AO17-1)</f>
        <v/>
      </c>
      <c r="AQ33" s="70" t="str">
        <f aca="false">IF(OR(AQ18="",AQ17=""),"",AQ18-AQ17)</f>
        <v/>
      </c>
      <c r="AR33" s="71" t="str">
        <f aca="false">IF(OR(AQ18="",AQ17="",AQ17=0),"",AQ18/AQ17-1)</f>
        <v/>
      </c>
      <c r="AS33" s="70" t="str">
        <f aca="false">IF(OR(AS18="",AS17=""),"",AS18-AS17)</f>
        <v/>
      </c>
      <c r="AT33" s="71" t="str">
        <f aca="false">IF(OR(AS18="",AS17="",AS17=0),"",AS18/AS17-1)</f>
        <v/>
      </c>
      <c r="AU33" s="70" t="str">
        <f aca="false">IF(OR(AU18="",AU17=""),"",AU18-AU17)</f>
        <v/>
      </c>
      <c r="AV33" s="71" t="str">
        <f aca="false">IF(OR(AU18="",AU17="",AU17=0),"",AU18/AU17-1)</f>
        <v/>
      </c>
      <c r="AW33" s="70" t="str">
        <f aca="false">IF(OR(AW18="",AW17=""),"",AW18-AW17)</f>
        <v/>
      </c>
      <c r="AX33" s="71" t="str">
        <f aca="false">IF(OR(AW18="",AW17="",AW17=0),"",AW18/AW17-1)</f>
        <v/>
      </c>
      <c r="AY33" s="70" t="str">
        <f aca="false">IF(OR(AY18="",AY17=""),"",AY18-AY17)</f>
        <v/>
      </c>
      <c r="AZ33" s="71" t="str">
        <f aca="false">IF(OR(AY18="",AY17="",AY17=0),"",AY18/AY17-1)</f>
        <v/>
      </c>
      <c r="BA33" s="70" t="str">
        <f aca="false">IF(OR(BA18="",BA17=""),"",BA18-BA17)</f>
        <v/>
      </c>
      <c r="BB33" s="71" t="str">
        <f aca="false">IF(OR(BA18="",BA17="",BA17=0),"",BA18/BA17-1)</f>
        <v/>
      </c>
      <c r="BC33" s="70" t="str">
        <f aca="false">IF(OR(BC18="",BC17=""),"",BC18-BC17)</f>
        <v/>
      </c>
      <c r="BD33" s="71" t="str">
        <f aca="false">IF(OR(BC18="",BC17="",BC17=0),"",BC18/BC17-1)</f>
        <v/>
      </c>
      <c r="BE33" s="70" t="str">
        <f aca="false">IF(OR(BE18="",BE17=""),"",BE18-BE17)</f>
        <v/>
      </c>
      <c r="BF33" s="71" t="str">
        <f aca="false">IF(OR(BE18="",BE17="",BE17=0),"",BE18/BE17-1)</f>
        <v/>
      </c>
      <c r="BG33" s="70" t="str">
        <f aca="false">IF(OR(BG18="",BG17=""),"",BG18-BG17)</f>
        <v/>
      </c>
      <c r="BH33" s="71" t="str">
        <f aca="false">IF(OR(BG18="",BG17="",BG17=0),"",BG18/BG17-1)</f>
        <v/>
      </c>
      <c r="BI33" s="70" t="str">
        <f aca="false">IF(OR(BI18="",BI17=""),"",BI18-BI17)</f>
        <v/>
      </c>
      <c r="BJ33" s="71" t="str">
        <f aca="false">IF(OR(BI18="",BI17="",BI17=0),"",BI18/BI17-1)</f>
        <v/>
      </c>
      <c r="BK33" s="70" t="str">
        <f aca="false">IF(OR(BK18="",BK17=""),"",BK18-BK17)</f>
        <v/>
      </c>
      <c r="BL33" s="71" t="str">
        <f aca="false">IF(OR(BK18="",BK17="",BK17=0),"",BK18/BK17-1)</f>
        <v/>
      </c>
      <c r="BM33" s="70" t="str">
        <f aca="false">IF(OR(BM18="",BM17=""),"",BM18-BM17)</f>
        <v/>
      </c>
      <c r="BN33" s="71" t="str">
        <f aca="false">IF(OR(BM18="",BM17="",BM17=0),"",BM18/BM17-1)</f>
        <v/>
      </c>
      <c r="BO33" s="70" t="str">
        <f aca="false">IF(OR(BO18="",BO17=""),"",BO18-BO17)</f>
        <v/>
      </c>
      <c r="BP33" s="71" t="str">
        <f aca="false">IF(OR(BO18="",BO17="",BO17=0),"",BO18/BO17-1)</f>
        <v/>
      </c>
      <c r="BQ33" s="70" t="str">
        <f aca="false">IF(OR(BQ18="",BQ17=""),"",BQ18-BQ17)</f>
        <v/>
      </c>
      <c r="BR33" s="71" t="str">
        <f aca="false">IF(OR(BQ18="",BQ17="",BQ17=0),"",BQ18/BQ17-1)</f>
        <v/>
      </c>
      <c r="BS33" s="70" t="str">
        <f aca="false">IF(OR(BS18="",BS17=""),"",BS18-BS17)</f>
        <v/>
      </c>
      <c r="BT33" s="71" t="str">
        <f aca="false">IF(OR(BS18="",BS17="",BS17=0),"",BS18/BS17-1)</f>
        <v/>
      </c>
      <c r="BU33" s="70" t="str">
        <f aca="false">IF(OR(BU18="",BU17=""),"",BU18-BU17)</f>
        <v/>
      </c>
      <c r="BV33" s="71" t="str">
        <f aca="false">IF(OR(BU18="",BU17="",BU17=0),"",BU18/BU17-1)</f>
        <v/>
      </c>
      <c r="BW33" s="70" t="str">
        <f aca="false">IF(OR(BW18="",BW17=""),"",BW18-BW17)</f>
        <v/>
      </c>
      <c r="BX33" s="71" t="str">
        <f aca="false">IF(OR(BW18="",BW17="",BW17=0),"",BW18/BW17-1)</f>
        <v/>
      </c>
      <c r="BY33" s="70" t="str">
        <f aca="false">IF(OR(BY18="",BY17=""),"",BY18-BY17)</f>
        <v/>
      </c>
      <c r="BZ33" s="71" t="str">
        <f aca="false">IF(OR(BY18="",BY17="",BY17=0),"",BY18/BY17-1)</f>
        <v/>
      </c>
      <c r="CA33" s="70" t="str">
        <f aca="false">IF(OR(CA18="",CA17=""),"",CA18-CA17)</f>
        <v/>
      </c>
      <c r="CB33" s="71" t="str">
        <f aca="false">IF(OR(CA18="",CA17="",CA17=0),"",CA18/CA17-1)</f>
        <v/>
      </c>
      <c r="CC33" s="70" t="str">
        <f aca="false">IF(OR(CC18="",CC17=""),"",CC18-CC17)</f>
        <v/>
      </c>
      <c r="CD33" s="71" t="str">
        <f aca="false">IF(OR(CC18="",CC17="",CC17=0),"",CC18/CC17-1)</f>
        <v/>
      </c>
      <c r="CE33" s="70" t="str">
        <f aca="false">IF(OR(CE18="",CE17=""),"",CE18-CE17)</f>
        <v/>
      </c>
      <c r="CF33" s="71" t="str">
        <f aca="false">IF(OR(CE18="",CE17="",CE17=0),"",CE18/CE17-1)</f>
        <v/>
      </c>
      <c r="CG33" s="70" t="str">
        <f aca="false">IF(OR(CG18="",CG17=""),"",CG18-CG17)</f>
        <v/>
      </c>
      <c r="CH33" s="71" t="str">
        <f aca="false">IF(OR(CG18="",CG17="",CG17=0),"",CG18/CG17-1)</f>
        <v/>
      </c>
      <c r="CI33" s="70" t="str">
        <f aca="false">IF(OR(CI18="",CI17=""),"",CI18-CI17)</f>
        <v/>
      </c>
      <c r="CJ33" s="71" t="str">
        <f aca="false">IF(OR(CI18="",CI17="",CI17=0),"",CI18/CI17-1)</f>
        <v/>
      </c>
      <c r="CK33" s="70" t="str">
        <f aca="false">IF(OR(CK18="",CK17=""),"",CK18-CK17)</f>
        <v/>
      </c>
      <c r="CL33" s="71" t="str">
        <f aca="false">IF(OR(CK18="",CK17="",CK17=0),"",CK18/CK17-1)</f>
        <v/>
      </c>
      <c r="CM33" s="70" t="str">
        <f aca="false">IF(OR(CM18="",CM17=""),"",CM18-CM17)</f>
        <v/>
      </c>
      <c r="CN33" s="71" t="str">
        <f aca="false">IF(OR(CM18="",CM17="",CM17=0),"",CM18/CM17-1)</f>
        <v/>
      </c>
      <c r="CO33" s="70" t="str">
        <f aca="false">IF(OR(CO18="",CO17=""),"",CO18-CO17)</f>
        <v/>
      </c>
      <c r="CP33" s="71" t="str">
        <f aca="false">IF(OR(CO18="",CO17="",CO17=0),"",CO18/CO17-1)</f>
        <v/>
      </c>
      <c r="CQ33" s="70" t="str">
        <f aca="false">IF(OR(CQ18="",CQ17=""),"",CQ18-CQ17)</f>
        <v/>
      </c>
      <c r="CR33" s="71" t="str">
        <f aca="false">IF(OR(CQ18="",CQ17="",CQ17=0),"",CQ18/CQ17-1)</f>
        <v/>
      </c>
      <c r="CS33" s="70" t="str">
        <f aca="false">IF(OR(CS18="",CS17=""),"",CS18-CS17)</f>
        <v/>
      </c>
      <c r="CT33" s="71" t="str">
        <f aca="false">IF(OR(CS18="",CS17="",CS17=0),"",CS18/CS17-1)</f>
        <v/>
      </c>
      <c r="CU33" s="70" t="str">
        <f aca="false">IF(OR(CU18="",CU17=""),"",CU18-CU17)</f>
        <v/>
      </c>
      <c r="CV33" s="71" t="str">
        <f aca="false">IF(OR(CU18="",CU17="",CU17=0),"",CU18/CU17-1)</f>
        <v/>
      </c>
      <c r="CW33" s="70" t="str">
        <f aca="false">IF(OR(CW18="",CW17=""),"",CW18-CW17)</f>
        <v/>
      </c>
      <c r="CX33" s="71" t="str">
        <f aca="false">IF(OR(CW18="",CW17="",CW17=0),"",CW18/CW17-1)</f>
        <v/>
      </c>
      <c r="CY33" s="70" t="str">
        <f aca="false">IF(OR(CY18="",CY17=""),"",CY18-CY17)</f>
        <v/>
      </c>
      <c r="CZ33" s="71" t="str">
        <f aca="false">IF(OR(CY18="",CY17="",CY17=0),"",CY18/CY17-1)</f>
        <v/>
      </c>
      <c r="DA33" s="70" t="str">
        <f aca="false">IF(OR(DA18="",DA17=""),"",DA18-DA17)</f>
        <v/>
      </c>
      <c r="DB33" s="71" t="str">
        <f aca="false">IF(OR(DA18="",DA17="",DA17=0),"",DA18/DA17-1)</f>
        <v/>
      </c>
      <c r="DC33" s="70" t="str">
        <f aca="false">IF(OR(DC18="",DC17=""),"",DC18-DC17)</f>
        <v/>
      </c>
      <c r="DD33" s="71" t="str">
        <f aca="false">IF(OR(DC18="",DC17="",DC17=0),"",DC18/DC17-1)</f>
        <v/>
      </c>
      <c r="DE33" s="70" t="str">
        <f aca="false">IF(OR(DE18="",DE17=""),"",DE18-DE17)</f>
        <v/>
      </c>
      <c r="DF33" s="71" t="str">
        <f aca="false">IF(OR(DE18="",DE17="",DE17=0),"",DE18/DE17-1)</f>
        <v/>
      </c>
      <c r="DG33" s="70" t="str">
        <f aca="false">IF(OR(DG18="",DG17=""),"",DG18-DG17)</f>
        <v/>
      </c>
      <c r="DH33" s="71" t="str">
        <f aca="false">IF(OR(DG18="",DG17="",DG17=0),"",DG18/DG17-1)</f>
        <v/>
      </c>
      <c r="DI33" s="70" t="str">
        <f aca="false">IF(OR(DI18="",DI17=""),"",DI18-DI17)</f>
        <v/>
      </c>
      <c r="DJ33" s="71" t="str">
        <f aca="false">IF(OR(DI18="",DI17="",DI17=0),"",DI18/DI17-1)</f>
        <v/>
      </c>
      <c r="DK33" s="70" t="str">
        <f aca="false">IF(OR(DK18="",DK17=""),"",DK18-DK17)</f>
        <v/>
      </c>
      <c r="DL33" s="71" t="str">
        <f aca="false">IF(OR(DK18="",DK17="",DK17=0),"",DK18/DK17-1)</f>
        <v/>
      </c>
      <c r="DM33" s="70" t="str">
        <f aca="false">IF(OR(DM18="",DM17=""),"",DM18-DM17)</f>
        <v/>
      </c>
      <c r="DN33" s="71" t="str">
        <f aca="false">IF(OR(DM18="",DM17="",DM17=0),"",DM18/DM17-1)</f>
        <v/>
      </c>
      <c r="DO33" s="70" t="str">
        <f aca="false">IF(OR(DO18="",DO17=""),"",DO18-DO17)</f>
        <v/>
      </c>
      <c r="DP33" s="71" t="str">
        <f aca="false">IF(OR(DO18="",DO17="",DO17=0),"",DO18/DO17-1)</f>
        <v/>
      </c>
      <c r="DQ33" s="70" t="str">
        <f aca="false">IF(OR(DQ18="",DQ17=""),"",DQ18-DQ17)</f>
        <v/>
      </c>
      <c r="DR33" s="71" t="str">
        <f aca="false">IF(OR(DQ18="",DQ17="",DQ17=0),"",DQ18/DQ17-1)</f>
        <v/>
      </c>
      <c r="DS33" s="70" t="str">
        <f aca="false">IF(OR(DS18="",DS17=""),"",DS18-DS17)</f>
        <v/>
      </c>
      <c r="DT33" s="71" t="str">
        <f aca="false">IF(OR(DS18="",DS17="",DS17=0),"",DS18/DS17-1)</f>
        <v/>
      </c>
      <c r="DU33" s="70" t="str">
        <f aca="false">IF(OR(DU18="",DU17=""),"",DU18-DU17)</f>
        <v/>
      </c>
      <c r="DV33" s="71" t="str">
        <f aca="false">IF(OR(DU18="",DU17="",DU17=0),"",DU18/DU17-1)</f>
        <v/>
      </c>
      <c r="DW33" s="70" t="str">
        <f aca="false">IF(OR(DW18="",DW17=""),"",DW18-DW17)</f>
        <v/>
      </c>
      <c r="DX33" s="71" t="str">
        <f aca="false">IF(OR(DW18="",DW17="",DW17=0),"",DW18/DW17-1)</f>
        <v/>
      </c>
      <c r="DY33" s="70" t="str">
        <f aca="false">IF(OR(DY18="",DY17=""),"",DY18-DY17)</f>
        <v/>
      </c>
      <c r="DZ33" s="71" t="str">
        <f aca="false">IF(OR(DY18="",DY17="",DY17=0),"",DY18/DY17-1)</f>
        <v/>
      </c>
      <c r="EA33" s="70" t="str">
        <f aca="false">IF(OR(EA18="",EA17=""),"",EA18-EA17)</f>
        <v/>
      </c>
      <c r="EB33" s="71" t="str">
        <f aca="false">IF(OR(EA18="",EA17="",EA17=0),"",EA18/EA17-1)</f>
        <v/>
      </c>
      <c r="EC33" s="70" t="str">
        <f aca="false">IF(OR(EC18="",EC17=""),"",EC18-EC17)</f>
        <v/>
      </c>
      <c r="ED33" s="71" t="str">
        <f aca="false">IF(OR(EC18="",EC17="",EC17=0),"",EC18/EC17-1)</f>
        <v/>
      </c>
      <c r="EE33" s="70" t="str">
        <f aca="false">IF(OR(EE18="",EE17=""),"",EE18-EE17)</f>
        <v/>
      </c>
      <c r="EF33" s="71" t="str">
        <f aca="false">IF(OR(EE18="",EE17="",EE17=0),"",EE18/EE17-1)</f>
        <v/>
      </c>
      <c r="EG33" s="70" t="str">
        <f aca="false">IF(OR(EG18="",EG17=""),"",EG18-EG17)</f>
        <v/>
      </c>
      <c r="EH33" s="71" t="str">
        <f aca="false">IF(OR(EG18="",EG17="",EG17=0),"",EG18/EG17-1)</f>
        <v/>
      </c>
      <c r="EI33" s="70" t="str">
        <f aca="false">IF(OR(EI18="",EI17=""),"",EI18-EI17)</f>
        <v/>
      </c>
      <c r="EJ33" s="71" t="str">
        <f aca="false">IF(OR(EI18="",EI17="",EI17=0),"",EI18/EI17-1)</f>
        <v/>
      </c>
      <c r="EK33" s="70" t="str">
        <f aca="false">IF(OR(EK18="",EK17=""),"",EK18-EK17)</f>
        <v/>
      </c>
      <c r="EL33" s="71" t="str">
        <f aca="false">IF(OR(EK18="",EK17="",EK17=0),"",EK18/EK17-1)</f>
        <v/>
      </c>
      <c r="EM33" s="70" t="str">
        <f aca="false">IF(OR(EM18="",EM17=""),"",EM18-EM17)</f>
        <v/>
      </c>
      <c r="EN33" s="71" t="str">
        <f aca="false">IF(OR(EM18="",EM17="",EM17=0),"",EM18/EM17-1)</f>
        <v/>
      </c>
      <c r="EO33" s="70" t="str">
        <f aca="false">IF(OR(EO18="",EO17=""),"",EO18-EO17)</f>
        <v/>
      </c>
      <c r="EP33" s="71" t="str">
        <f aca="false">IF(OR(EO18="",EO17="",EO17=0),"",EO18/EO17-1)</f>
        <v/>
      </c>
      <c r="EQ33" s="70" t="str">
        <f aca="false">IF(OR(EQ18="",EQ17=""),"",EQ18-EQ17)</f>
        <v/>
      </c>
      <c r="ER33" s="71" t="str">
        <f aca="false">IF(OR(EQ18="",EQ17="",EQ17=0),"",EQ18/EQ17-1)</f>
        <v/>
      </c>
      <c r="ES33" s="70" t="str">
        <f aca="false">IF(OR(ES18="",ES17=""),"",ES18-ES17)</f>
        <v/>
      </c>
      <c r="ET33" s="71" t="str">
        <f aca="false">IF(OR(ES18="",ES17="",ES17=0),"",ES18/ES17-1)</f>
        <v/>
      </c>
      <c r="EU33" s="70" t="str">
        <f aca="false">IF(OR(EU18="",EU17=""),"",EU18-EU17)</f>
        <v/>
      </c>
      <c r="EV33" s="71" t="str">
        <f aca="false">IF(OR(EU18="",EU17="",EU17=0),"",EU18/EU17-1)</f>
        <v/>
      </c>
      <c r="EW33" s="70" t="str">
        <f aca="false">IF(OR(EW18="",EW17=""),"",EW18-EW17)</f>
        <v/>
      </c>
      <c r="EX33" s="71" t="str">
        <f aca="false">IF(OR(EW18="",EW17="",EW17=0),"",EW18/EW17-1)</f>
        <v/>
      </c>
      <c r="EY33" s="70" t="str">
        <f aca="false">IF(OR(EY18="",EY17=""),"",EY18-EY17)</f>
        <v/>
      </c>
      <c r="EZ33" s="71" t="str">
        <f aca="false">IF(OR(EY18="",EY17="",EY17=0),"",EY18/EY17-1)</f>
        <v/>
      </c>
      <c r="FA33" s="70" t="str">
        <f aca="false">IF(OR(FA18="",FA17=""),"",FA18-FA17)</f>
        <v/>
      </c>
      <c r="FB33" s="71" t="str">
        <f aca="false">IF(OR(FA18="",FA17="",FA17=0),"",FA18/FA17-1)</f>
        <v/>
      </c>
      <c r="FC33" s="70" t="str">
        <f aca="false">IF(OR(FC18="",FC17=""),"",FC18-FC17)</f>
        <v/>
      </c>
      <c r="FD33" s="71" t="str">
        <f aca="false">IF(OR(FC18="",FC17="",FC17=0),"",FC18/FC17-1)</f>
        <v/>
      </c>
      <c r="FE33" s="70" t="str">
        <f aca="false">IF(OR(FE18="",FE17=""),"",FE18-FE17)</f>
        <v/>
      </c>
      <c r="FF33" s="71" t="str">
        <f aca="false">IF(OR(FE18="",FE17="",FE17=0),"",FE18/FE17-1)</f>
        <v/>
      </c>
      <c r="FG33" s="70" t="str">
        <f aca="false">IF(OR(FG18="",FG17=""),"",FG18-FG17)</f>
        <v/>
      </c>
      <c r="FH33" s="71" t="str">
        <f aca="false">IF(OR(FG18="",FG17="",FG17=0),"",FG18/FG17-1)</f>
        <v/>
      </c>
      <c r="FI33" s="70" t="str">
        <f aca="false">IF(OR(FI18="",FI17=""),"",FI18-FI17)</f>
        <v/>
      </c>
      <c r="FJ33" s="71" t="str">
        <f aca="false">IF(OR(FI18="",FI17="",FI17=0),"",FI18/FI17-1)</f>
        <v/>
      </c>
      <c r="FK33" s="70" t="str">
        <f aca="false">IF(OR(FK18="",FK17=""),"",FK18-FK17)</f>
        <v/>
      </c>
      <c r="FL33" s="71" t="str">
        <f aca="false">IF(OR(FK18="",FK17="",FK17=0),"",FK18/FK17-1)</f>
        <v/>
      </c>
      <c r="FM33" s="70" t="str">
        <f aca="false">IF(OR(FM18="",FM17=""),"",FM18-FM17)</f>
        <v/>
      </c>
      <c r="FN33" s="71" t="str">
        <f aca="false">IF(OR(FM18="",FM17="",FM17=0),"",FM18/FM17-1)</f>
        <v/>
      </c>
      <c r="FO33" s="70" t="str">
        <f aca="false">IF(OR(FO18="",FO17=""),"",FO18-FO17)</f>
        <v/>
      </c>
      <c r="FP33" s="71" t="str">
        <f aca="false">IF(OR(FO18="",FO17="",FO17=0),"",FO18/FO17-1)</f>
        <v/>
      </c>
      <c r="FQ33" s="70" t="str">
        <f aca="false">IF(OR(FQ18="",FQ17=""),"",FQ18-FQ17)</f>
        <v/>
      </c>
      <c r="FR33" s="71" t="str">
        <f aca="false">IF(OR(FQ18="",FQ17="",FQ17=0),"",FQ18/FQ17-1)</f>
        <v/>
      </c>
      <c r="FS33" s="70" t="str">
        <f aca="false">IF(OR(FS18="",FS17=""),"",FS18-FS17)</f>
        <v/>
      </c>
      <c r="FT33" s="71" t="str">
        <f aca="false">IF(OR(FS18="",FS17="",FS17=0),"",FS18/FS17-1)</f>
        <v/>
      </c>
      <c r="FU33" s="70" t="str">
        <f aca="false">IF(OR(FU18="",FU17=""),"",FU18-FU17)</f>
        <v/>
      </c>
      <c r="FV33" s="71" t="str">
        <f aca="false">IF(OR(FU18="",FU17="",FU17=0),"",FU18/FU17-1)</f>
        <v/>
      </c>
      <c r="FW33" s="70" t="str">
        <f aca="false">IF(OR(FW18="",FW17=""),"",FW18-FW17)</f>
        <v/>
      </c>
      <c r="FX33" s="71" t="str">
        <f aca="false">IF(OR(FW18="",FW17="",FW17=0),"",FW18/FW17-1)</f>
        <v/>
      </c>
      <c r="FY33" s="70" t="str">
        <f aca="false">IF(OR(FY18="",FY17=""),"",FY18-FY17)</f>
        <v/>
      </c>
      <c r="FZ33" s="71" t="str">
        <f aca="false">IF(OR(FY18="",FY17="",FY17=0),"",FY18/FY17-1)</f>
        <v/>
      </c>
      <c r="GA33" s="70" t="str">
        <f aca="false">IF(OR(GA18="",GA17=""),"",GA18-GA17)</f>
        <v/>
      </c>
      <c r="GB33" s="71" t="str">
        <f aca="false">IF(OR(GA18="",GA17="",GA17=0),"",GA18/GA17-1)</f>
        <v/>
      </c>
      <c r="GC33" s="70" t="str">
        <f aca="false">IF(OR(GC18="",GC17=""),"",GC18-GC17)</f>
        <v/>
      </c>
      <c r="GD33" s="71" t="str">
        <f aca="false">IF(OR(GC18="",GC17="",GC17=0),"",GC18/GC17-1)</f>
        <v/>
      </c>
      <c r="GE33" s="70" t="str">
        <f aca="false">IF(OR(GE18="",GE17=""),"",GE18-GE17)</f>
        <v/>
      </c>
      <c r="GF33" s="71" t="str">
        <f aca="false">IF(OR(GE18="",GE17="",GE17=0),"",GE18/GE17-1)</f>
        <v/>
      </c>
      <c r="GG33" s="70" t="str">
        <f aca="false">IF(OR(GG18="",GG17=""),"",GG18-GG17)</f>
        <v/>
      </c>
      <c r="GH33" s="71" t="str">
        <f aca="false">IF(OR(GG18="",GG17="",GG17=0),"",GG18/GG17-1)</f>
        <v/>
      </c>
      <c r="GI33" s="70" t="str">
        <f aca="false">IF(OR(GI18="",GI17=""),"",GI18-GI17)</f>
        <v/>
      </c>
      <c r="GJ33" s="71" t="str">
        <f aca="false">IF(OR(GI18="",GI17="",GI17=0),"",GI18/GI17-1)</f>
        <v/>
      </c>
      <c r="GK33" s="70" t="str">
        <f aca="false">IF(OR(GK18="",GK17=""),"",GK18-GK17)</f>
        <v/>
      </c>
      <c r="GL33" s="71" t="str">
        <f aca="false">IF(OR(GK18="",GK17="",GK17=0),"",GK18/GK17-1)</f>
        <v/>
      </c>
      <c r="GM33" s="70" t="str">
        <f aca="false">IF(OR(GM18="",GM17=""),"",GM18-GM17)</f>
        <v/>
      </c>
      <c r="GN33" s="71" t="str">
        <f aca="false">IF(OR(GM18="",GM17="",GM17=0),"",GM18/GM17-1)</f>
        <v/>
      </c>
      <c r="GO33" s="70" t="str">
        <f aca="false">IF(OR(GO18="",GO17=""),"",GO18-GO17)</f>
        <v/>
      </c>
      <c r="GP33" s="71" t="str">
        <f aca="false">IF(OR(GO18="",GO17="",GO17=0),"",GO18/GO17-1)</f>
        <v/>
      </c>
      <c r="GQ33" s="70" t="str">
        <f aca="false">IF(OR(GQ18="",GQ17=""),"",GQ18-GQ17)</f>
        <v/>
      </c>
      <c r="GR33" s="71" t="str">
        <f aca="false">IF(OR(GQ18="",GQ17="",GQ17=0),"",GQ18/GQ17-1)</f>
        <v/>
      </c>
      <c r="GS33" s="70" t="str">
        <f aca="false">IF(OR(GS18="",GS17=""),"",GS18-GS17)</f>
        <v/>
      </c>
      <c r="GT33" s="71" t="str">
        <f aca="false">IF(OR(GS18="",GS17="",GS17=0),"",GS18/GS17-1)</f>
        <v/>
      </c>
      <c r="GU33" s="70" t="str">
        <f aca="false">IF(OR(GU18="",GU17=""),"",GU18-GU17)</f>
        <v/>
      </c>
      <c r="GV33" s="71" t="str">
        <f aca="false">IF(OR(GU18="",GU17="",GU17=0),"",GU18/GU17-1)</f>
        <v/>
      </c>
      <c r="GW33" s="70" t="str">
        <f aca="false">IF(OR(GW18="",GW17=""),"",GW18-GW17)</f>
        <v/>
      </c>
      <c r="GX33" s="71" t="str">
        <f aca="false">IF(OR(GW18="",GW17="",GW17=0),"",GW18/GW17-1)</f>
        <v/>
      </c>
      <c r="GY33" s="70" t="str">
        <f aca="false">IF(OR(GY18="",GY17=""),"",GY18-GY17)</f>
        <v/>
      </c>
      <c r="GZ33" s="71" t="str">
        <f aca="false">IF(OR(GY18="",GY17="",GY17=0),"",GY18/GY17-1)</f>
        <v/>
      </c>
    </row>
    <row r="34" customFormat="false" ht="15" hidden="false" customHeight="false" outlineLevel="0" collapsed="false">
      <c r="A34" s="4"/>
      <c r="B34" s="36"/>
      <c r="C34" s="36"/>
      <c r="D34" s="49"/>
      <c r="E34" s="50"/>
      <c r="H34" s="72" t="str">
        <f aca="false">IF(OR('Довідник категорій'!B12="",'Довідник категорій'!B11=""),"",'Довідник категорій'!B12&amp;"  ↔  "&amp;'Довідник категорій'!B11)</f>
        <v/>
      </c>
      <c r="I34" s="70" t="str">
        <f aca="false">IF(OR(I19="",I18=""),"",I19-I18)</f>
        <v/>
      </c>
      <c r="J34" s="71" t="str">
        <f aca="false">IF(OR(I19="",I18="",I18=0),"",I19/I18-1)</f>
        <v/>
      </c>
      <c r="K34" s="70" t="str">
        <f aca="false">IF(OR(K19="",K18=""),"",K19-K18)</f>
        <v/>
      </c>
      <c r="L34" s="71" t="str">
        <f aca="false">IF(OR(K19="",K18="",K18=0),"",K19/K18-1)</f>
        <v/>
      </c>
      <c r="M34" s="70" t="str">
        <f aca="false">IF(OR(M19="",M18=""),"",M19-M18)</f>
        <v/>
      </c>
      <c r="N34" s="71" t="str">
        <f aca="false">IF(OR(M19="",M18="",M18=0),"",M19/M18-1)</f>
        <v/>
      </c>
      <c r="O34" s="70" t="str">
        <f aca="false">IF(OR(O19="",O18=""),"",O19-O18)</f>
        <v/>
      </c>
      <c r="P34" s="71" t="str">
        <f aca="false">IF(OR(O19="",O18="",O18=0),"",O19/O18-1)</f>
        <v/>
      </c>
      <c r="Q34" s="70" t="str">
        <f aca="false">IF(OR(Q19="",Q18=""),"",Q19-Q18)</f>
        <v/>
      </c>
      <c r="R34" s="71" t="str">
        <f aca="false">IF(OR(Q19="",Q18="",Q18=0),"",Q19/Q18-1)</f>
        <v/>
      </c>
      <c r="S34" s="70" t="str">
        <f aca="false">IF(OR(S19="",S18=""),"",S19-S18)</f>
        <v/>
      </c>
      <c r="T34" s="71" t="str">
        <f aca="false">IF(OR(S19="",S18="",S18=0),"",S19/S18-1)</f>
        <v/>
      </c>
      <c r="U34" s="70" t="str">
        <f aca="false">IF(OR(U19="",U18=""),"",U19-U18)</f>
        <v/>
      </c>
      <c r="V34" s="71" t="str">
        <f aca="false">IF(OR(U19="",U18="",U18=0),"",U19/U18-1)</f>
        <v/>
      </c>
      <c r="W34" s="70" t="str">
        <f aca="false">IF(OR(W19="",W18=""),"",W19-W18)</f>
        <v/>
      </c>
      <c r="X34" s="71" t="str">
        <f aca="false">IF(OR(W19="",W18="",W18=0),"",W19/W18-1)</f>
        <v/>
      </c>
      <c r="Y34" s="70" t="str">
        <f aca="false">IF(OR(Y19="",Y18=""),"",Y19-Y18)</f>
        <v/>
      </c>
      <c r="Z34" s="71" t="str">
        <f aca="false">IF(OR(Y19="",Y18="",Y18=0),"",Y19/Y18-1)</f>
        <v/>
      </c>
      <c r="AA34" s="70" t="str">
        <f aca="false">IF(OR(AA19="",AA18=""),"",AA19-AA18)</f>
        <v/>
      </c>
      <c r="AB34" s="71" t="str">
        <f aca="false">IF(OR(AA19="",AA18="",AA18=0),"",AA19/AA18-1)</f>
        <v/>
      </c>
      <c r="AC34" s="70" t="str">
        <f aca="false">IF(OR(AC19="",AC18=""),"",AC19-AC18)</f>
        <v/>
      </c>
      <c r="AD34" s="71" t="str">
        <f aca="false">IF(OR(AC19="",AC18="",AC18=0),"",AC19/AC18-1)</f>
        <v/>
      </c>
      <c r="AE34" s="70" t="str">
        <f aca="false">IF(OR(AE19="",AE18=""),"",AE19-AE18)</f>
        <v/>
      </c>
      <c r="AF34" s="71" t="str">
        <f aca="false">IF(OR(AE19="",AE18="",AE18=0),"",AE19/AE18-1)</f>
        <v/>
      </c>
      <c r="AG34" s="70" t="str">
        <f aca="false">IF(OR(AG19="",AG18=""),"",AG19-AG18)</f>
        <v/>
      </c>
      <c r="AH34" s="71" t="str">
        <f aca="false">IF(OR(AG19="",AG18="",AG18=0),"",AG19/AG18-1)</f>
        <v/>
      </c>
      <c r="AI34" s="70" t="str">
        <f aca="false">IF(OR(AI19="",AI18=""),"",AI19-AI18)</f>
        <v/>
      </c>
      <c r="AJ34" s="71" t="str">
        <f aca="false">IF(OR(AI19="",AI18="",AI18=0),"",AI19/AI18-1)</f>
        <v/>
      </c>
      <c r="AK34" s="70" t="str">
        <f aca="false">IF(OR(AK19="",AK18=""),"",AK19-AK18)</f>
        <v/>
      </c>
      <c r="AL34" s="71" t="str">
        <f aca="false">IF(OR(AK19="",AK18="",AK18=0),"",AK19/AK18-1)</f>
        <v/>
      </c>
      <c r="AM34" s="70" t="str">
        <f aca="false">IF(OR(AM19="",AM18=""),"",AM19-AM18)</f>
        <v/>
      </c>
      <c r="AN34" s="71" t="str">
        <f aca="false">IF(OR(AM19="",AM18="",AM18=0),"",AM19/AM18-1)</f>
        <v/>
      </c>
      <c r="AO34" s="70" t="str">
        <f aca="false">IF(OR(AO19="",AO18=""),"",AO19-AO18)</f>
        <v/>
      </c>
      <c r="AP34" s="71" t="str">
        <f aca="false">IF(OR(AO19="",AO18="",AO18=0),"",AO19/AO18-1)</f>
        <v/>
      </c>
      <c r="AQ34" s="70" t="str">
        <f aca="false">IF(OR(AQ19="",AQ18=""),"",AQ19-AQ18)</f>
        <v/>
      </c>
      <c r="AR34" s="71" t="str">
        <f aca="false">IF(OR(AQ19="",AQ18="",AQ18=0),"",AQ19/AQ18-1)</f>
        <v/>
      </c>
      <c r="AS34" s="70" t="str">
        <f aca="false">IF(OR(AS19="",AS18=""),"",AS19-AS18)</f>
        <v/>
      </c>
      <c r="AT34" s="71" t="str">
        <f aca="false">IF(OR(AS19="",AS18="",AS18=0),"",AS19/AS18-1)</f>
        <v/>
      </c>
      <c r="AU34" s="70" t="str">
        <f aca="false">IF(OR(AU19="",AU18=""),"",AU19-AU18)</f>
        <v/>
      </c>
      <c r="AV34" s="71" t="str">
        <f aca="false">IF(OR(AU19="",AU18="",AU18=0),"",AU19/AU18-1)</f>
        <v/>
      </c>
      <c r="AW34" s="70" t="str">
        <f aca="false">IF(OR(AW19="",AW18=""),"",AW19-AW18)</f>
        <v/>
      </c>
      <c r="AX34" s="71" t="str">
        <f aca="false">IF(OR(AW19="",AW18="",AW18=0),"",AW19/AW18-1)</f>
        <v/>
      </c>
      <c r="AY34" s="70" t="str">
        <f aca="false">IF(OR(AY19="",AY18=""),"",AY19-AY18)</f>
        <v/>
      </c>
      <c r="AZ34" s="71" t="str">
        <f aca="false">IF(OR(AY19="",AY18="",AY18=0),"",AY19/AY18-1)</f>
        <v/>
      </c>
      <c r="BA34" s="70" t="str">
        <f aca="false">IF(OR(BA19="",BA18=""),"",BA19-BA18)</f>
        <v/>
      </c>
      <c r="BB34" s="71" t="str">
        <f aca="false">IF(OR(BA19="",BA18="",BA18=0),"",BA19/BA18-1)</f>
        <v/>
      </c>
      <c r="BC34" s="70" t="str">
        <f aca="false">IF(OR(BC19="",BC18=""),"",BC19-BC18)</f>
        <v/>
      </c>
      <c r="BD34" s="71" t="str">
        <f aca="false">IF(OR(BC19="",BC18="",BC18=0),"",BC19/BC18-1)</f>
        <v/>
      </c>
      <c r="BE34" s="70" t="str">
        <f aca="false">IF(OR(BE19="",BE18=""),"",BE19-BE18)</f>
        <v/>
      </c>
      <c r="BF34" s="71" t="str">
        <f aca="false">IF(OR(BE19="",BE18="",BE18=0),"",BE19/BE18-1)</f>
        <v/>
      </c>
      <c r="BG34" s="70" t="str">
        <f aca="false">IF(OR(BG19="",BG18=""),"",BG19-BG18)</f>
        <v/>
      </c>
      <c r="BH34" s="71" t="str">
        <f aca="false">IF(OR(BG19="",BG18="",BG18=0),"",BG19/BG18-1)</f>
        <v/>
      </c>
      <c r="BI34" s="70" t="str">
        <f aca="false">IF(OR(BI19="",BI18=""),"",BI19-BI18)</f>
        <v/>
      </c>
      <c r="BJ34" s="71" t="str">
        <f aca="false">IF(OR(BI19="",BI18="",BI18=0),"",BI19/BI18-1)</f>
        <v/>
      </c>
      <c r="BK34" s="70" t="str">
        <f aca="false">IF(OR(BK19="",BK18=""),"",BK19-BK18)</f>
        <v/>
      </c>
      <c r="BL34" s="71" t="str">
        <f aca="false">IF(OR(BK19="",BK18="",BK18=0),"",BK19/BK18-1)</f>
        <v/>
      </c>
      <c r="BM34" s="70" t="str">
        <f aca="false">IF(OR(BM19="",BM18=""),"",BM19-BM18)</f>
        <v/>
      </c>
      <c r="BN34" s="71" t="str">
        <f aca="false">IF(OR(BM19="",BM18="",BM18=0),"",BM19/BM18-1)</f>
        <v/>
      </c>
      <c r="BO34" s="70" t="str">
        <f aca="false">IF(OR(BO19="",BO18=""),"",BO19-BO18)</f>
        <v/>
      </c>
      <c r="BP34" s="71" t="str">
        <f aca="false">IF(OR(BO19="",BO18="",BO18=0),"",BO19/BO18-1)</f>
        <v/>
      </c>
      <c r="BQ34" s="70" t="str">
        <f aca="false">IF(OR(BQ19="",BQ18=""),"",BQ19-BQ18)</f>
        <v/>
      </c>
      <c r="BR34" s="71" t="str">
        <f aca="false">IF(OR(BQ19="",BQ18="",BQ18=0),"",BQ19/BQ18-1)</f>
        <v/>
      </c>
      <c r="BS34" s="70" t="str">
        <f aca="false">IF(OR(BS19="",BS18=""),"",BS19-BS18)</f>
        <v/>
      </c>
      <c r="BT34" s="71" t="str">
        <f aca="false">IF(OR(BS19="",BS18="",BS18=0),"",BS19/BS18-1)</f>
        <v/>
      </c>
      <c r="BU34" s="70" t="str">
        <f aca="false">IF(OR(BU19="",BU18=""),"",BU19-BU18)</f>
        <v/>
      </c>
      <c r="BV34" s="71" t="str">
        <f aca="false">IF(OR(BU19="",BU18="",BU18=0),"",BU19/BU18-1)</f>
        <v/>
      </c>
      <c r="BW34" s="70" t="str">
        <f aca="false">IF(OR(BW19="",BW18=""),"",BW19-BW18)</f>
        <v/>
      </c>
      <c r="BX34" s="71" t="str">
        <f aca="false">IF(OR(BW19="",BW18="",BW18=0),"",BW19/BW18-1)</f>
        <v/>
      </c>
      <c r="BY34" s="70" t="str">
        <f aca="false">IF(OR(BY19="",BY18=""),"",BY19-BY18)</f>
        <v/>
      </c>
      <c r="BZ34" s="71" t="str">
        <f aca="false">IF(OR(BY19="",BY18="",BY18=0),"",BY19/BY18-1)</f>
        <v/>
      </c>
      <c r="CA34" s="70" t="str">
        <f aca="false">IF(OR(CA19="",CA18=""),"",CA19-CA18)</f>
        <v/>
      </c>
      <c r="CB34" s="71" t="str">
        <f aca="false">IF(OR(CA19="",CA18="",CA18=0),"",CA19/CA18-1)</f>
        <v/>
      </c>
      <c r="CC34" s="70" t="str">
        <f aca="false">IF(OR(CC19="",CC18=""),"",CC19-CC18)</f>
        <v/>
      </c>
      <c r="CD34" s="71" t="str">
        <f aca="false">IF(OR(CC19="",CC18="",CC18=0),"",CC19/CC18-1)</f>
        <v/>
      </c>
      <c r="CE34" s="70" t="str">
        <f aca="false">IF(OR(CE19="",CE18=""),"",CE19-CE18)</f>
        <v/>
      </c>
      <c r="CF34" s="71" t="str">
        <f aca="false">IF(OR(CE19="",CE18="",CE18=0),"",CE19/CE18-1)</f>
        <v/>
      </c>
      <c r="CG34" s="70" t="str">
        <f aca="false">IF(OR(CG19="",CG18=""),"",CG19-CG18)</f>
        <v/>
      </c>
      <c r="CH34" s="71" t="str">
        <f aca="false">IF(OR(CG19="",CG18="",CG18=0),"",CG19/CG18-1)</f>
        <v/>
      </c>
      <c r="CI34" s="70" t="str">
        <f aca="false">IF(OR(CI19="",CI18=""),"",CI19-CI18)</f>
        <v/>
      </c>
      <c r="CJ34" s="71" t="str">
        <f aca="false">IF(OR(CI19="",CI18="",CI18=0),"",CI19/CI18-1)</f>
        <v/>
      </c>
      <c r="CK34" s="70" t="str">
        <f aca="false">IF(OR(CK19="",CK18=""),"",CK19-CK18)</f>
        <v/>
      </c>
      <c r="CL34" s="71" t="str">
        <f aca="false">IF(OR(CK19="",CK18="",CK18=0),"",CK19/CK18-1)</f>
        <v/>
      </c>
      <c r="CM34" s="70" t="str">
        <f aca="false">IF(OR(CM19="",CM18=""),"",CM19-CM18)</f>
        <v/>
      </c>
      <c r="CN34" s="71" t="str">
        <f aca="false">IF(OR(CM19="",CM18="",CM18=0),"",CM19/CM18-1)</f>
        <v/>
      </c>
      <c r="CO34" s="70" t="str">
        <f aca="false">IF(OR(CO19="",CO18=""),"",CO19-CO18)</f>
        <v/>
      </c>
      <c r="CP34" s="71" t="str">
        <f aca="false">IF(OR(CO19="",CO18="",CO18=0),"",CO19/CO18-1)</f>
        <v/>
      </c>
      <c r="CQ34" s="70" t="str">
        <f aca="false">IF(OR(CQ19="",CQ18=""),"",CQ19-CQ18)</f>
        <v/>
      </c>
      <c r="CR34" s="71" t="str">
        <f aca="false">IF(OR(CQ19="",CQ18="",CQ18=0),"",CQ19/CQ18-1)</f>
        <v/>
      </c>
      <c r="CS34" s="70" t="str">
        <f aca="false">IF(OR(CS19="",CS18=""),"",CS19-CS18)</f>
        <v/>
      </c>
      <c r="CT34" s="71" t="str">
        <f aca="false">IF(OR(CS19="",CS18="",CS18=0),"",CS19/CS18-1)</f>
        <v/>
      </c>
      <c r="CU34" s="70" t="str">
        <f aca="false">IF(OR(CU19="",CU18=""),"",CU19-CU18)</f>
        <v/>
      </c>
      <c r="CV34" s="71" t="str">
        <f aca="false">IF(OR(CU19="",CU18="",CU18=0),"",CU19/CU18-1)</f>
        <v/>
      </c>
      <c r="CW34" s="70" t="str">
        <f aca="false">IF(OR(CW19="",CW18=""),"",CW19-CW18)</f>
        <v/>
      </c>
      <c r="CX34" s="71" t="str">
        <f aca="false">IF(OR(CW19="",CW18="",CW18=0),"",CW19/CW18-1)</f>
        <v/>
      </c>
      <c r="CY34" s="70" t="str">
        <f aca="false">IF(OR(CY19="",CY18=""),"",CY19-CY18)</f>
        <v/>
      </c>
      <c r="CZ34" s="71" t="str">
        <f aca="false">IF(OR(CY19="",CY18="",CY18=0),"",CY19/CY18-1)</f>
        <v/>
      </c>
      <c r="DA34" s="70" t="str">
        <f aca="false">IF(OR(DA19="",DA18=""),"",DA19-DA18)</f>
        <v/>
      </c>
      <c r="DB34" s="71" t="str">
        <f aca="false">IF(OR(DA19="",DA18="",DA18=0),"",DA19/DA18-1)</f>
        <v/>
      </c>
      <c r="DC34" s="70" t="str">
        <f aca="false">IF(OR(DC19="",DC18=""),"",DC19-DC18)</f>
        <v/>
      </c>
      <c r="DD34" s="71" t="str">
        <f aca="false">IF(OR(DC19="",DC18="",DC18=0),"",DC19/DC18-1)</f>
        <v/>
      </c>
      <c r="DE34" s="70" t="str">
        <f aca="false">IF(OR(DE19="",DE18=""),"",DE19-DE18)</f>
        <v/>
      </c>
      <c r="DF34" s="71" t="str">
        <f aca="false">IF(OR(DE19="",DE18="",DE18=0),"",DE19/DE18-1)</f>
        <v/>
      </c>
      <c r="DG34" s="70" t="str">
        <f aca="false">IF(OR(DG19="",DG18=""),"",DG19-DG18)</f>
        <v/>
      </c>
      <c r="DH34" s="71" t="str">
        <f aca="false">IF(OR(DG19="",DG18="",DG18=0),"",DG19/DG18-1)</f>
        <v/>
      </c>
      <c r="DI34" s="70" t="str">
        <f aca="false">IF(OR(DI19="",DI18=""),"",DI19-DI18)</f>
        <v/>
      </c>
      <c r="DJ34" s="71" t="str">
        <f aca="false">IF(OR(DI19="",DI18="",DI18=0),"",DI19/DI18-1)</f>
        <v/>
      </c>
      <c r="DK34" s="70" t="str">
        <f aca="false">IF(OR(DK19="",DK18=""),"",DK19-DK18)</f>
        <v/>
      </c>
      <c r="DL34" s="71" t="str">
        <f aca="false">IF(OR(DK19="",DK18="",DK18=0),"",DK19/DK18-1)</f>
        <v/>
      </c>
      <c r="DM34" s="70" t="str">
        <f aca="false">IF(OR(DM19="",DM18=""),"",DM19-DM18)</f>
        <v/>
      </c>
      <c r="DN34" s="71" t="str">
        <f aca="false">IF(OR(DM19="",DM18="",DM18=0),"",DM19/DM18-1)</f>
        <v/>
      </c>
      <c r="DO34" s="70" t="str">
        <f aca="false">IF(OR(DO19="",DO18=""),"",DO19-DO18)</f>
        <v/>
      </c>
      <c r="DP34" s="71" t="str">
        <f aca="false">IF(OR(DO19="",DO18="",DO18=0),"",DO19/DO18-1)</f>
        <v/>
      </c>
      <c r="DQ34" s="70" t="str">
        <f aca="false">IF(OR(DQ19="",DQ18=""),"",DQ19-DQ18)</f>
        <v/>
      </c>
      <c r="DR34" s="71" t="str">
        <f aca="false">IF(OR(DQ19="",DQ18="",DQ18=0),"",DQ19/DQ18-1)</f>
        <v/>
      </c>
      <c r="DS34" s="70" t="str">
        <f aca="false">IF(OR(DS19="",DS18=""),"",DS19-DS18)</f>
        <v/>
      </c>
      <c r="DT34" s="71" t="str">
        <f aca="false">IF(OR(DS19="",DS18="",DS18=0),"",DS19/DS18-1)</f>
        <v/>
      </c>
      <c r="DU34" s="70" t="str">
        <f aca="false">IF(OR(DU19="",DU18=""),"",DU19-DU18)</f>
        <v/>
      </c>
      <c r="DV34" s="71" t="str">
        <f aca="false">IF(OR(DU19="",DU18="",DU18=0),"",DU19/DU18-1)</f>
        <v/>
      </c>
      <c r="DW34" s="70" t="str">
        <f aca="false">IF(OR(DW19="",DW18=""),"",DW19-DW18)</f>
        <v/>
      </c>
      <c r="DX34" s="71" t="str">
        <f aca="false">IF(OR(DW19="",DW18="",DW18=0),"",DW19/DW18-1)</f>
        <v/>
      </c>
      <c r="DY34" s="70" t="str">
        <f aca="false">IF(OR(DY19="",DY18=""),"",DY19-DY18)</f>
        <v/>
      </c>
      <c r="DZ34" s="71" t="str">
        <f aca="false">IF(OR(DY19="",DY18="",DY18=0),"",DY19/DY18-1)</f>
        <v/>
      </c>
      <c r="EA34" s="70" t="str">
        <f aca="false">IF(OR(EA19="",EA18=""),"",EA19-EA18)</f>
        <v/>
      </c>
      <c r="EB34" s="71" t="str">
        <f aca="false">IF(OR(EA19="",EA18="",EA18=0),"",EA19/EA18-1)</f>
        <v/>
      </c>
      <c r="EC34" s="70" t="str">
        <f aca="false">IF(OR(EC19="",EC18=""),"",EC19-EC18)</f>
        <v/>
      </c>
      <c r="ED34" s="71" t="str">
        <f aca="false">IF(OR(EC19="",EC18="",EC18=0),"",EC19/EC18-1)</f>
        <v/>
      </c>
      <c r="EE34" s="70" t="str">
        <f aca="false">IF(OR(EE19="",EE18=""),"",EE19-EE18)</f>
        <v/>
      </c>
      <c r="EF34" s="71" t="str">
        <f aca="false">IF(OR(EE19="",EE18="",EE18=0),"",EE19/EE18-1)</f>
        <v/>
      </c>
      <c r="EG34" s="70" t="str">
        <f aca="false">IF(OR(EG19="",EG18=""),"",EG19-EG18)</f>
        <v/>
      </c>
      <c r="EH34" s="71" t="str">
        <f aca="false">IF(OR(EG19="",EG18="",EG18=0),"",EG19/EG18-1)</f>
        <v/>
      </c>
      <c r="EI34" s="70" t="str">
        <f aca="false">IF(OR(EI19="",EI18=""),"",EI19-EI18)</f>
        <v/>
      </c>
      <c r="EJ34" s="71" t="str">
        <f aca="false">IF(OR(EI19="",EI18="",EI18=0),"",EI19/EI18-1)</f>
        <v/>
      </c>
      <c r="EK34" s="70" t="str">
        <f aca="false">IF(OR(EK19="",EK18=""),"",EK19-EK18)</f>
        <v/>
      </c>
      <c r="EL34" s="71" t="str">
        <f aca="false">IF(OR(EK19="",EK18="",EK18=0),"",EK19/EK18-1)</f>
        <v/>
      </c>
      <c r="EM34" s="70" t="str">
        <f aca="false">IF(OR(EM19="",EM18=""),"",EM19-EM18)</f>
        <v/>
      </c>
      <c r="EN34" s="71" t="str">
        <f aca="false">IF(OR(EM19="",EM18="",EM18=0),"",EM19/EM18-1)</f>
        <v/>
      </c>
      <c r="EO34" s="70" t="str">
        <f aca="false">IF(OR(EO19="",EO18=""),"",EO19-EO18)</f>
        <v/>
      </c>
      <c r="EP34" s="71" t="str">
        <f aca="false">IF(OR(EO19="",EO18="",EO18=0),"",EO19/EO18-1)</f>
        <v/>
      </c>
      <c r="EQ34" s="70" t="str">
        <f aca="false">IF(OR(EQ19="",EQ18=""),"",EQ19-EQ18)</f>
        <v/>
      </c>
      <c r="ER34" s="71" t="str">
        <f aca="false">IF(OR(EQ19="",EQ18="",EQ18=0),"",EQ19/EQ18-1)</f>
        <v/>
      </c>
      <c r="ES34" s="70" t="str">
        <f aca="false">IF(OR(ES19="",ES18=""),"",ES19-ES18)</f>
        <v/>
      </c>
      <c r="ET34" s="71" t="str">
        <f aca="false">IF(OR(ES19="",ES18="",ES18=0),"",ES19/ES18-1)</f>
        <v/>
      </c>
      <c r="EU34" s="70" t="str">
        <f aca="false">IF(OR(EU19="",EU18=""),"",EU19-EU18)</f>
        <v/>
      </c>
      <c r="EV34" s="71" t="str">
        <f aca="false">IF(OR(EU19="",EU18="",EU18=0),"",EU19/EU18-1)</f>
        <v/>
      </c>
      <c r="EW34" s="70" t="str">
        <f aca="false">IF(OR(EW19="",EW18=""),"",EW19-EW18)</f>
        <v/>
      </c>
      <c r="EX34" s="71" t="str">
        <f aca="false">IF(OR(EW19="",EW18="",EW18=0),"",EW19/EW18-1)</f>
        <v/>
      </c>
      <c r="EY34" s="70" t="str">
        <f aca="false">IF(OR(EY19="",EY18=""),"",EY19-EY18)</f>
        <v/>
      </c>
      <c r="EZ34" s="71" t="str">
        <f aca="false">IF(OR(EY19="",EY18="",EY18=0),"",EY19/EY18-1)</f>
        <v/>
      </c>
      <c r="FA34" s="70" t="str">
        <f aca="false">IF(OR(FA19="",FA18=""),"",FA19-FA18)</f>
        <v/>
      </c>
      <c r="FB34" s="71" t="str">
        <f aca="false">IF(OR(FA19="",FA18="",FA18=0),"",FA19/FA18-1)</f>
        <v/>
      </c>
      <c r="FC34" s="70" t="str">
        <f aca="false">IF(OR(FC19="",FC18=""),"",FC19-FC18)</f>
        <v/>
      </c>
      <c r="FD34" s="71" t="str">
        <f aca="false">IF(OR(FC19="",FC18="",FC18=0),"",FC19/FC18-1)</f>
        <v/>
      </c>
      <c r="FE34" s="70" t="str">
        <f aca="false">IF(OR(FE19="",FE18=""),"",FE19-FE18)</f>
        <v/>
      </c>
      <c r="FF34" s="71" t="str">
        <f aca="false">IF(OR(FE19="",FE18="",FE18=0),"",FE19/FE18-1)</f>
        <v/>
      </c>
      <c r="FG34" s="70" t="str">
        <f aca="false">IF(OR(FG19="",FG18=""),"",FG19-FG18)</f>
        <v/>
      </c>
      <c r="FH34" s="71" t="str">
        <f aca="false">IF(OR(FG19="",FG18="",FG18=0),"",FG19/FG18-1)</f>
        <v/>
      </c>
      <c r="FI34" s="70" t="str">
        <f aca="false">IF(OR(FI19="",FI18=""),"",FI19-FI18)</f>
        <v/>
      </c>
      <c r="FJ34" s="71" t="str">
        <f aca="false">IF(OR(FI19="",FI18="",FI18=0),"",FI19/FI18-1)</f>
        <v/>
      </c>
      <c r="FK34" s="70" t="str">
        <f aca="false">IF(OR(FK19="",FK18=""),"",FK19-FK18)</f>
        <v/>
      </c>
      <c r="FL34" s="71" t="str">
        <f aca="false">IF(OR(FK19="",FK18="",FK18=0),"",FK19/FK18-1)</f>
        <v/>
      </c>
      <c r="FM34" s="70" t="str">
        <f aca="false">IF(OR(FM19="",FM18=""),"",FM19-FM18)</f>
        <v/>
      </c>
      <c r="FN34" s="71" t="str">
        <f aca="false">IF(OR(FM19="",FM18="",FM18=0),"",FM19/FM18-1)</f>
        <v/>
      </c>
      <c r="FO34" s="70" t="str">
        <f aca="false">IF(OR(FO19="",FO18=""),"",FO19-FO18)</f>
        <v/>
      </c>
      <c r="FP34" s="71" t="str">
        <f aca="false">IF(OR(FO19="",FO18="",FO18=0),"",FO19/FO18-1)</f>
        <v/>
      </c>
      <c r="FQ34" s="70" t="str">
        <f aca="false">IF(OR(FQ19="",FQ18=""),"",FQ19-FQ18)</f>
        <v/>
      </c>
      <c r="FR34" s="71" t="str">
        <f aca="false">IF(OR(FQ19="",FQ18="",FQ18=0),"",FQ19/FQ18-1)</f>
        <v/>
      </c>
      <c r="FS34" s="70" t="str">
        <f aca="false">IF(OR(FS19="",FS18=""),"",FS19-FS18)</f>
        <v/>
      </c>
      <c r="FT34" s="71" t="str">
        <f aca="false">IF(OR(FS19="",FS18="",FS18=0),"",FS19/FS18-1)</f>
        <v/>
      </c>
      <c r="FU34" s="70" t="str">
        <f aca="false">IF(OR(FU19="",FU18=""),"",FU19-FU18)</f>
        <v/>
      </c>
      <c r="FV34" s="71" t="str">
        <f aca="false">IF(OR(FU19="",FU18="",FU18=0),"",FU19/FU18-1)</f>
        <v/>
      </c>
      <c r="FW34" s="70" t="str">
        <f aca="false">IF(OR(FW19="",FW18=""),"",FW19-FW18)</f>
        <v/>
      </c>
      <c r="FX34" s="71" t="str">
        <f aca="false">IF(OR(FW19="",FW18="",FW18=0),"",FW19/FW18-1)</f>
        <v/>
      </c>
      <c r="FY34" s="70" t="str">
        <f aca="false">IF(OR(FY19="",FY18=""),"",FY19-FY18)</f>
        <v/>
      </c>
      <c r="FZ34" s="71" t="str">
        <f aca="false">IF(OR(FY19="",FY18="",FY18=0),"",FY19/FY18-1)</f>
        <v/>
      </c>
      <c r="GA34" s="70" t="str">
        <f aca="false">IF(OR(GA19="",GA18=""),"",GA19-GA18)</f>
        <v/>
      </c>
      <c r="GB34" s="71" t="str">
        <f aca="false">IF(OR(GA19="",GA18="",GA18=0),"",GA19/GA18-1)</f>
        <v/>
      </c>
      <c r="GC34" s="70" t="str">
        <f aca="false">IF(OR(GC19="",GC18=""),"",GC19-GC18)</f>
        <v/>
      </c>
      <c r="GD34" s="71" t="str">
        <f aca="false">IF(OR(GC19="",GC18="",GC18=0),"",GC19/GC18-1)</f>
        <v/>
      </c>
      <c r="GE34" s="70" t="str">
        <f aca="false">IF(OR(GE19="",GE18=""),"",GE19-GE18)</f>
        <v/>
      </c>
      <c r="GF34" s="71" t="str">
        <f aca="false">IF(OR(GE19="",GE18="",GE18=0),"",GE19/GE18-1)</f>
        <v/>
      </c>
      <c r="GG34" s="70" t="str">
        <f aca="false">IF(OR(GG19="",GG18=""),"",GG19-GG18)</f>
        <v/>
      </c>
      <c r="GH34" s="71" t="str">
        <f aca="false">IF(OR(GG19="",GG18="",GG18=0),"",GG19/GG18-1)</f>
        <v/>
      </c>
      <c r="GI34" s="70" t="str">
        <f aca="false">IF(OR(GI19="",GI18=""),"",GI19-GI18)</f>
        <v/>
      </c>
      <c r="GJ34" s="71" t="str">
        <f aca="false">IF(OR(GI19="",GI18="",GI18=0),"",GI19/GI18-1)</f>
        <v/>
      </c>
      <c r="GK34" s="70" t="str">
        <f aca="false">IF(OR(GK19="",GK18=""),"",GK19-GK18)</f>
        <v/>
      </c>
      <c r="GL34" s="71" t="str">
        <f aca="false">IF(OR(GK19="",GK18="",GK18=0),"",GK19/GK18-1)</f>
        <v/>
      </c>
      <c r="GM34" s="70" t="str">
        <f aca="false">IF(OR(GM19="",GM18=""),"",GM19-GM18)</f>
        <v/>
      </c>
      <c r="GN34" s="71" t="str">
        <f aca="false">IF(OR(GM19="",GM18="",GM18=0),"",GM19/GM18-1)</f>
        <v/>
      </c>
      <c r="GO34" s="70" t="str">
        <f aca="false">IF(OR(GO19="",GO18=""),"",GO19-GO18)</f>
        <v/>
      </c>
      <c r="GP34" s="71" t="str">
        <f aca="false">IF(OR(GO19="",GO18="",GO18=0),"",GO19/GO18-1)</f>
        <v/>
      </c>
      <c r="GQ34" s="70" t="str">
        <f aca="false">IF(OR(GQ19="",GQ18=""),"",GQ19-GQ18)</f>
        <v/>
      </c>
      <c r="GR34" s="71" t="str">
        <f aca="false">IF(OR(GQ19="",GQ18="",GQ18=0),"",GQ19/GQ18-1)</f>
        <v/>
      </c>
      <c r="GS34" s="70" t="str">
        <f aca="false">IF(OR(GS19="",GS18=""),"",GS19-GS18)</f>
        <v/>
      </c>
      <c r="GT34" s="71" t="str">
        <f aca="false">IF(OR(GS19="",GS18="",GS18=0),"",GS19/GS18-1)</f>
        <v/>
      </c>
      <c r="GU34" s="70" t="str">
        <f aca="false">IF(OR(GU19="",GU18=""),"",GU19-GU18)</f>
        <v/>
      </c>
      <c r="GV34" s="71" t="str">
        <f aca="false">IF(OR(GU19="",GU18="",GU18=0),"",GU19/GU18-1)</f>
        <v/>
      </c>
      <c r="GW34" s="70" t="str">
        <f aca="false">IF(OR(GW19="",GW18=""),"",GW19-GW18)</f>
        <v/>
      </c>
      <c r="GX34" s="71" t="str">
        <f aca="false">IF(OR(GW19="",GW18="",GW18=0),"",GW19/GW18-1)</f>
        <v/>
      </c>
      <c r="GY34" s="70" t="str">
        <f aca="false">IF(OR(GY19="",GY18=""),"",GY19-GY18)</f>
        <v/>
      </c>
      <c r="GZ34" s="71" t="str">
        <f aca="false">IF(OR(GY19="",GY18="",GY18=0),"",GY19/GY18-1)</f>
        <v/>
      </c>
    </row>
    <row r="35" customFormat="false" ht="15" hidden="false" customHeight="false" outlineLevel="0" collapsed="false">
      <c r="A35" s="64"/>
      <c r="B35" s="65"/>
      <c r="C35" s="65"/>
      <c r="D35" s="66"/>
      <c r="E35" s="67"/>
      <c r="F35" s="11" t="s">
        <v>114</v>
      </c>
      <c r="H35" s="69" t="str">
        <f aca="false">IF(OR('Довідник категорій'!B13="",'Довідник категорій'!B12=""),"",'Довідник категорій'!B13&amp;"  ↔  "&amp;'Довідник категорій'!B12)</f>
        <v/>
      </c>
      <c r="I35" s="70" t="str">
        <f aca="false">IF(OR(I20="",I19=""),"",I20-I19)</f>
        <v/>
      </c>
      <c r="J35" s="71" t="str">
        <f aca="false">IF(OR(I20="",I19="",I19=0),"",I20/I19-1)</f>
        <v/>
      </c>
      <c r="K35" s="70" t="str">
        <f aca="false">IF(OR(K20="",K19=""),"",K20-K19)</f>
        <v/>
      </c>
      <c r="L35" s="71" t="str">
        <f aca="false">IF(OR(K20="",K19="",K19=0),"",K20/K19-1)</f>
        <v/>
      </c>
      <c r="M35" s="70" t="str">
        <f aca="false">IF(OR(M20="",M19=""),"",M20-M19)</f>
        <v/>
      </c>
      <c r="N35" s="71" t="str">
        <f aca="false">IF(OR(M20="",M19="",M19=0),"",M20/M19-1)</f>
        <v/>
      </c>
      <c r="O35" s="70" t="str">
        <f aca="false">IF(OR(O20="",O19=""),"",O20-O19)</f>
        <v/>
      </c>
      <c r="P35" s="71" t="str">
        <f aca="false">IF(OR(O20="",O19="",O19=0),"",O20/O19-1)</f>
        <v/>
      </c>
      <c r="Q35" s="70" t="str">
        <f aca="false">IF(OR(Q20="",Q19=""),"",Q20-Q19)</f>
        <v/>
      </c>
      <c r="R35" s="71" t="str">
        <f aca="false">IF(OR(Q20="",Q19="",Q19=0),"",Q20/Q19-1)</f>
        <v/>
      </c>
      <c r="S35" s="70" t="str">
        <f aca="false">IF(OR(S20="",S19=""),"",S20-S19)</f>
        <v/>
      </c>
      <c r="T35" s="71" t="str">
        <f aca="false">IF(OR(S20="",S19="",S19=0),"",S20/S19-1)</f>
        <v/>
      </c>
      <c r="U35" s="70" t="str">
        <f aca="false">IF(OR(U20="",U19=""),"",U20-U19)</f>
        <v/>
      </c>
      <c r="V35" s="71" t="str">
        <f aca="false">IF(OR(U20="",U19="",U19=0),"",U20/U19-1)</f>
        <v/>
      </c>
      <c r="W35" s="70" t="str">
        <f aca="false">IF(OR(W20="",W19=""),"",W20-W19)</f>
        <v/>
      </c>
      <c r="X35" s="71" t="str">
        <f aca="false">IF(OR(W20="",W19="",W19=0),"",W20/W19-1)</f>
        <v/>
      </c>
      <c r="Y35" s="70" t="str">
        <f aca="false">IF(OR(Y20="",Y19=""),"",Y20-Y19)</f>
        <v/>
      </c>
      <c r="Z35" s="71" t="str">
        <f aca="false">IF(OR(Y20="",Y19="",Y19=0),"",Y20/Y19-1)</f>
        <v/>
      </c>
      <c r="AA35" s="70" t="str">
        <f aca="false">IF(OR(AA20="",AA19=""),"",AA20-AA19)</f>
        <v/>
      </c>
      <c r="AB35" s="71" t="str">
        <f aca="false">IF(OR(AA20="",AA19="",AA19=0),"",AA20/AA19-1)</f>
        <v/>
      </c>
      <c r="AC35" s="70" t="str">
        <f aca="false">IF(OR(AC20="",AC19=""),"",AC20-AC19)</f>
        <v/>
      </c>
      <c r="AD35" s="71" t="str">
        <f aca="false">IF(OR(AC20="",AC19="",AC19=0),"",AC20/AC19-1)</f>
        <v/>
      </c>
      <c r="AE35" s="70" t="str">
        <f aca="false">IF(OR(AE20="",AE19=""),"",AE20-AE19)</f>
        <v/>
      </c>
      <c r="AF35" s="71" t="str">
        <f aca="false">IF(OR(AE20="",AE19="",AE19=0),"",AE20/AE19-1)</f>
        <v/>
      </c>
      <c r="AG35" s="70" t="str">
        <f aca="false">IF(OR(AG20="",AG19=""),"",AG20-AG19)</f>
        <v/>
      </c>
      <c r="AH35" s="71" t="str">
        <f aca="false">IF(OR(AG20="",AG19="",AG19=0),"",AG20/AG19-1)</f>
        <v/>
      </c>
      <c r="AI35" s="70" t="str">
        <f aca="false">IF(OR(AI20="",AI19=""),"",AI20-AI19)</f>
        <v/>
      </c>
      <c r="AJ35" s="71" t="str">
        <f aca="false">IF(OR(AI20="",AI19="",AI19=0),"",AI20/AI19-1)</f>
        <v/>
      </c>
      <c r="AK35" s="70" t="str">
        <f aca="false">IF(OR(AK20="",AK19=""),"",AK20-AK19)</f>
        <v/>
      </c>
      <c r="AL35" s="71" t="str">
        <f aca="false">IF(OR(AK20="",AK19="",AK19=0),"",AK20/AK19-1)</f>
        <v/>
      </c>
      <c r="AM35" s="70" t="str">
        <f aca="false">IF(OR(AM20="",AM19=""),"",AM20-AM19)</f>
        <v/>
      </c>
      <c r="AN35" s="71" t="str">
        <f aca="false">IF(OR(AM20="",AM19="",AM19=0),"",AM20/AM19-1)</f>
        <v/>
      </c>
      <c r="AO35" s="70" t="str">
        <f aca="false">IF(OR(AO20="",AO19=""),"",AO20-AO19)</f>
        <v/>
      </c>
      <c r="AP35" s="71" t="str">
        <f aca="false">IF(OR(AO20="",AO19="",AO19=0),"",AO20/AO19-1)</f>
        <v/>
      </c>
      <c r="AQ35" s="70" t="str">
        <f aca="false">IF(OR(AQ20="",AQ19=""),"",AQ20-AQ19)</f>
        <v/>
      </c>
      <c r="AR35" s="71" t="str">
        <f aca="false">IF(OR(AQ20="",AQ19="",AQ19=0),"",AQ20/AQ19-1)</f>
        <v/>
      </c>
      <c r="AS35" s="70" t="str">
        <f aca="false">IF(OR(AS20="",AS19=""),"",AS20-AS19)</f>
        <v/>
      </c>
      <c r="AT35" s="71" t="str">
        <f aca="false">IF(OR(AS20="",AS19="",AS19=0),"",AS20/AS19-1)</f>
        <v/>
      </c>
      <c r="AU35" s="70" t="str">
        <f aca="false">IF(OR(AU20="",AU19=""),"",AU20-AU19)</f>
        <v/>
      </c>
      <c r="AV35" s="71" t="str">
        <f aca="false">IF(OR(AU20="",AU19="",AU19=0),"",AU20/AU19-1)</f>
        <v/>
      </c>
      <c r="AW35" s="70" t="str">
        <f aca="false">IF(OR(AW20="",AW19=""),"",AW20-AW19)</f>
        <v/>
      </c>
      <c r="AX35" s="71" t="str">
        <f aca="false">IF(OR(AW20="",AW19="",AW19=0),"",AW20/AW19-1)</f>
        <v/>
      </c>
      <c r="AY35" s="70" t="str">
        <f aca="false">IF(OR(AY20="",AY19=""),"",AY20-AY19)</f>
        <v/>
      </c>
      <c r="AZ35" s="71" t="str">
        <f aca="false">IF(OR(AY20="",AY19="",AY19=0),"",AY20/AY19-1)</f>
        <v/>
      </c>
      <c r="BA35" s="70" t="str">
        <f aca="false">IF(OR(BA20="",BA19=""),"",BA20-BA19)</f>
        <v/>
      </c>
      <c r="BB35" s="71" t="str">
        <f aca="false">IF(OR(BA20="",BA19="",BA19=0),"",BA20/BA19-1)</f>
        <v/>
      </c>
      <c r="BC35" s="70" t="str">
        <f aca="false">IF(OR(BC20="",BC19=""),"",BC20-BC19)</f>
        <v/>
      </c>
      <c r="BD35" s="71" t="str">
        <f aca="false">IF(OR(BC20="",BC19="",BC19=0),"",BC20/BC19-1)</f>
        <v/>
      </c>
      <c r="BE35" s="70" t="str">
        <f aca="false">IF(OR(BE20="",BE19=""),"",BE20-BE19)</f>
        <v/>
      </c>
      <c r="BF35" s="71" t="str">
        <f aca="false">IF(OR(BE20="",BE19="",BE19=0),"",BE20/BE19-1)</f>
        <v/>
      </c>
      <c r="BG35" s="70" t="str">
        <f aca="false">IF(OR(BG20="",BG19=""),"",BG20-BG19)</f>
        <v/>
      </c>
      <c r="BH35" s="71" t="str">
        <f aca="false">IF(OR(BG20="",BG19="",BG19=0),"",BG20/BG19-1)</f>
        <v/>
      </c>
      <c r="BI35" s="70" t="str">
        <f aca="false">IF(OR(BI20="",BI19=""),"",BI20-BI19)</f>
        <v/>
      </c>
      <c r="BJ35" s="71" t="str">
        <f aca="false">IF(OR(BI20="",BI19="",BI19=0),"",BI20/BI19-1)</f>
        <v/>
      </c>
      <c r="BK35" s="70" t="str">
        <f aca="false">IF(OR(BK20="",BK19=""),"",BK20-BK19)</f>
        <v/>
      </c>
      <c r="BL35" s="71" t="str">
        <f aca="false">IF(OR(BK20="",BK19="",BK19=0),"",BK20/BK19-1)</f>
        <v/>
      </c>
      <c r="BM35" s="70" t="str">
        <f aca="false">IF(OR(BM20="",BM19=""),"",BM20-BM19)</f>
        <v/>
      </c>
      <c r="BN35" s="71" t="str">
        <f aca="false">IF(OR(BM20="",BM19="",BM19=0),"",BM20/BM19-1)</f>
        <v/>
      </c>
      <c r="BO35" s="70" t="str">
        <f aca="false">IF(OR(BO20="",BO19=""),"",BO20-BO19)</f>
        <v/>
      </c>
      <c r="BP35" s="71" t="str">
        <f aca="false">IF(OR(BO20="",BO19="",BO19=0),"",BO20/BO19-1)</f>
        <v/>
      </c>
      <c r="BQ35" s="70" t="str">
        <f aca="false">IF(OR(BQ20="",BQ19=""),"",BQ20-BQ19)</f>
        <v/>
      </c>
      <c r="BR35" s="71" t="str">
        <f aca="false">IF(OR(BQ20="",BQ19="",BQ19=0),"",BQ20/BQ19-1)</f>
        <v/>
      </c>
      <c r="BS35" s="70" t="str">
        <f aca="false">IF(OR(BS20="",BS19=""),"",BS20-BS19)</f>
        <v/>
      </c>
      <c r="BT35" s="71" t="str">
        <f aca="false">IF(OR(BS20="",BS19="",BS19=0),"",BS20/BS19-1)</f>
        <v/>
      </c>
      <c r="BU35" s="70" t="str">
        <f aca="false">IF(OR(BU20="",BU19=""),"",BU20-BU19)</f>
        <v/>
      </c>
      <c r="BV35" s="71" t="str">
        <f aca="false">IF(OR(BU20="",BU19="",BU19=0),"",BU20/BU19-1)</f>
        <v/>
      </c>
      <c r="BW35" s="70" t="str">
        <f aca="false">IF(OR(BW20="",BW19=""),"",BW20-BW19)</f>
        <v/>
      </c>
      <c r="BX35" s="71" t="str">
        <f aca="false">IF(OR(BW20="",BW19="",BW19=0),"",BW20/BW19-1)</f>
        <v/>
      </c>
      <c r="BY35" s="70" t="str">
        <f aca="false">IF(OR(BY20="",BY19=""),"",BY20-BY19)</f>
        <v/>
      </c>
      <c r="BZ35" s="71" t="str">
        <f aca="false">IF(OR(BY20="",BY19="",BY19=0),"",BY20/BY19-1)</f>
        <v/>
      </c>
      <c r="CA35" s="70" t="str">
        <f aca="false">IF(OR(CA20="",CA19=""),"",CA20-CA19)</f>
        <v/>
      </c>
      <c r="CB35" s="71" t="str">
        <f aca="false">IF(OR(CA20="",CA19="",CA19=0),"",CA20/CA19-1)</f>
        <v/>
      </c>
      <c r="CC35" s="70" t="str">
        <f aca="false">IF(OR(CC20="",CC19=""),"",CC20-CC19)</f>
        <v/>
      </c>
      <c r="CD35" s="71" t="str">
        <f aca="false">IF(OR(CC20="",CC19="",CC19=0),"",CC20/CC19-1)</f>
        <v/>
      </c>
      <c r="CE35" s="70" t="str">
        <f aca="false">IF(OR(CE20="",CE19=""),"",CE20-CE19)</f>
        <v/>
      </c>
      <c r="CF35" s="71" t="str">
        <f aca="false">IF(OR(CE20="",CE19="",CE19=0),"",CE20/CE19-1)</f>
        <v/>
      </c>
      <c r="CG35" s="70" t="str">
        <f aca="false">IF(OR(CG20="",CG19=""),"",CG20-CG19)</f>
        <v/>
      </c>
      <c r="CH35" s="71" t="str">
        <f aca="false">IF(OR(CG20="",CG19="",CG19=0),"",CG20/CG19-1)</f>
        <v/>
      </c>
      <c r="CI35" s="70" t="str">
        <f aca="false">IF(OR(CI20="",CI19=""),"",CI20-CI19)</f>
        <v/>
      </c>
      <c r="CJ35" s="71" t="str">
        <f aca="false">IF(OR(CI20="",CI19="",CI19=0),"",CI20/CI19-1)</f>
        <v/>
      </c>
      <c r="CK35" s="70" t="str">
        <f aca="false">IF(OR(CK20="",CK19=""),"",CK20-CK19)</f>
        <v/>
      </c>
      <c r="CL35" s="71" t="str">
        <f aca="false">IF(OR(CK20="",CK19="",CK19=0),"",CK20/CK19-1)</f>
        <v/>
      </c>
      <c r="CM35" s="70" t="str">
        <f aca="false">IF(OR(CM20="",CM19=""),"",CM20-CM19)</f>
        <v/>
      </c>
      <c r="CN35" s="71" t="str">
        <f aca="false">IF(OR(CM20="",CM19="",CM19=0),"",CM20/CM19-1)</f>
        <v/>
      </c>
      <c r="CO35" s="70" t="str">
        <f aca="false">IF(OR(CO20="",CO19=""),"",CO20-CO19)</f>
        <v/>
      </c>
      <c r="CP35" s="71" t="str">
        <f aca="false">IF(OR(CO20="",CO19="",CO19=0),"",CO20/CO19-1)</f>
        <v/>
      </c>
      <c r="CQ35" s="70" t="str">
        <f aca="false">IF(OR(CQ20="",CQ19=""),"",CQ20-CQ19)</f>
        <v/>
      </c>
      <c r="CR35" s="71" t="str">
        <f aca="false">IF(OR(CQ20="",CQ19="",CQ19=0),"",CQ20/CQ19-1)</f>
        <v/>
      </c>
      <c r="CS35" s="70" t="str">
        <f aca="false">IF(OR(CS20="",CS19=""),"",CS20-CS19)</f>
        <v/>
      </c>
      <c r="CT35" s="71" t="str">
        <f aca="false">IF(OR(CS20="",CS19="",CS19=0),"",CS20/CS19-1)</f>
        <v/>
      </c>
      <c r="CU35" s="70" t="str">
        <f aca="false">IF(OR(CU20="",CU19=""),"",CU20-CU19)</f>
        <v/>
      </c>
      <c r="CV35" s="71" t="str">
        <f aca="false">IF(OR(CU20="",CU19="",CU19=0),"",CU20/CU19-1)</f>
        <v/>
      </c>
      <c r="CW35" s="70" t="str">
        <f aca="false">IF(OR(CW20="",CW19=""),"",CW20-CW19)</f>
        <v/>
      </c>
      <c r="CX35" s="71" t="str">
        <f aca="false">IF(OR(CW20="",CW19="",CW19=0),"",CW20/CW19-1)</f>
        <v/>
      </c>
      <c r="CY35" s="70" t="str">
        <f aca="false">IF(OR(CY20="",CY19=""),"",CY20-CY19)</f>
        <v/>
      </c>
      <c r="CZ35" s="71" t="str">
        <f aca="false">IF(OR(CY20="",CY19="",CY19=0),"",CY20/CY19-1)</f>
        <v/>
      </c>
      <c r="DA35" s="70" t="str">
        <f aca="false">IF(OR(DA20="",DA19=""),"",DA20-DA19)</f>
        <v/>
      </c>
      <c r="DB35" s="71" t="str">
        <f aca="false">IF(OR(DA20="",DA19="",DA19=0),"",DA20/DA19-1)</f>
        <v/>
      </c>
      <c r="DC35" s="70" t="str">
        <f aca="false">IF(OR(DC20="",DC19=""),"",DC20-DC19)</f>
        <v/>
      </c>
      <c r="DD35" s="71" t="str">
        <f aca="false">IF(OR(DC20="",DC19="",DC19=0),"",DC20/DC19-1)</f>
        <v/>
      </c>
      <c r="DE35" s="70" t="str">
        <f aca="false">IF(OR(DE20="",DE19=""),"",DE20-DE19)</f>
        <v/>
      </c>
      <c r="DF35" s="71" t="str">
        <f aca="false">IF(OR(DE20="",DE19="",DE19=0),"",DE20/DE19-1)</f>
        <v/>
      </c>
      <c r="DG35" s="70" t="str">
        <f aca="false">IF(OR(DG20="",DG19=""),"",DG20-DG19)</f>
        <v/>
      </c>
      <c r="DH35" s="71" t="str">
        <f aca="false">IF(OR(DG20="",DG19="",DG19=0),"",DG20/DG19-1)</f>
        <v/>
      </c>
      <c r="DI35" s="70" t="str">
        <f aca="false">IF(OR(DI20="",DI19=""),"",DI20-DI19)</f>
        <v/>
      </c>
      <c r="DJ35" s="71" t="str">
        <f aca="false">IF(OR(DI20="",DI19="",DI19=0),"",DI20/DI19-1)</f>
        <v/>
      </c>
      <c r="DK35" s="70" t="str">
        <f aca="false">IF(OR(DK20="",DK19=""),"",DK20-DK19)</f>
        <v/>
      </c>
      <c r="DL35" s="71" t="str">
        <f aca="false">IF(OR(DK20="",DK19="",DK19=0),"",DK20/DK19-1)</f>
        <v/>
      </c>
      <c r="DM35" s="70" t="str">
        <f aca="false">IF(OR(DM20="",DM19=""),"",DM20-DM19)</f>
        <v/>
      </c>
      <c r="DN35" s="71" t="str">
        <f aca="false">IF(OR(DM20="",DM19="",DM19=0),"",DM20/DM19-1)</f>
        <v/>
      </c>
      <c r="DO35" s="70" t="str">
        <f aca="false">IF(OR(DO20="",DO19=""),"",DO20-DO19)</f>
        <v/>
      </c>
      <c r="DP35" s="71" t="str">
        <f aca="false">IF(OR(DO20="",DO19="",DO19=0),"",DO20/DO19-1)</f>
        <v/>
      </c>
      <c r="DQ35" s="70" t="str">
        <f aca="false">IF(OR(DQ20="",DQ19=""),"",DQ20-DQ19)</f>
        <v/>
      </c>
      <c r="DR35" s="71" t="str">
        <f aca="false">IF(OR(DQ20="",DQ19="",DQ19=0),"",DQ20/DQ19-1)</f>
        <v/>
      </c>
      <c r="DS35" s="70" t="str">
        <f aca="false">IF(OR(DS20="",DS19=""),"",DS20-DS19)</f>
        <v/>
      </c>
      <c r="DT35" s="71" t="str">
        <f aca="false">IF(OR(DS20="",DS19="",DS19=0),"",DS20/DS19-1)</f>
        <v/>
      </c>
      <c r="DU35" s="70" t="str">
        <f aca="false">IF(OR(DU20="",DU19=""),"",DU20-DU19)</f>
        <v/>
      </c>
      <c r="DV35" s="71" t="str">
        <f aca="false">IF(OR(DU20="",DU19="",DU19=0),"",DU20/DU19-1)</f>
        <v/>
      </c>
      <c r="DW35" s="70" t="str">
        <f aca="false">IF(OR(DW20="",DW19=""),"",DW20-DW19)</f>
        <v/>
      </c>
      <c r="DX35" s="71" t="str">
        <f aca="false">IF(OR(DW20="",DW19="",DW19=0),"",DW20/DW19-1)</f>
        <v/>
      </c>
      <c r="DY35" s="70" t="str">
        <f aca="false">IF(OR(DY20="",DY19=""),"",DY20-DY19)</f>
        <v/>
      </c>
      <c r="DZ35" s="71" t="str">
        <f aca="false">IF(OR(DY20="",DY19="",DY19=0),"",DY20/DY19-1)</f>
        <v/>
      </c>
      <c r="EA35" s="70" t="str">
        <f aca="false">IF(OR(EA20="",EA19=""),"",EA20-EA19)</f>
        <v/>
      </c>
      <c r="EB35" s="71" t="str">
        <f aca="false">IF(OR(EA20="",EA19="",EA19=0),"",EA20/EA19-1)</f>
        <v/>
      </c>
      <c r="EC35" s="70" t="str">
        <f aca="false">IF(OR(EC20="",EC19=""),"",EC20-EC19)</f>
        <v/>
      </c>
      <c r="ED35" s="71" t="str">
        <f aca="false">IF(OR(EC20="",EC19="",EC19=0),"",EC20/EC19-1)</f>
        <v/>
      </c>
      <c r="EE35" s="70" t="str">
        <f aca="false">IF(OR(EE20="",EE19=""),"",EE20-EE19)</f>
        <v/>
      </c>
      <c r="EF35" s="71" t="str">
        <f aca="false">IF(OR(EE20="",EE19="",EE19=0),"",EE20/EE19-1)</f>
        <v/>
      </c>
      <c r="EG35" s="70" t="str">
        <f aca="false">IF(OR(EG20="",EG19=""),"",EG20-EG19)</f>
        <v/>
      </c>
      <c r="EH35" s="71" t="str">
        <f aca="false">IF(OR(EG20="",EG19="",EG19=0),"",EG20/EG19-1)</f>
        <v/>
      </c>
      <c r="EI35" s="70" t="str">
        <f aca="false">IF(OR(EI20="",EI19=""),"",EI20-EI19)</f>
        <v/>
      </c>
      <c r="EJ35" s="71" t="str">
        <f aca="false">IF(OR(EI20="",EI19="",EI19=0),"",EI20/EI19-1)</f>
        <v/>
      </c>
      <c r="EK35" s="70" t="str">
        <f aca="false">IF(OR(EK20="",EK19=""),"",EK20-EK19)</f>
        <v/>
      </c>
      <c r="EL35" s="71" t="str">
        <f aca="false">IF(OR(EK20="",EK19="",EK19=0),"",EK20/EK19-1)</f>
        <v/>
      </c>
      <c r="EM35" s="70" t="str">
        <f aca="false">IF(OR(EM20="",EM19=""),"",EM20-EM19)</f>
        <v/>
      </c>
      <c r="EN35" s="71" t="str">
        <f aca="false">IF(OR(EM20="",EM19="",EM19=0),"",EM20/EM19-1)</f>
        <v/>
      </c>
      <c r="EO35" s="70" t="str">
        <f aca="false">IF(OR(EO20="",EO19=""),"",EO20-EO19)</f>
        <v/>
      </c>
      <c r="EP35" s="71" t="str">
        <f aca="false">IF(OR(EO20="",EO19="",EO19=0),"",EO20/EO19-1)</f>
        <v/>
      </c>
      <c r="EQ35" s="70" t="str">
        <f aca="false">IF(OR(EQ20="",EQ19=""),"",EQ20-EQ19)</f>
        <v/>
      </c>
      <c r="ER35" s="71" t="str">
        <f aca="false">IF(OR(EQ20="",EQ19="",EQ19=0),"",EQ20/EQ19-1)</f>
        <v/>
      </c>
      <c r="ES35" s="70" t="str">
        <f aca="false">IF(OR(ES20="",ES19=""),"",ES20-ES19)</f>
        <v/>
      </c>
      <c r="ET35" s="71" t="str">
        <f aca="false">IF(OR(ES20="",ES19="",ES19=0),"",ES20/ES19-1)</f>
        <v/>
      </c>
      <c r="EU35" s="70" t="str">
        <f aca="false">IF(OR(EU20="",EU19=""),"",EU20-EU19)</f>
        <v/>
      </c>
      <c r="EV35" s="71" t="str">
        <f aca="false">IF(OR(EU20="",EU19="",EU19=0),"",EU20/EU19-1)</f>
        <v/>
      </c>
      <c r="EW35" s="70" t="str">
        <f aca="false">IF(OR(EW20="",EW19=""),"",EW20-EW19)</f>
        <v/>
      </c>
      <c r="EX35" s="71" t="str">
        <f aca="false">IF(OR(EW20="",EW19="",EW19=0),"",EW20/EW19-1)</f>
        <v/>
      </c>
      <c r="EY35" s="70" t="str">
        <f aca="false">IF(OR(EY20="",EY19=""),"",EY20-EY19)</f>
        <v/>
      </c>
      <c r="EZ35" s="71" t="str">
        <f aca="false">IF(OR(EY20="",EY19="",EY19=0),"",EY20/EY19-1)</f>
        <v/>
      </c>
      <c r="FA35" s="70" t="str">
        <f aca="false">IF(OR(FA20="",FA19=""),"",FA20-FA19)</f>
        <v/>
      </c>
      <c r="FB35" s="71" t="str">
        <f aca="false">IF(OR(FA20="",FA19="",FA19=0),"",FA20/FA19-1)</f>
        <v/>
      </c>
      <c r="FC35" s="70" t="str">
        <f aca="false">IF(OR(FC20="",FC19=""),"",FC20-FC19)</f>
        <v/>
      </c>
      <c r="FD35" s="71" t="str">
        <f aca="false">IF(OR(FC20="",FC19="",FC19=0),"",FC20/FC19-1)</f>
        <v/>
      </c>
      <c r="FE35" s="70" t="str">
        <f aca="false">IF(OR(FE20="",FE19=""),"",FE20-FE19)</f>
        <v/>
      </c>
      <c r="FF35" s="71" t="str">
        <f aca="false">IF(OR(FE20="",FE19="",FE19=0),"",FE20/FE19-1)</f>
        <v/>
      </c>
      <c r="FG35" s="70" t="str">
        <f aca="false">IF(OR(FG20="",FG19=""),"",FG20-FG19)</f>
        <v/>
      </c>
      <c r="FH35" s="71" t="str">
        <f aca="false">IF(OR(FG20="",FG19="",FG19=0),"",FG20/FG19-1)</f>
        <v/>
      </c>
      <c r="FI35" s="70" t="str">
        <f aca="false">IF(OR(FI20="",FI19=""),"",FI20-FI19)</f>
        <v/>
      </c>
      <c r="FJ35" s="71" t="str">
        <f aca="false">IF(OR(FI20="",FI19="",FI19=0),"",FI20/FI19-1)</f>
        <v/>
      </c>
      <c r="FK35" s="70" t="str">
        <f aca="false">IF(OR(FK20="",FK19=""),"",FK20-FK19)</f>
        <v/>
      </c>
      <c r="FL35" s="71" t="str">
        <f aca="false">IF(OR(FK20="",FK19="",FK19=0),"",FK20/FK19-1)</f>
        <v/>
      </c>
      <c r="FM35" s="70" t="str">
        <f aca="false">IF(OR(FM20="",FM19=""),"",FM20-FM19)</f>
        <v/>
      </c>
      <c r="FN35" s="71" t="str">
        <f aca="false">IF(OR(FM20="",FM19="",FM19=0),"",FM20/FM19-1)</f>
        <v/>
      </c>
      <c r="FO35" s="70" t="str">
        <f aca="false">IF(OR(FO20="",FO19=""),"",FO20-FO19)</f>
        <v/>
      </c>
      <c r="FP35" s="71" t="str">
        <f aca="false">IF(OR(FO20="",FO19="",FO19=0),"",FO20/FO19-1)</f>
        <v/>
      </c>
      <c r="FQ35" s="70" t="str">
        <f aca="false">IF(OR(FQ20="",FQ19=""),"",FQ20-FQ19)</f>
        <v/>
      </c>
      <c r="FR35" s="71" t="str">
        <f aca="false">IF(OR(FQ20="",FQ19="",FQ19=0),"",FQ20/FQ19-1)</f>
        <v/>
      </c>
      <c r="FS35" s="70" t="str">
        <f aca="false">IF(OR(FS20="",FS19=""),"",FS20-FS19)</f>
        <v/>
      </c>
      <c r="FT35" s="71" t="str">
        <f aca="false">IF(OR(FS20="",FS19="",FS19=0),"",FS20/FS19-1)</f>
        <v/>
      </c>
      <c r="FU35" s="70" t="str">
        <f aca="false">IF(OR(FU20="",FU19=""),"",FU20-FU19)</f>
        <v/>
      </c>
      <c r="FV35" s="71" t="str">
        <f aca="false">IF(OR(FU20="",FU19="",FU19=0),"",FU20/FU19-1)</f>
        <v/>
      </c>
      <c r="FW35" s="70" t="str">
        <f aca="false">IF(OR(FW20="",FW19=""),"",FW20-FW19)</f>
        <v/>
      </c>
      <c r="FX35" s="71" t="str">
        <f aca="false">IF(OR(FW20="",FW19="",FW19=0),"",FW20/FW19-1)</f>
        <v/>
      </c>
      <c r="FY35" s="70" t="str">
        <f aca="false">IF(OR(FY20="",FY19=""),"",FY20-FY19)</f>
        <v/>
      </c>
      <c r="FZ35" s="71" t="str">
        <f aca="false">IF(OR(FY20="",FY19="",FY19=0),"",FY20/FY19-1)</f>
        <v/>
      </c>
      <c r="GA35" s="70" t="str">
        <f aca="false">IF(OR(GA20="",GA19=""),"",GA20-GA19)</f>
        <v/>
      </c>
      <c r="GB35" s="71" t="str">
        <f aca="false">IF(OR(GA20="",GA19="",GA19=0),"",GA20/GA19-1)</f>
        <v/>
      </c>
      <c r="GC35" s="70" t="str">
        <f aca="false">IF(OR(GC20="",GC19=""),"",GC20-GC19)</f>
        <v/>
      </c>
      <c r="GD35" s="71" t="str">
        <f aca="false">IF(OR(GC20="",GC19="",GC19=0),"",GC20/GC19-1)</f>
        <v/>
      </c>
      <c r="GE35" s="70" t="str">
        <f aca="false">IF(OR(GE20="",GE19=""),"",GE20-GE19)</f>
        <v/>
      </c>
      <c r="GF35" s="71" t="str">
        <f aca="false">IF(OR(GE20="",GE19="",GE19=0),"",GE20/GE19-1)</f>
        <v/>
      </c>
      <c r="GG35" s="70" t="str">
        <f aca="false">IF(OR(GG20="",GG19=""),"",GG20-GG19)</f>
        <v/>
      </c>
      <c r="GH35" s="71" t="str">
        <f aca="false">IF(OR(GG20="",GG19="",GG19=0),"",GG20/GG19-1)</f>
        <v/>
      </c>
      <c r="GI35" s="70" t="str">
        <f aca="false">IF(OR(GI20="",GI19=""),"",GI20-GI19)</f>
        <v/>
      </c>
      <c r="GJ35" s="71" t="str">
        <f aca="false">IF(OR(GI20="",GI19="",GI19=0),"",GI20/GI19-1)</f>
        <v/>
      </c>
      <c r="GK35" s="70" t="str">
        <f aca="false">IF(OR(GK20="",GK19=""),"",GK20-GK19)</f>
        <v/>
      </c>
      <c r="GL35" s="71" t="str">
        <f aca="false">IF(OR(GK20="",GK19="",GK19=0),"",GK20/GK19-1)</f>
        <v/>
      </c>
      <c r="GM35" s="70" t="str">
        <f aca="false">IF(OR(GM20="",GM19=""),"",GM20-GM19)</f>
        <v/>
      </c>
      <c r="GN35" s="71" t="str">
        <f aca="false">IF(OR(GM20="",GM19="",GM19=0),"",GM20/GM19-1)</f>
        <v/>
      </c>
      <c r="GO35" s="70" t="str">
        <f aca="false">IF(OR(GO20="",GO19=""),"",GO20-GO19)</f>
        <v/>
      </c>
      <c r="GP35" s="71" t="str">
        <f aca="false">IF(OR(GO20="",GO19="",GO19=0),"",GO20/GO19-1)</f>
        <v/>
      </c>
      <c r="GQ35" s="70" t="str">
        <f aca="false">IF(OR(GQ20="",GQ19=""),"",GQ20-GQ19)</f>
        <v/>
      </c>
      <c r="GR35" s="71" t="str">
        <f aca="false">IF(OR(GQ20="",GQ19="",GQ19=0),"",GQ20/GQ19-1)</f>
        <v/>
      </c>
      <c r="GS35" s="70" t="str">
        <f aca="false">IF(OR(GS20="",GS19=""),"",GS20-GS19)</f>
        <v/>
      </c>
      <c r="GT35" s="71" t="str">
        <f aca="false">IF(OR(GS20="",GS19="",GS19=0),"",GS20/GS19-1)</f>
        <v/>
      </c>
      <c r="GU35" s="70" t="str">
        <f aca="false">IF(OR(GU20="",GU19=""),"",GU20-GU19)</f>
        <v/>
      </c>
      <c r="GV35" s="71" t="str">
        <f aca="false">IF(OR(GU20="",GU19="",GU19=0),"",GU20/GU19-1)</f>
        <v/>
      </c>
      <c r="GW35" s="70" t="str">
        <f aca="false">IF(OR(GW20="",GW19=""),"",GW20-GW19)</f>
        <v/>
      </c>
      <c r="GX35" s="71" t="str">
        <f aca="false">IF(OR(GW20="",GW19="",GW19=0),"",GW20/GW19-1)</f>
        <v/>
      </c>
      <c r="GY35" s="70" t="str">
        <f aca="false">IF(OR(GY20="",GY19=""),"",GY20-GY19)</f>
        <v/>
      </c>
      <c r="GZ35" s="71" t="str">
        <f aca="false">IF(OR(GY20="",GY19="",GY19=0),"",GY20/GY19-1)</f>
        <v/>
      </c>
    </row>
    <row r="36" customFormat="false" ht="15" hidden="false" customHeight="false" outlineLevel="0" collapsed="false">
      <c r="A36" s="4"/>
      <c r="B36" s="36"/>
      <c r="C36" s="36"/>
      <c r="D36" s="49"/>
      <c r="E36" s="50"/>
      <c r="F36" s="17" t="s">
        <v>75</v>
      </c>
      <c r="H36" s="72" t="str">
        <f aca="false">IF(OR('Довідник категорій'!B14="",'Довідник категорій'!B13=""),"",'Довідник категорій'!B14&amp;"  ↔  "&amp;'Довідник категорій'!B13)</f>
        <v/>
      </c>
      <c r="I36" s="70" t="str">
        <f aca="false">IF(OR(I21="",I20=""),"",I21-I20)</f>
        <v/>
      </c>
      <c r="J36" s="71" t="str">
        <f aca="false">IF(OR(I21="",I20="",I20=0),"",I21/I20-1)</f>
        <v/>
      </c>
      <c r="K36" s="70" t="str">
        <f aca="false">IF(OR(K21="",K20=""),"",K21-K20)</f>
        <v/>
      </c>
      <c r="L36" s="71" t="str">
        <f aca="false">IF(OR(K21="",K20="",K20=0),"",K21/K20-1)</f>
        <v/>
      </c>
      <c r="M36" s="70" t="str">
        <f aca="false">IF(OR(M21="",M20=""),"",M21-M20)</f>
        <v/>
      </c>
      <c r="N36" s="71" t="str">
        <f aca="false">IF(OR(M21="",M20="",M20=0),"",M21/M20-1)</f>
        <v/>
      </c>
      <c r="O36" s="70" t="str">
        <f aca="false">IF(OR(O21="",O20=""),"",O21-O20)</f>
        <v/>
      </c>
      <c r="P36" s="71" t="str">
        <f aca="false">IF(OR(O21="",O20="",O20=0),"",O21/O20-1)</f>
        <v/>
      </c>
      <c r="Q36" s="70" t="str">
        <f aca="false">IF(OR(Q21="",Q20=""),"",Q21-Q20)</f>
        <v/>
      </c>
      <c r="R36" s="71" t="str">
        <f aca="false">IF(OR(Q21="",Q20="",Q20=0),"",Q21/Q20-1)</f>
        <v/>
      </c>
      <c r="S36" s="70" t="str">
        <f aca="false">IF(OR(S21="",S20=""),"",S21-S20)</f>
        <v/>
      </c>
      <c r="T36" s="71" t="str">
        <f aca="false">IF(OR(S21="",S20="",S20=0),"",S21/S20-1)</f>
        <v/>
      </c>
      <c r="U36" s="70" t="str">
        <f aca="false">IF(OR(U21="",U20=""),"",U21-U20)</f>
        <v/>
      </c>
      <c r="V36" s="71" t="str">
        <f aca="false">IF(OR(U21="",U20="",U20=0),"",U21/U20-1)</f>
        <v/>
      </c>
      <c r="W36" s="70" t="str">
        <f aca="false">IF(OR(W21="",W20=""),"",W21-W20)</f>
        <v/>
      </c>
      <c r="X36" s="71" t="str">
        <f aca="false">IF(OR(W21="",W20="",W20=0),"",W21/W20-1)</f>
        <v/>
      </c>
      <c r="Y36" s="70" t="str">
        <f aca="false">IF(OR(Y21="",Y20=""),"",Y21-Y20)</f>
        <v/>
      </c>
      <c r="Z36" s="71" t="str">
        <f aca="false">IF(OR(Y21="",Y20="",Y20=0),"",Y21/Y20-1)</f>
        <v/>
      </c>
      <c r="AA36" s="70" t="str">
        <f aca="false">IF(OR(AA21="",AA20=""),"",AA21-AA20)</f>
        <v/>
      </c>
      <c r="AB36" s="71" t="str">
        <f aca="false">IF(OR(AA21="",AA20="",AA20=0),"",AA21/AA20-1)</f>
        <v/>
      </c>
      <c r="AC36" s="70" t="str">
        <f aca="false">IF(OR(AC21="",AC20=""),"",AC21-AC20)</f>
        <v/>
      </c>
      <c r="AD36" s="71" t="str">
        <f aca="false">IF(OR(AC21="",AC20="",AC20=0),"",AC21/AC20-1)</f>
        <v/>
      </c>
      <c r="AE36" s="70" t="str">
        <f aca="false">IF(OR(AE21="",AE20=""),"",AE21-AE20)</f>
        <v/>
      </c>
      <c r="AF36" s="71" t="str">
        <f aca="false">IF(OR(AE21="",AE20="",AE20=0),"",AE21/AE20-1)</f>
        <v/>
      </c>
      <c r="AG36" s="70" t="str">
        <f aca="false">IF(OR(AG21="",AG20=""),"",AG21-AG20)</f>
        <v/>
      </c>
      <c r="AH36" s="71" t="str">
        <f aca="false">IF(OR(AG21="",AG20="",AG20=0),"",AG21/AG20-1)</f>
        <v/>
      </c>
      <c r="AI36" s="70" t="str">
        <f aca="false">IF(OR(AI21="",AI20=""),"",AI21-AI20)</f>
        <v/>
      </c>
      <c r="AJ36" s="71" t="str">
        <f aca="false">IF(OR(AI21="",AI20="",AI20=0),"",AI21/AI20-1)</f>
        <v/>
      </c>
      <c r="AK36" s="70" t="str">
        <f aca="false">IF(OR(AK21="",AK20=""),"",AK21-AK20)</f>
        <v/>
      </c>
      <c r="AL36" s="71" t="str">
        <f aca="false">IF(OR(AK21="",AK20="",AK20=0),"",AK21/AK20-1)</f>
        <v/>
      </c>
      <c r="AM36" s="70" t="str">
        <f aca="false">IF(OR(AM21="",AM20=""),"",AM21-AM20)</f>
        <v/>
      </c>
      <c r="AN36" s="71" t="str">
        <f aca="false">IF(OR(AM21="",AM20="",AM20=0),"",AM21/AM20-1)</f>
        <v/>
      </c>
      <c r="AO36" s="70" t="str">
        <f aca="false">IF(OR(AO21="",AO20=""),"",AO21-AO20)</f>
        <v/>
      </c>
      <c r="AP36" s="71" t="str">
        <f aca="false">IF(OR(AO21="",AO20="",AO20=0),"",AO21/AO20-1)</f>
        <v/>
      </c>
      <c r="AQ36" s="70" t="str">
        <f aca="false">IF(OR(AQ21="",AQ20=""),"",AQ21-AQ20)</f>
        <v/>
      </c>
      <c r="AR36" s="71" t="str">
        <f aca="false">IF(OR(AQ21="",AQ20="",AQ20=0),"",AQ21/AQ20-1)</f>
        <v/>
      </c>
      <c r="AS36" s="70" t="str">
        <f aca="false">IF(OR(AS21="",AS20=""),"",AS21-AS20)</f>
        <v/>
      </c>
      <c r="AT36" s="71" t="str">
        <f aca="false">IF(OR(AS21="",AS20="",AS20=0),"",AS21/AS20-1)</f>
        <v/>
      </c>
      <c r="AU36" s="70" t="str">
        <f aca="false">IF(OR(AU21="",AU20=""),"",AU21-AU20)</f>
        <v/>
      </c>
      <c r="AV36" s="71" t="str">
        <f aca="false">IF(OR(AU21="",AU20="",AU20=0),"",AU21/AU20-1)</f>
        <v/>
      </c>
      <c r="AW36" s="70" t="str">
        <f aca="false">IF(OR(AW21="",AW20=""),"",AW21-AW20)</f>
        <v/>
      </c>
      <c r="AX36" s="71" t="str">
        <f aca="false">IF(OR(AW21="",AW20="",AW20=0),"",AW21/AW20-1)</f>
        <v/>
      </c>
      <c r="AY36" s="70" t="str">
        <f aca="false">IF(OR(AY21="",AY20=""),"",AY21-AY20)</f>
        <v/>
      </c>
      <c r="AZ36" s="71" t="str">
        <f aca="false">IF(OR(AY21="",AY20="",AY20=0),"",AY21/AY20-1)</f>
        <v/>
      </c>
      <c r="BA36" s="70" t="str">
        <f aca="false">IF(OR(BA21="",BA20=""),"",BA21-BA20)</f>
        <v/>
      </c>
      <c r="BB36" s="71" t="str">
        <f aca="false">IF(OR(BA21="",BA20="",BA20=0),"",BA21/BA20-1)</f>
        <v/>
      </c>
      <c r="BC36" s="70" t="str">
        <f aca="false">IF(OR(BC21="",BC20=""),"",BC21-BC20)</f>
        <v/>
      </c>
      <c r="BD36" s="71" t="str">
        <f aca="false">IF(OR(BC21="",BC20="",BC20=0),"",BC21/BC20-1)</f>
        <v/>
      </c>
      <c r="BE36" s="70" t="str">
        <f aca="false">IF(OR(BE21="",BE20=""),"",BE21-BE20)</f>
        <v/>
      </c>
      <c r="BF36" s="71" t="str">
        <f aca="false">IF(OR(BE21="",BE20="",BE20=0),"",BE21/BE20-1)</f>
        <v/>
      </c>
      <c r="BG36" s="70" t="str">
        <f aca="false">IF(OR(BG21="",BG20=""),"",BG21-BG20)</f>
        <v/>
      </c>
      <c r="BH36" s="71" t="str">
        <f aca="false">IF(OR(BG21="",BG20="",BG20=0),"",BG21/BG20-1)</f>
        <v/>
      </c>
      <c r="BI36" s="70" t="str">
        <f aca="false">IF(OR(BI21="",BI20=""),"",BI21-BI20)</f>
        <v/>
      </c>
      <c r="BJ36" s="71" t="str">
        <f aca="false">IF(OR(BI21="",BI20="",BI20=0),"",BI21/BI20-1)</f>
        <v/>
      </c>
      <c r="BK36" s="70" t="str">
        <f aca="false">IF(OR(BK21="",BK20=""),"",BK21-BK20)</f>
        <v/>
      </c>
      <c r="BL36" s="71" t="str">
        <f aca="false">IF(OR(BK21="",BK20="",BK20=0),"",BK21/BK20-1)</f>
        <v/>
      </c>
      <c r="BM36" s="70" t="str">
        <f aca="false">IF(OR(BM21="",BM20=""),"",BM21-BM20)</f>
        <v/>
      </c>
      <c r="BN36" s="71" t="str">
        <f aca="false">IF(OR(BM21="",BM20="",BM20=0),"",BM21/BM20-1)</f>
        <v/>
      </c>
      <c r="BO36" s="70" t="str">
        <f aca="false">IF(OR(BO21="",BO20=""),"",BO21-BO20)</f>
        <v/>
      </c>
      <c r="BP36" s="71" t="str">
        <f aca="false">IF(OR(BO21="",BO20="",BO20=0),"",BO21/BO20-1)</f>
        <v/>
      </c>
      <c r="BQ36" s="70" t="str">
        <f aca="false">IF(OR(BQ21="",BQ20=""),"",BQ21-BQ20)</f>
        <v/>
      </c>
      <c r="BR36" s="71" t="str">
        <f aca="false">IF(OR(BQ21="",BQ20="",BQ20=0),"",BQ21/BQ20-1)</f>
        <v/>
      </c>
      <c r="BS36" s="70" t="str">
        <f aca="false">IF(OR(BS21="",BS20=""),"",BS21-BS20)</f>
        <v/>
      </c>
      <c r="BT36" s="71" t="str">
        <f aca="false">IF(OR(BS21="",BS20="",BS20=0),"",BS21/BS20-1)</f>
        <v/>
      </c>
      <c r="BU36" s="70" t="str">
        <f aca="false">IF(OR(BU21="",BU20=""),"",BU21-BU20)</f>
        <v/>
      </c>
      <c r="BV36" s="71" t="str">
        <f aca="false">IF(OR(BU21="",BU20="",BU20=0),"",BU21/BU20-1)</f>
        <v/>
      </c>
      <c r="BW36" s="70" t="str">
        <f aca="false">IF(OR(BW21="",BW20=""),"",BW21-BW20)</f>
        <v/>
      </c>
      <c r="BX36" s="71" t="str">
        <f aca="false">IF(OR(BW21="",BW20="",BW20=0),"",BW21/BW20-1)</f>
        <v/>
      </c>
      <c r="BY36" s="70" t="str">
        <f aca="false">IF(OR(BY21="",BY20=""),"",BY21-BY20)</f>
        <v/>
      </c>
      <c r="BZ36" s="71" t="str">
        <f aca="false">IF(OR(BY21="",BY20="",BY20=0),"",BY21/BY20-1)</f>
        <v/>
      </c>
      <c r="CA36" s="70" t="str">
        <f aca="false">IF(OR(CA21="",CA20=""),"",CA21-CA20)</f>
        <v/>
      </c>
      <c r="CB36" s="71" t="str">
        <f aca="false">IF(OR(CA21="",CA20="",CA20=0),"",CA21/CA20-1)</f>
        <v/>
      </c>
      <c r="CC36" s="70" t="str">
        <f aca="false">IF(OR(CC21="",CC20=""),"",CC21-CC20)</f>
        <v/>
      </c>
      <c r="CD36" s="71" t="str">
        <f aca="false">IF(OR(CC21="",CC20="",CC20=0),"",CC21/CC20-1)</f>
        <v/>
      </c>
      <c r="CE36" s="70" t="str">
        <f aca="false">IF(OR(CE21="",CE20=""),"",CE21-CE20)</f>
        <v/>
      </c>
      <c r="CF36" s="71" t="str">
        <f aca="false">IF(OR(CE21="",CE20="",CE20=0),"",CE21/CE20-1)</f>
        <v/>
      </c>
      <c r="CG36" s="70" t="str">
        <f aca="false">IF(OR(CG21="",CG20=""),"",CG21-CG20)</f>
        <v/>
      </c>
      <c r="CH36" s="71" t="str">
        <f aca="false">IF(OR(CG21="",CG20="",CG20=0),"",CG21/CG20-1)</f>
        <v/>
      </c>
      <c r="CI36" s="70" t="str">
        <f aca="false">IF(OR(CI21="",CI20=""),"",CI21-CI20)</f>
        <v/>
      </c>
      <c r="CJ36" s="71" t="str">
        <f aca="false">IF(OR(CI21="",CI20="",CI20=0),"",CI21/CI20-1)</f>
        <v/>
      </c>
      <c r="CK36" s="70" t="str">
        <f aca="false">IF(OR(CK21="",CK20=""),"",CK21-CK20)</f>
        <v/>
      </c>
      <c r="CL36" s="71" t="str">
        <f aca="false">IF(OR(CK21="",CK20="",CK20=0),"",CK21/CK20-1)</f>
        <v/>
      </c>
      <c r="CM36" s="70" t="str">
        <f aca="false">IF(OR(CM21="",CM20=""),"",CM21-CM20)</f>
        <v/>
      </c>
      <c r="CN36" s="71" t="str">
        <f aca="false">IF(OR(CM21="",CM20="",CM20=0),"",CM21/CM20-1)</f>
        <v/>
      </c>
      <c r="CO36" s="70" t="str">
        <f aca="false">IF(OR(CO21="",CO20=""),"",CO21-CO20)</f>
        <v/>
      </c>
      <c r="CP36" s="71" t="str">
        <f aca="false">IF(OR(CO21="",CO20="",CO20=0),"",CO21/CO20-1)</f>
        <v/>
      </c>
      <c r="CQ36" s="70" t="str">
        <f aca="false">IF(OR(CQ21="",CQ20=""),"",CQ21-CQ20)</f>
        <v/>
      </c>
      <c r="CR36" s="71" t="str">
        <f aca="false">IF(OR(CQ21="",CQ20="",CQ20=0),"",CQ21/CQ20-1)</f>
        <v/>
      </c>
      <c r="CS36" s="70" t="str">
        <f aca="false">IF(OR(CS21="",CS20=""),"",CS21-CS20)</f>
        <v/>
      </c>
      <c r="CT36" s="71" t="str">
        <f aca="false">IF(OR(CS21="",CS20="",CS20=0),"",CS21/CS20-1)</f>
        <v/>
      </c>
      <c r="CU36" s="70" t="str">
        <f aca="false">IF(OR(CU21="",CU20=""),"",CU21-CU20)</f>
        <v/>
      </c>
      <c r="CV36" s="71" t="str">
        <f aca="false">IF(OR(CU21="",CU20="",CU20=0),"",CU21/CU20-1)</f>
        <v/>
      </c>
      <c r="CW36" s="70" t="str">
        <f aca="false">IF(OR(CW21="",CW20=""),"",CW21-CW20)</f>
        <v/>
      </c>
      <c r="CX36" s="71" t="str">
        <f aca="false">IF(OR(CW21="",CW20="",CW20=0),"",CW21/CW20-1)</f>
        <v/>
      </c>
      <c r="CY36" s="70" t="str">
        <f aca="false">IF(OR(CY21="",CY20=""),"",CY21-CY20)</f>
        <v/>
      </c>
      <c r="CZ36" s="71" t="str">
        <f aca="false">IF(OR(CY21="",CY20="",CY20=0),"",CY21/CY20-1)</f>
        <v/>
      </c>
      <c r="DA36" s="70" t="str">
        <f aca="false">IF(OR(DA21="",DA20=""),"",DA21-DA20)</f>
        <v/>
      </c>
      <c r="DB36" s="71" t="str">
        <f aca="false">IF(OR(DA21="",DA20="",DA20=0),"",DA21/DA20-1)</f>
        <v/>
      </c>
      <c r="DC36" s="70" t="str">
        <f aca="false">IF(OR(DC21="",DC20=""),"",DC21-DC20)</f>
        <v/>
      </c>
      <c r="DD36" s="71" t="str">
        <f aca="false">IF(OR(DC21="",DC20="",DC20=0),"",DC21/DC20-1)</f>
        <v/>
      </c>
      <c r="DE36" s="70" t="str">
        <f aca="false">IF(OR(DE21="",DE20=""),"",DE21-DE20)</f>
        <v/>
      </c>
      <c r="DF36" s="71" t="str">
        <f aca="false">IF(OR(DE21="",DE20="",DE20=0),"",DE21/DE20-1)</f>
        <v/>
      </c>
      <c r="DG36" s="70" t="str">
        <f aca="false">IF(OR(DG21="",DG20=""),"",DG21-DG20)</f>
        <v/>
      </c>
      <c r="DH36" s="71" t="str">
        <f aca="false">IF(OR(DG21="",DG20="",DG20=0),"",DG21/DG20-1)</f>
        <v/>
      </c>
      <c r="DI36" s="70" t="str">
        <f aca="false">IF(OR(DI21="",DI20=""),"",DI21-DI20)</f>
        <v/>
      </c>
      <c r="DJ36" s="71" t="str">
        <f aca="false">IF(OR(DI21="",DI20="",DI20=0),"",DI21/DI20-1)</f>
        <v/>
      </c>
      <c r="DK36" s="70" t="str">
        <f aca="false">IF(OR(DK21="",DK20=""),"",DK21-DK20)</f>
        <v/>
      </c>
      <c r="DL36" s="71" t="str">
        <f aca="false">IF(OR(DK21="",DK20="",DK20=0),"",DK21/DK20-1)</f>
        <v/>
      </c>
      <c r="DM36" s="70" t="str">
        <f aca="false">IF(OR(DM21="",DM20=""),"",DM21-DM20)</f>
        <v/>
      </c>
      <c r="DN36" s="71" t="str">
        <f aca="false">IF(OR(DM21="",DM20="",DM20=0),"",DM21/DM20-1)</f>
        <v/>
      </c>
      <c r="DO36" s="70" t="str">
        <f aca="false">IF(OR(DO21="",DO20=""),"",DO21-DO20)</f>
        <v/>
      </c>
      <c r="DP36" s="71" t="str">
        <f aca="false">IF(OR(DO21="",DO20="",DO20=0),"",DO21/DO20-1)</f>
        <v/>
      </c>
      <c r="DQ36" s="70" t="str">
        <f aca="false">IF(OR(DQ21="",DQ20=""),"",DQ21-DQ20)</f>
        <v/>
      </c>
      <c r="DR36" s="71" t="str">
        <f aca="false">IF(OR(DQ21="",DQ20="",DQ20=0),"",DQ21/DQ20-1)</f>
        <v/>
      </c>
      <c r="DS36" s="70" t="str">
        <f aca="false">IF(OR(DS21="",DS20=""),"",DS21-DS20)</f>
        <v/>
      </c>
      <c r="DT36" s="71" t="str">
        <f aca="false">IF(OR(DS21="",DS20="",DS20=0),"",DS21/DS20-1)</f>
        <v/>
      </c>
      <c r="DU36" s="70" t="str">
        <f aca="false">IF(OR(DU21="",DU20=""),"",DU21-DU20)</f>
        <v/>
      </c>
      <c r="DV36" s="71" t="str">
        <f aca="false">IF(OR(DU21="",DU20="",DU20=0),"",DU21/DU20-1)</f>
        <v/>
      </c>
      <c r="DW36" s="70" t="str">
        <f aca="false">IF(OR(DW21="",DW20=""),"",DW21-DW20)</f>
        <v/>
      </c>
      <c r="DX36" s="71" t="str">
        <f aca="false">IF(OR(DW21="",DW20="",DW20=0),"",DW21/DW20-1)</f>
        <v/>
      </c>
      <c r="DY36" s="70" t="str">
        <f aca="false">IF(OR(DY21="",DY20=""),"",DY21-DY20)</f>
        <v/>
      </c>
      <c r="DZ36" s="71" t="str">
        <f aca="false">IF(OR(DY21="",DY20="",DY20=0),"",DY21/DY20-1)</f>
        <v/>
      </c>
      <c r="EA36" s="70" t="str">
        <f aca="false">IF(OR(EA21="",EA20=""),"",EA21-EA20)</f>
        <v/>
      </c>
      <c r="EB36" s="71" t="str">
        <f aca="false">IF(OR(EA21="",EA20="",EA20=0),"",EA21/EA20-1)</f>
        <v/>
      </c>
      <c r="EC36" s="70" t="str">
        <f aca="false">IF(OR(EC21="",EC20=""),"",EC21-EC20)</f>
        <v/>
      </c>
      <c r="ED36" s="71" t="str">
        <f aca="false">IF(OR(EC21="",EC20="",EC20=0),"",EC21/EC20-1)</f>
        <v/>
      </c>
      <c r="EE36" s="70" t="str">
        <f aca="false">IF(OR(EE21="",EE20=""),"",EE21-EE20)</f>
        <v/>
      </c>
      <c r="EF36" s="71" t="str">
        <f aca="false">IF(OR(EE21="",EE20="",EE20=0),"",EE21/EE20-1)</f>
        <v/>
      </c>
      <c r="EG36" s="70" t="str">
        <f aca="false">IF(OR(EG21="",EG20=""),"",EG21-EG20)</f>
        <v/>
      </c>
      <c r="EH36" s="71" t="str">
        <f aca="false">IF(OR(EG21="",EG20="",EG20=0),"",EG21/EG20-1)</f>
        <v/>
      </c>
      <c r="EI36" s="70" t="str">
        <f aca="false">IF(OR(EI21="",EI20=""),"",EI21-EI20)</f>
        <v/>
      </c>
      <c r="EJ36" s="71" t="str">
        <f aca="false">IF(OR(EI21="",EI20="",EI20=0),"",EI21/EI20-1)</f>
        <v/>
      </c>
      <c r="EK36" s="70" t="str">
        <f aca="false">IF(OR(EK21="",EK20=""),"",EK21-EK20)</f>
        <v/>
      </c>
      <c r="EL36" s="71" t="str">
        <f aca="false">IF(OR(EK21="",EK20="",EK20=0),"",EK21/EK20-1)</f>
        <v/>
      </c>
      <c r="EM36" s="70" t="str">
        <f aca="false">IF(OR(EM21="",EM20=""),"",EM21-EM20)</f>
        <v/>
      </c>
      <c r="EN36" s="71" t="str">
        <f aca="false">IF(OR(EM21="",EM20="",EM20=0),"",EM21/EM20-1)</f>
        <v/>
      </c>
      <c r="EO36" s="70" t="str">
        <f aca="false">IF(OR(EO21="",EO20=""),"",EO21-EO20)</f>
        <v/>
      </c>
      <c r="EP36" s="71" t="str">
        <f aca="false">IF(OR(EO21="",EO20="",EO20=0),"",EO21/EO20-1)</f>
        <v/>
      </c>
      <c r="EQ36" s="70" t="str">
        <f aca="false">IF(OR(EQ21="",EQ20=""),"",EQ21-EQ20)</f>
        <v/>
      </c>
      <c r="ER36" s="71" t="str">
        <f aca="false">IF(OR(EQ21="",EQ20="",EQ20=0),"",EQ21/EQ20-1)</f>
        <v/>
      </c>
      <c r="ES36" s="70" t="str">
        <f aca="false">IF(OR(ES21="",ES20=""),"",ES21-ES20)</f>
        <v/>
      </c>
      <c r="ET36" s="71" t="str">
        <f aca="false">IF(OR(ES21="",ES20="",ES20=0),"",ES21/ES20-1)</f>
        <v/>
      </c>
      <c r="EU36" s="70" t="str">
        <f aca="false">IF(OR(EU21="",EU20=""),"",EU21-EU20)</f>
        <v/>
      </c>
      <c r="EV36" s="71" t="str">
        <f aca="false">IF(OR(EU21="",EU20="",EU20=0),"",EU21/EU20-1)</f>
        <v/>
      </c>
      <c r="EW36" s="70" t="str">
        <f aca="false">IF(OR(EW21="",EW20=""),"",EW21-EW20)</f>
        <v/>
      </c>
      <c r="EX36" s="71" t="str">
        <f aca="false">IF(OR(EW21="",EW20="",EW20=0),"",EW21/EW20-1)</f>
        <v/>
      </c>
      <c r="EY36" s="70" t="str">
        <f aca="false">IF(OR(EY21="",EY20=""),"",EY21-EY20)</f>
        <v/>
      </c>
      <c r="EZ36" s="71" t="str">
        <f aca="false">IF(OR(EY21="",EY20="",EY20=0),"",EY21/EY20-1)</f>
        <v/>
      </c>
      <c r="FA36" s="70" t="str">
        <f aca="false">IF(OR(FA21="",FA20=""),"",FA21-FA20)</f>
        <v/>
      </c>
      <c r="FB36" s="71" t="str">
        <f aca="false">IF(OR(FA21="",FA20="",FA20=0),"",FA21/FA20-1)</f>
        <v/>
      </c>
      <c r="FC36" s="70" t="str">
        <f aca="false">IF(OR(FC21="",FC20=""),"",FC21-FC20)</f>
        <v/>
      </c>
      <c r="FD36" s="71" t="str">
        <f aca="false">IF(OR(FC21="",FC20="",FC20=0),"",FC21/FC20-1)</f>
        <v/>
      </c>
      <c r="FE36" s="70" t="str">
        <f aca="false">IF(OR(FE21="",FE20=""),"",FE21-FE20)</f>
        <v/>
      </c>
      <c r="FF36" s="71" t="str">
        <f aca="false">IF(OR(FE21="",FE20="",FE20=0),"",FE21/FE20-1)</f>
        <v/>
      </c>
      <c r="FG36" s="70" t="str">
        <f aca="false">IF(OR(FG21="",FG20=""),"",FG21-FG20)</f>
        <v/>
      </c>
      <c r="FH36" s="71" t="str">
        <f aca="false">IF(OR(FG21="",FG20="",FG20=0),"",FG21/FG20-1)</f>
        <v/>
      </c>
      <c r="FI36" s="70" t="str">
        <f aca="false">IF(OR(FI21="",FI20=""),"",FI21-FI20)</f>
        <v/>
      </c>
      <c r="FJ36" s="71" t="str">
        <f aca="false">IF(OR(FI21="",FI20="",FI20=0),"",FI21/FI20-1)</f>
        <v/>
      </c>
      <c r="FK36" s="70" t="str">
        <f aca="false">IF(OR(FK21="",FK20=""),"",FK21-FK20)</f>
        <v/>
      </c>
      <c r="FL36" s="71" t="str">
        <f aca="false">IF(OR(FK21="",FK20="",FK20=0),"",FK21/FK20-1)</f>
        <v/>
      </c>
      <c r="FM36" s="70" t="str">
        <f aca="false">IF(OR(FM21="",FM20=""),"",FM21-FM20)</f>
        <v/>
      </c>
      <c r="FN36" s="71" t="str">
        <f aca="false">IF(OR(FM21="",FM20="",FM20=0),"",FM21/FM20-1)</f>
        <v/>
      </c>
      <c r="FO36" s="70" t="str">
        <f aca="false">IF(OR(FO21="",FO20=""),"",FO21-FO20)</f>
        <v/>
      </c>
      <c r="FP36" s="71" t="str">
        <f aca="false">IF(OR(FO21="",FO20="",FO20=0),"",FO21/FO20-1)</f>
        <v/>
      </c>
      <c r="FQ36" s="70" t="str">
        <f aca="false">IF(OR(FQ21="",FQ20=""),"",FQ21-FQ20)</f>
        <v/>
      </c>
      <c r="FR36" s="71" t="str">
        <f aca="false">IF(OR(FQ21="",FQ20="",FQ20=0),"",FQ21/FQ20-1)</f>
        <v/>
      </c>
      <c r="FS36" s="70" t="str">
        <f aca="false">IF(OR(FS21="",FS20=""),"",FS21-FS20)</f>
        <v/>
      </c>
      <c r="FT36" s="71" t="str">
        <f aca="false">IF(OR(FS21="",FS20="",FS20=0),"",FS21/FS20-1)</f>
        <v/>
      </c>
      <c r="FU36" s="70" t="str">
        <f aca="false">IF(OR(FU21="",FU20=""),"",FU21-FU20)</f>
        <v/>
      </c>
      <c r="FV36" s="71" t="str">
        <f aca="false">IF(OR(FU21="",FU20="",FU20=0),"",FU21/FU20-1)</f>
        <v/>
      </c>
      <c r="FW36" s="70" t="str">
        <f aca="false">IF(OR(FW21="",FW20=""),"",FW21-FW20)</f>
        <v/>
      </c>
      <c r="FX36" s="71" t="str">
        <f aca="false">IF(OR(FW21="",FW20="",FW20=0),"",FW21/FW20-1)</f>
        <v/>
      </c>
      <c r="FY36" s="70" t="str">
        <f aca="false">IF(OR(FY21="",FY20=""),"",FY21-FY20)</f>
        <v/>
      </c>
      <c r="FZ36" s="71" t="str">
        <f aca="false">IF(OR(FY21="",FY20="",FY20=0),"",FY21/FY20-1)</f>
        <v/>
      </c>
      <c r="GA36" s="70" t="str">
        <f aca="false">IF(OR(GA21="",GA20=""),"",GA21-GA20)</f>
        <v/>
      </c>
      <c r="GB36" s="71" t="str">
        <f aca="false">IF(OR(GA21="",GA20="",GA20=0),"",GA21/GA20-1)</f>
        <v/>
      </c>
      <c r="GC36" s="70" t="str">
        <f aca="false">IF(OR(GC21="",GC20=""),"",GC21-GC20)</f>
        <v/>
      </c>
      <c r="GD36" s="71" t="str">
        <f aca="false">IF(OR(GC21="",GC20="",GC20=0),"",GC21/GC20-1)</f>
        <v/>
      </c>
      <c r="GE36" s="70" t="str">
        <f aca="false">IF(OR(GE21="",GE20=""),"",GE21-GE20)</f>
        <v/>
      </c>
      <c r="GF36" s="71" t="str">
        <f aca="false">IF(OR(GE21="",GE20="",GE20=0),"",GE21/GE20-1)</f>
        <v/>
      </c>
      <c r="GG36" s="70" t="str">
        <f aca="false">IF(OR(GG21="",GG20=""),"",GG21-GG20)</f>
        <v/>
      </c>
      <c r="GH36" s="71" t="str">
        <f aca="false">IF(OR(GG21="",GG20="",GG20=0),"",GG21/GG20-1)</f>
        <v/>
      </c>
      <c r="GI36" s="70" t="str">
        <f aca="false">IF(OR(GI21="",GI20=""),"",GI21-GI20)</f>
        <v/>
      </c>
      <c r="GJ36" s="71" t="str">
        <f aca="false">IF(OR(GI21="",GI20="",GI20=0),"",GI21/GI20-1)</f>
        <v/>
      </c>
      <c r="GK36" s="70" t="str">
        <f aca="false">IF(OR(GK21="",GK20=""),"",GK21-GK20)</f>
        <v/>
      </c>
      <c r="GL36" s="71" t="str">
        <f aca="false">IF(OR(GK21="",GK20="",GK20=0),"",GK21/GK20-1)</f>
        <v/>
      </c>
      <c r="GM36" s="70" t="str">
        <f aca="false">IF(OR(GM21="",GM20=""),"",GM21-GM20)</f>
        <v/>
      </c>
      <c r="GN36" s="71" t="str">
        <f aca="false">IF(OR(GM21="",GM20="",GM20=0),"",GM21/GM20-1)</f>
        <v/>
      </c>
      <c r="GO36" s="70" t="str">
        <f aca="false">IF(OR(GO21="",GO20=""),"",GO21-GO20)</f>
        <v/>
      </c>
      <c r="GP36" s="71" t="str">
        <f aca="false">IF(OR(GO21="",GO20="",GO20=0),"",GO21/GO20-1)</f>
        <v/>
      </c>
      <c r="GQ36" s="70" t="str">
        <f aca="false">IF(OR(GQ21="",GQ20=""),"",GQ21-GQ20)</f>
        <v/>
      </c>
      <c r="GR36" s="71" t="str">
        <f aca="false">IF(OR(GQ21="",GQ20="",GQ20=0),"",GQ21/GQ20-1)</f>
        <v/>
      </c>
      <c r="GS36" s="70" t="str">
        <f aca="false">IF(OR(GS21="",GS20=""),"",GS21-GS20)</f>
        <v/>
      </c>
      <c r="GT36" s="71" t="str">
        <f aca="false">IF(OR(GS21="",GS20="",GS20=0),"",GS21/GS20-1)</f>
        <v/>
      </c>
      <c r="GU36" s="70" t="str">
        <f aca="false">IF(OR(GU21="",GU20=""),"",GU21-GU20)</f>
        <v/>
      </c>
      <c r="GV36" s="71" t="str">
        <f aca="false">IF(OR(GU21="",GU20="",GU20=0),"",GU21/GU20-1)</f>
        <v/>
      </c>
      <c r="GW36" s="70" t="str">
        <f aca="false">IF(OR(GW21="",GW20=""),"",GW21-GW20)</f>
        <v/>
      </c>
      <c r="GX36" s="71" t="str">
        <f aca="false">IF(OR(GW21="",GW20="",GW20=0),"",GW21/GW20-1)</f>
        <v/>
      </c>
      <c r="GY36" s="70" t="str">
        <f aca="false">IF(OR(GY21="",GY20=""),"",GY21-GY20)</f>
        <v/>
      </c>
      <c r="GZ36" s="71" t="str">
        <f aca="false">IF(OR(GY21="",GY20="",GY20=0),"",GY21/GY20-1)</f>
        <v/>
      </c>
    </row>
    <row r="37" customFormat="false" ht="15" hidden="false" customHeight="false" outlineLevel="0" collapsed="false">
      <c r="A37" s="54"/>
      <c r="B37" s="55"/>
      <c r="C37" s="55"/>
      <c r="D37" s="56"/>
      <c r="E37" s="57"/>
      <c r="F37" s="17" t="s">
        <v>70</v>
      </c>
      <c r="H37" s="69" t="str">
        <f aca="false">IF(OR('Довідник категорій'!B15="",'Довідник категорій'!B14=""),"",'Довідник категорій'!B15&amp;"  ↔  "&amp;'Довідник категорій'!B14)</f>
        <v/>
      </c>
      <c r="I37" s="70" t="str">
        <f aca="false">IF(OR(I22="",I21=""),"",I22-I21)</f>
        <v/>
      </c>
      <c r="J37" s="71" t="str">
        <f aca="false">IF(OR(I22="",I21="",I21=0),"",I22/I21-1)</f>
        <v/>
      </c>
      <c r="K37" s="70" t="str">
        <f aca="false">IF(OR(K22="",K21=""),"",K22-K21)</f>
        <v/>
      </c>
      <c r="L37" s="71" t="str">
        <f aca="false">IF(OR(K22="",K21="",K21=0),"",K22/K21-1)</f>
        <v/>
      </c>
      <c r="M37" s="70" t="str">
        <f aca="false">IF(OR(M22="",M21=""),"",M22-M21)</f>
        <v/>
      </c>
      <c r="N37" s="71" t="str">
        <f aca="false">IF(OR(M22="",M21="",M21=0),"",M22/M21-1)</f>
        <v/>
      </c>
      <c r="O37" s="70" t="str">
        <f aca="false">IF(OR(O22="",O21=""),"",O22-O21)</f>
        <v/>
      </c>
      <c r="P37" s="71" t="str">
        <f aca="false">IF(OR(O22="",O21="",O21=0),"",O22/O21-1)</f>
        <v/>
      </c>
      <c r="Q37" s="70" t="str">
        <f aca="false">IF(OR(Q22="",Q21=""),"",Q22-Q21)</f>
        <v/>
      </c>
      <c r="R37" s="71" t="str">
        <f aca="false">IF(OR(Q22="",Q21="",Q21=0),"",Q22/Q21-1)</f>
        <v/>
      </c>
      <c r="S37" s="70" t="str">
        <f aca="false">IF(OR(S22="",S21=""),"",S22-S21)</f>
        <v/>
      </c>
      <c r="T37" s="71" t="str">
        <f aca="false">IF(OR(S22="",S21="",S21=0),"",S22/S21-1)</f>
        <v/>
      </c>
      <c r="U37" s="70" t="str">
        <f aca="false">IF(OR(U22="",U21=""),"",U22-U21)</f>
        <v/>
      </c>
      <c r="V37" s="71" t="str">
        <f aca="false">IF(OR(U22="",U21="",U21=0),"",U22/U21-1)</f>
        <v/>
      </c>
      <c r="W37" s="70" t="str">
        <f aca="false">IF(OR(W22="",W21=""),"",W22-W21)</f>
        <v/>
      </c>
      <c r="X37" s="71" t="str">
        <f aca="false">IF(OR(W22="",W21="",W21=0),"",W22/W21-1)</f>
        <v/>
      </c>
      <c r="Y37" s="70" t="str">
        <f aca="false">IF(OR(Y22="",Y21=""),"",Y22-Y21)</f>
        <v/>
      </c>
      <c r="Z37" s="71" t="str">
        <f aca="false">IF(OR(Y22="",Y21="",Y21=0),"",Y22/Y21-1)</f>
        <v/>
      </c>
      <c r="AA37" s="70" t="str">
        <f aca="false">IF(OR(AA22="",AA21=""),"",AA22-AA21)</f>
        <v/>
      </c>
      <c r="AB37" s="71" t="str">
        <f aca="false">IF(OR(AA22="",AA21="",AA21=0),"",AA22/AA21-1)</f>
        <v/>
      </c>
      <c r="AC37" s="70" t="str">
        <f aca="false">IF(OR(AC22="",AC21=""),"",AC22-AC21)</f>
        <v/>
      </c>
      <c r="AD37" s="71" t="str">
        <f aca="false">IF(OR(AC22="",AC21="",AC21=0),"",AC22/AC21-1)</f>
        <v/>
      </c>
      <c r="AE37" s="70" t="str">
        <f aca="false">IF(OR(AE22="",AE21=""),"",AE22-AE21)</f>
        <v/>
      </c>
      <c r="AF37" s="71" t="str">
        <f aca="false">IF(OR(AE22="",AE21="",AE21=0),"",AE22/AE21-1)</f>
        <v/>
      </c>
      <c r="AG37" s="70" t="str">
        <f aca="false">IF(OR(AG22="",AG21=""),"",AG22-AG21)</f>
        <v/>
      </c>
      <c r="AH37" s="71" t="str">
        <f aca="false">IF(OR(AG22="",AG21="",AG21=0),"",AG22/AG21-1)</f>
        <v/>
      </c>
      <c r="AI37" s="70" t="str">
        <f aca="false">IF(OR(AI22="",AI21=""),"",AI22-AI21)</f>
        <v/>
      </c>
      <c r="AJ37" s="71" t="str">
        <f aca="false">IF(OR(AI22="",AI21="",AI21=0),"",AI22/AI21-1)</f>
        <v/>
      </c>
      <c r="AK37" s="70" t="str">
        <f aca="false">IF(OR(AK22="",AK21=""),"",AK22-AK21)</f>
        <v/>
      </c>
      <c r="AL37" s="71" t="str">
        <f aca="false">IF(OR(AK22="",AK21="",AK21=0),"",AK22/AK21-1)</f>
        <v/>
      </c>
      <c r="AM37" s="70" t="str">
        <f aca="false">IF(OR(AM22="",AM21=""),"",AM22-AM21)</f>
        <v/>
      </c>
      <c r="AN37" s="71" t="str">
        <f aca="false">IF(OR(AM22="",AM21="",AM21=0),"",AM22/AM21-1)</f>
        <v/>
      </c>
      <c r="AO37" s="70" t="str">
        <f aca="false">IF(OR(AO22="",AO21=""),"",AO22-AO21)</f>
        <v/>
      </c>
      <c r="AP37" s="71" t="str">
        <f aca="false">IF(OR(AO22="",AO21="",AO21=0),"",AO22/AO21-1)</f>
        <v/>
      </c>
      <c r="AQ37" s="70" t="str">
        <f aca="false">IF(OR(AQ22="",AQ21=""),"",AQ22-AQ21)</f>
        <v/>
      </c>
      <c r="AR37" s="71" t="str">
        <f aca="false">IF(OR(AQ22="",AQ21="",AQ21=0),"",AQ22/AQ21-1)</f>
        <v/>
      </c>
      <c r="AS37" s="70" t="str">
        <f aca="false">IF(OR(AS22="",AS21=""),"",AS22-AS21)</f>
        <v/>
      </c>
      <c r="AT37" s="71" t="str">
        <f aca="false">IF(OR(AS22="",AS21="",AS21=0),"",AS22/AS21-1)</f>
        <v/>
      </c>
      <c r="AU37" s="70" t="str">
        <f aca="false">IF(OR(AU22="",AU21=""),"",AU22-AU21)</f>
        <v/>
      </c>
      <c r="AV37" s="71" t="str">
        <f aca="false">IF(OR(AU22="",AU21="",AU21=0),"",AU22/AU21-1)</f>
        <v/>
      </c>
      <c r="AW37" s="70" t="str">
        <f aca="false">IF(OR(AW22="",AW21=""),"",AW22-AW21)</f>
        <v/>
      </c>
      <c r="AX37" s="71" t="str">
        <f aca="false">IF(OR(AW22="",AW21="",AW21=0),"",AW22/AW21-1)</f>
        <v/>
      </c>
      <c r="AY37" s="70" t="str">
        <f aca="false">IF(OR(AY22="",AY21=""),"",AY22-AY21)</f>
        <v/>
      </c>
      <c r="AZ37" s="71" t="str">
        <f aca="false">IF(OR(AY22="",AY21="",AY21=0),"",AY22/AY21-1)</f>
        <v/>
      </c>
      <c r="BA37" s="70" t="str">
        <f aca="false">IF(OR(BA22="",BA21=""),"",BA22-BA21)</f>
        <v/>
      </c>
      <c r="BB37" s="71" t="str">
        <f aca="false">IF(OR(BA22="",BA21="",BA21=0),"",BA22/BA21-1)</f>
        <v/>
      </c>
      <c r="BC37" s="70" t="str">
        <f aca="false">IF(OR(BC22="",BC21=""),"",BC22-BC21)</f>
        <v/>
      </c>
      <c r="BD37" s="71" t="str">
        <f aca="false">IF(OR(BC22="",BC21="",BC21=0),"",BC22/BC21-1)</f>
        <v/>
      </c>
      <c r="BE37" s="70" t="str">
        <f aca="false">IF(OR(BE22="",BE21=""),"",BE22-BE21)</f>
        <v/>
      </c>
      <c r="BF37" s="71" t="str">
        <f aca="false">IF(OR(BE22="",BE21="",BE21=0),"",BE22/BE21-1)</f>
        <v/>
      </c>
      <c r="BG37" s="70" t="str">
        <f aca="false">IF(OR(BG22="",BG21=""),"",BG22-BG21)</f>
        <v/>
      </c>
      <c r="BH37" s="71" t="str">
        <f aca="false">IF(OR(BG22="",BG21="",BG21=0),"",BG22/BG21-1)</f>
        <v/>
      </c>
      <c r="BI37" s="70" t="str">
        <f aca="false">IF(OR(BI22="",BI21=""),"",BI22-BI21)</f>
        <v/>
      </c>
      <c r="BJ37" s="71" t="str">
        <f aca="false">IF(OR(BI22="",BI21="",BI21=0),"",BI22/BI21-1)</f>
        <v/>
      </c>
      <c r="BK37" s="70" t="str">
        <f aca="false">IF(OR(BK22="",BK21=""),"",BK22-BK21)</f>
        <v/>
      </c>
      <c r="BL37" s="71" t="str">
        <f aca="false">IF(OR(BK22="",BK21="",BK21=0),"",BK22/BK21-1)</f>
        <v/>
      </c>
      <c r="BM37" s="70" t="str">
        <f aca="false">IF(OR(BM22="",BM21=""),"",BM22-BM21)</f>
        <v/>
      </c>
      <c r="BN37" s="71" t="str">
        <f aca="false">IF(OR(BM22="",BM21="",BM21=0),"",BM22/BM21-1)</f>
        <v/>
      </c>
      <c r="BO37" s="70" t="str">
        <f aca="false">IF(OR(BO22="",BO21=""),"",BO22-BO21)</f>
        <v/>
      </c>
      <c r="BP37" s="71" t="str">
        <f aca="false">IF(OR(BO22="",BO21="",BO21=0),"",BO22/BO21-1)</f>
        <v/>
      </c>
      <c r="BQ37" s="70" t="str">
        <f aca="false">IF(OR(BQ22="",BQ21=""),"",BQ22-BQ21)</f>
        <v/>
      </c>
      <c r="BR37" s="71" t="str">
        <f aca="false">IF(OR(BQ22="",BQ21="",BQ21=0),"",BQ22/BQ21-1)</f>
        <v/>
      </c>
      <c r="BS37" s="70" t="str">
        <f aca="false">IF(OR(BS22="",BS21=""),"",BS22-BS21)</f>
        <v/>
      </c>
      <c r="BT37" s="71" t="str">
        <f aca="false">IF(OR(BS22="",BS21="",BS21=0),"",BS22/BS21-1)</f>
        <v/>
      </c>
      <c r="BU37" s="70" t="str">
        <f aca="false">IF(OR(BU22="",BU21=""),"",BU22-BU21)</f>
        <v/>
      </c>
      <c r="BV37" s="71" t="str">
        <f aca="false">IF(OR(BU22="",BU21="",BU21=0),"",BU22/BU21-1)</f>
        <v/>
      </c>
      <c r="BW37" s="70" t="str">
        <f aca="false">IF(OR(BW22="",BW21=""),"",BW22-BW21)</f>
        <v/>
      </c>
      <c r="BX37" s="71" t="str">
        <f aca="false">IF(OR(BW22="",BW21="",BW21=0),"",BW22/BW21-1)</f>
        <v/>
      </c>
      <c r="BY37" s="70" t="str">
        <f aca="false">IF(OR(BY22="",BY21=""),"",BY22-BY21)</f>
        <v/>
      </c>
      <c r="BZ37" s="71" t="str">
        <f aca="false">IF(OR(BY22="",BY21="",BY21=0),"",BY22/BY21-1)</f>
        <v/>
      </c>
      <c r="CA37" s="70" t="str">
        <f aca="false">IF(OR(CA22="",CA21=""),"",CA22-CA21)</f>
        <v/>
      </c>
      <c r="CB37" s="71" t="str">
        <f aca="false">IF(OR(CA22="",CA21="",CA21=0),"",CA22/CA21-1)</f>
        <v/>
      </c>
      <c r="CC37" s="70" t="str">
        <f aca="false">IF(OR(CC22="",CC21=""),"",CC22-CC21)</f>
        <v/>
      </c>
      <c r="CD37" s="71" t="str">
        <f aca="false">IF(OR(CC22="",CC21="",CC21=0),"",CC22/CC21-1)</f>
        <v/>
      </c>
      <c r="CE37" s="70" t="str">
        <f aca="false">IF(OR(CE22="",CE21=""),"",CE22-CE21)</f>
        <v/>
      </c>
      <c r="CF37" s="71" t="str">
        <f aca="false">IF(OR(CE22="",CE21="",CE21=0),"",CE22/CE21-1)</f>
        <v/>
      </c>
      <c r="CG37" s="70" t="str">
        <f aca="false">IF(OR(CG22="",CG21=""),"",CG22-CG21)</f>
        <v/>
      </c>
      <c r="CH37" s="71" t="str">
        <f aca="false">IF(OR(CG22="",CG21="",CG21=0),"",CG22/CG21-1)</f>
        <v/>
      </c>
      <c r="CI37" s="70" t="str">
        <f aca="false">IF(OR(CI22="",CI21=""),"",CI22-CI21)</f>
        <v/>
      </c>
      <c r="CJ37" s="71" t="str">
        <f aca="false">IF(OR(CI22="",CI21="",CI21=0),"",CI22/CI21-1)</f>
        <v/>
      </c>
      <c r="CK37" s="70" t="str">
        <f aca="false">IF(OR(CK22="",CK21=""),"",CK22-CK21)</f>
        <v/>
      </c>
      <c r="CL37" s="71" t="str">
        <f aca="false">IF(OR(CK22="",CK21="",CK21=0),"",CK22/CK21-1)</f>
        <v/>
      </c>
      <c r="CM37" s="70" t="str">
        <f aca="false">IF(OR(CM22="",CM21=""),"",CM22-CM21)</f>
        <v/>
      </c>
      <c r="CN37" s="71" t="str">
        <f aca="false">IF(OR(CM22="",CM21="",CM21=0),"",CM22/CM21-1)</f>
        <v/>
      </c>
      <c r="CO37" s="70" t="str">
        <f aca="false">IF(OR(CO22="",CO21=""),"",CO22-CO21)</f>
        <v/>
      </c>
      <c r="CP37" s="71" t="str">
        <f aca="false">IF(OR(CO22="",CO21="",CO21=0),"",CO22/CO21-1)</f>
        <v/>
      </c>
      <c r="CQ37" s="70" t="str">
        <f aca="false">IF(OR(CQ22="",CQ21=""),"",CQ22-CQ21)</f>
        <v/>
      </c>
      <c r="CR37" s="71" t="str">
        <f aca="false">IF(OR(CQ22="",CQ21="",CQ21=0),"",CQ22/CQ21-1)</f>
        <v/>
      </c>
      <c r="CS37" s="70" t="str">
        <f aca="false">IF(OR(CS22="",CS21=""),"",CS22-CS21)</f>
        <v/>
      </c>
      <c r="CT37" s="71" t="str">
        <f aca="false">IF(OR(CS22="",CS21="",CS21=0),"",CS22/CS21-1)</f>
        <v/>
      </c>
      <c r="CU37" s="70" t="str">
        <f aca="false">IF(OR(CU22="",CU21=""),"",CU22-CU21)</f>
        <v/>
      </c>
      <c r="CV37" s="71" t="str">
        <f aca="false">IF(OR(CU22="",CU21="",CU21=0),"",CU22/CU21-1)</f>
        <v/>
      </c>
      <c r="CW37" s="70" t="str">
        <f aca="false">IF(OR(CW22="",CW21=""),"",CW22-CW21)</f>
        <v/>
      </c>
      <c r="CX37" s="71" t="str">
        <f aca="false">IF(OR(CW22="",CW21="",CW21=0),"",CW22/CW21-1)</f>
        <v/>
      </c>
      <c r="CY37" s="70" t="str">
        <f aca="false">IF(OR(CY22="",CY21=""),"",CY22-CY21)</f>
        <v/>
      </c>
      <c r="CZ37" s="71" t="str">
        <f aca="false">IF(OR(CY22="",CY21="",CY21=0),"",CY22/CY21-1)</f>
        <v/>
      </c>
      <c r="DA37" s="70" t="str">
        <f aca="false">IF(OR(DA22="",DA21=""),"",DA22-DA21)</f>
        <v/>
      </c>
      <c r="DB37" s="71" t="str">
        <f aca="false">IF(OR(DA22="",DA21="",DA21=0),"",DA22/DA21-1)</f>
        <v/>
      </c>
      <c r="DC37" s="70" t="str">
        <f aca="false">IF(OR(DC22="",DC21=""),"",DC22-DC21)</f>
        <v/>
      </c>
      <c r="DD37" s="71" t="str">
        <f aca="false">IF(OR(DC22="",DC21="",DC21=0),"",DC22/DC21-1)</f>
        <v/>
      </c>
      <c r="DE37" s="70" t="str">
        <f aca="false">IF(OR(DE22="",DE21=""),"",DE22-DE21)</f>
        <v/>
      </c>
      <c r="DF37" s="71" t="str">
        <f aca="false">IF(OR(DE22="",DE21="",DE21=0),"",DE22/DE21-1)</f>
        <v/>
      </c>
      <c r="DG37" s="70" t="str">
        <f aca="false">IF(OR(DG22="",DG21=""),"",DG22-DG21)</f>
        <v/>
      </c>
      <c r="DH37" s="71" t="str">
        <f aca="false">IF(OR(DG22="",DG21="",DG21=0),"",DG22/DG21-1)</f>
        <v/>
      </c>
      <c r="DI37" s="70" t="str">
        <f aca="false">IF(OR(DI22="",DI21=""),"",DI22-DI21)</f>
        <v/>
      </c>
      <c r="DJ37" s="71" t="str">
        <f aca="false">IF(OR(DI22="",DI21="",DI21=0),"",DI22/DI21-1)</f>
        <v/>
      </c>
      <c r="DK37" s="70" t="str">
        <f aca="false">IF(OR(DK22="",DK21=""),"",DK22-DK21)</f>
        <v/>
      </c>
      <c r="DL37" s="71" t="str">
        <f aca="false">IF(OR(DK22="",DK21="",DK21=0),"",DK22/DK21-1)</f>
        <v/>
      </c>
      <c r="DM37" s="70" t="str">
        <f aca="false">IF(OR(DM22="",DM21=""),"",DM22-DM21)</f>
        <v/>
      </c>
      <c r="DN37" s="71" t="str">
        <f aca="false">IF(OR(DM22="",DM21="",DM21=0),"",DM22/DM21-1)</f>
        <v/>
      </c>
      <c r="DO37" s="70" t="str">
        <f aca="false">IF(OR(DO22="",DO21=""),"",DO22-DO21)</f>
        <v/>
      </c>
      <c r="DP37" s="71" t="str">
        <f aca="false">IF(OR(DO22="",DO21="",DO21=0),"",DO22/DO21-1)</f>
        <v/>
      </c>
      <c r="DQ37" s="70" t="str">
        <f aca="false">IF(OR(DQ22="",DQ21=""),"",DQ22-DQ21)</f>
        <v/>
      </c>
      <c r="DR37" s="71" t="str">
        <f aca="false">IF(OR(DQ22="",DQ21="",DQ21=0),"",DQ22/DQ21-1)</f>
        <v/>
      </c>
      <c r="DS37" s="70" t="str">
        <f aca="false">IF(OR(DS22="",DS21=""),"",DS22-DS21)</f>
        <v/>
      </c>
      <c r="DT37" s="71" t="str">
        <f aca="false">IF(OR(DS22="",DS21="",DS21=0),"",DS22/DS21-1)</f>
        <v/>
      </c>
      <c r="DU37" s="70" t="str">
        <f aca="false">IF(OR(DU22="",DU21=""),"",DU22-DU21)</f>
        <v/>
      </c>
      <c r="DV37" s="71" t="str">
        <f aca="false">IF(OR(DU22="",DU21="",DU21=0),"",DU22/DU21-1)</f>
        <v/>
      </c>
      <c r="DW37" s="70" t="str">
        <f aca="false">IF(OR(DW22="",DW21=""),"",DW22-DW21)</f>
        <v/>
      </c>
      <c r="DX37" s="71" t="str">
        <f aca="false">IF(OR(DW22="",DW21="",DW21=0),"",DW22/DW21-1)</f>
        <v/>
      </c>
      <c r="DY37" s="70" t="str">
        <f aca="false">IF(OR(DY22="",DY21=""),"",DY22-DY21)</f>
        <v/>
      </c>
      <c r="DZ37" s="71" t="str">
        <f aca="false">IF(OR(DY22="",DY21="",DY21=0),"",DY22/DY21-1)</f>
        <v/>
      </c>
      <c r="EA37" s="70" t="str">
        <f aca="false">IF(OR(EA22="",EA21=""),"",EA22-EA21)</f>
        <v/>
      </c>
      <c r="EB37" s="71" t="str">
        <f aca="false">IF(OR(EA22="",EA21="",EA21=0),"",EA22/EA21-1)</f>
        <v/>
      </c>
      <c r="EC37" s="70" t="str">
        <f aca="false">IF(OR(EC22="",EC21=""),"",EC22-EC21)</f>
        <v/>
      </c>
      <c r="ED37" s="71" t="str">
        <f aca="false">IF(OR(EC22="",EC21="",EC21=0),"",EC22/EC21-1)</f>
        <v/>
      </c>
      <c r="EE37" s="70" t="str">
        <f aca="false">IF(OR(EE22="",EE21=""),"",EE22-EE21)</f>
        <v/>
      </c>
      <c r="EF37" s="71" t="str">
        <f aca="false">IF(OR(EE22="",EE21="",EE21=0),"",EE22/EE21-1)</f>
        <v/>
      </c>
      <c r="EG37" s="70" t="str">
        <f aca="false">IF(OR(EG22="",EG21=""),"",EG22-EG21)</f>
        <v/>
      </c>
      <c r="EH37" s="71" t="str">
        <f aca="false">IF(OR(EG22="",EG21="",EG21=0),"",EG22/EG21-1)</f>
        <v/>
      </c>
      <c r="EI37" s="70" t="str">
        <f aca="false">IF(OR(EI22="",EI21=""),"",EI22-EI21)</f>
        <v/>
      </c>
      <c r="EJ37" s="71" t="str">
        <f aca="false">IF(OR(EI22="",EI21="",EI21=0),"",EI22/EI21-1)</f>
        <v/>
      </c>
      <c r="EK37" s="70" t="str">
        <f aca="false">IF(OR(EK22="",EK21=""),"",EK22-EK21)</f>
        <v/>
      </c>
      <c r="EL37" s="71" t="str">
        <f aca="false">IF(OR(EK22="",EK21="",EK21=0),"",EK22/EK21-1)</f>
        <v/>
      </c>
      <c r="EM37" s="70" t="str">
        <f aca="false">IF(OR(EM22="",EM21=""),"",EM22-EM21)</f>
        <v/>
      </c>
      <c r="EN37" s="71" t="str">
        <f aca="false">IF(OR(EM22="",EM21="",EM21=0),"",EM22/EM21-1)</f>
        <v/>
      </c>
      <c r="EO37" s="70" t="str">
        <f aca="false">IF(OR(EO22="",EO21=""),"",EO22-EO21)</f>
        <v/>
      </c>
      <c r="EP37" s="71" t="str">
        <f aca="false">IF(OR(EO22="",EO21="",EO21=0),"",EO22/EO21-1)</f>
        <v/>
      </c>
      <c r="EQ37" s="70" t="str">
        <f aca="false">IF(OR(EQ22="",EQ21=""),"",EQ22-EQ21)</f>
        <v/>
      </c>
      <c r="ER37" s="71" t="str">
        <f aca="false">IF(OR(EQ22="",EQ21="",EQ21=0),"",EQ22/EQ21-1)</f>
        <v/>
      </c>
      <c r="ES37" s="70" t="str">
        <f aca="false">IF(OR(ES22="",ES21=""),"",ES22-ES21)</f>
        <v/>
      </c>
      <c r="ET37" s="71" t="str">
        <f aca="false">IF(OR(ES22="",ES21="",ES21=0),"",ES22/ES21-1)</f>
        <v/>
      </c>
      <c r="EU37" s="70" t="str">
        <f aca="false">IF(OR(EU22="",EU21=""),"",EU22-EU21)</f>
        <v/>
      </c>
      <c r="EV37" s="71" t="str">
        <f aca="false">IF(OR(EU22="",EU21="",EU21=0),"",EU22/EU21-1)</f>
        <v/>
      </c>
      <c r="EW37" s="70" t="str">
        <f aca="false">IF(OR(EW22="",EW21=""),"",EW22-EW21)</f>
        <v/>
      </c>
      <c r="EX37" s="71" t="str">
        <f aca="false">IF(OR(EW22="",EW21="",EW21=0),"",EW22/EW21-1)</f>
        <v/>
      </c>
      <c r="EY37" s="70" t="str">
        <f aca="false">IF(OR(EY22="",EY21=""),"",EY22-EY21)</f>
        <v/>
      </c>
      <c r="EZ37" s="71" t="str">
        <f aca="false">IF(OR(EY22="",EY21="",EY21=0),"",EY22/EY21-1)</f>
        <v/>
      </c>
      <c r="FA37" s="70" t="str">
        <f aca="false">IF(OR(FA22="",FA21=""),"",FA22-FA21)</f>
        <v/>
      </c>
      <c r="FB37" s="71" t="str">
        <f aca="false">IF(OR(FA22="",FA21="",FA21=0),"",FA22/FA21-1)</f>
        <v/>
      </c>
      <c r="FC37" s="70" t="str">
        <f aca="false">IF(OR(FC22="",FC21=""),"",FC22-FC21)</f>
        <v/>
      </c>
      <c r="FD37" s="71" t="str">
        <f aca="false">IF(OR(FC22="",FC21="",FC21=0),"",FC22/FC21-1)</f>
        <v/>
      </c>
      <c r="FE37" s="70" t="str">
        <f aca="false">IF(OR(FE22="",FE21=""),"",FE22-FE21)</f>
        <v/>
      </c>
      <c r="FF37" s="71" t="str">
        <f aca="false">IF(OR(FE22="",FE21="",FE21=0),"",FE22/FE21-1)</f>
        <v/>
      </c>
      <c r="FG37" s="70" t="str">
        <f aca="false">IF(OR(FG22="",FG21=""),"",FG22-FG21)</f>
        <v/>
      </c>
      <c r="FH37" s="71" t="str">
        <f aca="false">IF(OR(FG22="",FG21="",FG21=0),"",FG22/FG21-1)</f>
        <v/>
      </c>
      <c r="FI37" s="70" t="str">
        <f aca="false">IF(OR(FI22="",FI21=""),"",FI22-FI21)</f>
        <v/>
      </c>
      <c r="FJ37" s="71" t="str">
        <f aca="false">IF(OR(FI22="",FI21="",FI21=0),"",FI22/FI21-1)</f>
        <v/>
      </c>
      <c r="FK37" s="70" t="str">
        <f aca="false">IF(OR(FK22="",FK21=""),"",FK22-FK21)</f>
        <v/>
      </c>
      <c r="FL37" s="71" t="str">
        <f aca="false">IF(OR(FK22="",FK21="",FK21=0),"",FK22/FK21-1)</f>
        <v/>
      </c>
      <c r="FM37" s="70" t="str">
        <f aca="false">IF(OR(FM22="",FM21=""),"",FM22-FM21)</f>
        <v/>
      </c>
      <c r="FN37" s="71" t="str">
        <f aca="false">IF(OR(FM22="",FM21="",FM21=0),"",FM22/FM21-1)</f>
        <v/>
      </c>
      <c r="FO37" s="70" t="str">
        <f aca="false">IF(OR(FO22="",FO21=""),"",FO22-FO21)</f>
        <v/>
      </c>
      <c r="FP37" s="71" t="str">
        <f aca="false">IF(OR(FO22="",FO21="",FO21=0),"",FO22/FO21-1)</f>
        <v/>
      </c>
      <c r="FQ37" s="70" t="str">
        <f aca="false">IF(OR(FQ22="",FQ21=""),"",FQ22-FQ21)</f>
        <v/>
      </c>
      <c r="FR37" s="71" t="str">
        <f aca="false">IF(OR(FQ22="",FQ21="",FQ21=0),"",FQ22/FQ21-1)</f>
        <v/>
      </c>
      <c r="FS37" s="70" t="str">
        <f aca="false">IF(OR(FS22="",FS21=""),"",FS22-FS21)</f>
        <v/>
      </c>
      <c r="FT37" s="71" t="str">
        <f aca="false">IF(OR(FS22="",FS21="",FS21=0),"",FS22/FS21-1)</f>
        <v/>
      </c>
      <c r="FU37" s="70" t="str">
        <f aca="false">IF(OR(FU22="",FU21=""),"",FU22-FU21)</f>
        <v/>
      </c>
      <c r="FV37" s="71" t="str">
        <f aca="false">IF(OR(FU22="",FU21="",FU21=0),"",FU22/FU21-1)</f>
        <v/>
      </c>
      <c r="FW37" s="70" t="str">
        <f aca="false">IF(OR(FW22="",FW21=""),"",FW22-FW21)</f>
        <v/>
      </c>
      <c r="FX37" s="71" t="str">
        <f aca="false">IF(OR(FW22="",FW21="",FW21=0),"",FW22/FW21-1)</f>
        <v/>
      </c>
      <c r="FY37" s="70" t="str">
        <f aca="false">IF(OR(FY22="",FY21=""),"",FY22-FY21)</f>
        <v/>
      </c>
      <c r="FZ37" s="71" t="str">
        <f aca="false">IF(OR(FY22="",FY21="",FY21=0),"",FY22/FY21-1)</f>
        <v/>
      </c>
      <c r="GA37" s="70" t="str">
        <f aca="false">IF(OR(GA22="",GA21=""),"",GA22-GA21)</f>
        <v/>
      </c>
      <c r="GB37" s="71" t="str">
        <f aca="false">IF(OR(GA22="",GA21="",GA21=0),"",GA22/GA21-1)</f>
        <v/>
      </c>
      <c r="GC37" s="70" t="str">
        <f aca="false">IF(OR(GC22="",GC21=""),"",GC22-GC21)</f>
        <v/>
      </c>
      <c r="GD37" s="71" t="str">
        <f aca="false">IF(OR(GC22="",GC21="",GC21=0),"",GC22/GC21-1)</f>
        <v/>
      </c>
      <c r="GE37" s="70" t="str">
        <f aca="false">IF(OR(GE22="",GE21=""),"",GE22-GE21)</f>
        <v/>
      </c>
      <c r="GF37" s="71" t="str">
        <f aca="false">IF(OR(GE22="",GE21="",GE21=0),"",GE22/GE21-1)</f>
        <v/>
      </c>
      <c r="GG37" s="70" t="str">
        <f aca="false">IF(OR(GG22="",GG21=""),"",GG22-GG21)</f>
        <v/>
      </c>
      <c r="GH37" s="71" t="str">
        <f aca="false">IF(OR(GG22="",GG21="",GG21=0),"",GG22/GG21-1)</f>
        <v/>
      </c>
      <c r="GI37" s="70" t="str">
        <f aca="false">IF(OR(GI22="",GI21=""),"",GI22-GI21)</f>
        <v/>
      </c>
      <c r="GJ37" s="71" t="str">
        <f aca="false">IF(OR(GI22="",GI21="",GI21=0),"",GI22/GI21-1)</f>
        <v/>
      </c>
      <c r="GK37" s="70" t="str">
        <f aca="false">IF(OR(GK22="",GK21=""),"",GK22-GK21)</f>
        <v/>
      </c>
      <c r="GL37" s="71" t="str">
        <f aca="false">IF(OR(GK22="",GK21="",GK21=0),"",GK22/GK21-1)</f>
        <v/>
      </c>
      <c r="GM37" s="70" t="str">
        <f aca="false">IF(OR(GM22="",GM21=""),"",GM22-GM21)</f>
        <v/>
      </c>
      <c r="GN37" s="71" t="str">
        <f aca="false">IF(OR(GM22="",GM21="",GM21=0),"",GM22/GM21-1)</f>
        <v/>
      </c>
      <c r="GO37" s="70" t="str">
        <f aca="false">IF(OR(GO22="",GO21=""),"",GO22-GO21)</f>
        <v/>
      </c>
      <c r="GP37" s="71" t="str">
        <f aca="false">IF(OR(GO22="",GO21="",GO21=0),"",GO22/GO21-1)</f>
        <v/>
      </c>
      <c r="GQ37" s="70" t="str">
        <f aca="false">IF(OR(GQ22="",GQ21=""),"",GQ22-GQ21)</f>
        <v/>
      </c>
      <c r="GR37" s="71" t="str">
        <f aca="false">IF(OR(GQ22="",GQ21="",GQ21=0),"",GQ22/GQ21-1)</f>
        <v/>
      </c>
      <c r="GS37" s="70" t="str">
        <f aca="false">IF(OR(GS22="",GS21=""),"",GS22-GS21)</f>
        <v/>
      </c>
      <c r="GT37" s="71" t="str">
        <f aca="false">IF(OR(GS22="",GS21="",GS21=0),"",GS22/GS21-1)</f>
        <v/>
      </c>
      <c r="GU37" s="70" t="str">
        <f aca="false">IF(OR(GU22="",GU21=""),"",GU22-GU21)</f>
        <v/>
      </c>
      <c r="GV37" s="71" t="str">
        <f aca="false">IF(OR(GU22="",GU21="",GU21=0),"",GU22/GU21-1)</f>
        <v/>
      </c>
      <c r="GW37" s="70" t="str">
        <f aca="false">IF(OR(GW22="",GW21=""),"",GW22-GW21)</f>
        <v/>
      </c>
      <c r="GX37" s="71" t="str">
        <f aca="false">IF(OR(GW22="",GW21="",GW21=0),"",GW22/GW21-1)</f>
        <v/>
      </c>
      <c r="GY37" s="70" t="str">
        <f aca="false">IF(OR(GY22="",GY21=""),"",GY22-GY21)</f>
        <v/>
      </c>
      <c r="GZ37" s="71" t="str">
        <f aca="false">IF(OR(GY22="",GY21="",GY21=0),"",GY22/GY21-1)</f>
        <v/>
      </c>
    </row>
    <row r="38" customFormat="false" ht="15" hidden="false" customHeight="false" outlineLevel="0" collapsed="false">
      <c r="A38" s="4"/>
      <c r="B38" s="36"/>
      <c r="C38" s="36"/>
      <c r="D38" s="49"/>
      <c r="E38" s="50"/>
      <c r="F38" s="17" t="s">
        <v>115</v>
      </c>
      <c r="H38" s="72" t="str">
        <f aca="false">IF(OR('Довідник категорій'!B16="",'Довідник категорій'!B15=""),"",'Довідник категорій'!B16&amp;"  ↔  "&amp;'Довідник категорій'!B15)</f>
        <v/>
      </c>
      <c r="I38" s="70" t="str">
        <f aca="false">IF(OR(I23="",I22=""),"",I23-I22)</f>
        <v/>
      </c>
      <c r="J38" s="71" t="str">
        <f aca="false">IF(OR(I23="",I22="",I22=0),"",I23/I22-1)</f>
        <v/>
      </c>
      <c r="K38" s="70" t="str">
        <f aca="false">IF(OR(K23="",K22=""),"",K23-K22)</f>
        <v/>
      </c>
      <c r="L38" s="71" t="str">
        <f aca="false">IF(OR(K23="",K22="",K22=0),"",K23/K22-1)</f>
        <v/>
      </c>
      <c r="M38" s="70" t="str">
        <f aca="false">IF(OR(M23="",M22=""),"",M23-M22)</f>
        <v/>
      </c>
      <c r="N38" s="71" t="str">
        <f aca="false">IF(OR(M23="",M22="",M22=0),"",M23/M22-1)</f>
        <v/>
      </c>
      <c r="O38" s="70" t="str">
        <f aca="false">IF(OR(O23="",O22=""),"",O23-O22)</f>
        <v/>
      </c>
      <c r="P38" s="71" t="str">
        <f aca="false">IF(OR(O23="",O22="",O22=0),"",O23/O22-1)</f>
        <v/>
      </c>
      <c r="Q38" s="70" t="str">
        <f aca="false">IF(OR(Q23="",Q22=""),"",Q23-Q22)</f>
        <v/>
      </c>
      <c r="R38" s="71" t="str">
        <f aca="false">IF(OR(Q23="",Q22="",Q22=0),"",Q23/Q22-1)</f>
        <v/>
      </c>
      <c r="S38" s="70" t="str">
        <f aca="false">IF(OR(S23="",S22=""),"",S23-S22)</f>
        <v/>
      </c>
      <c r="T38" s="71" t="str">
        <f aca="false">IF(OR(S23="",S22="",S22=0),"",S23/S22-1)</f>
        <v/>
      </c>
      <c r="U38" s="70" t="str">
        <f aca="false">IF(OR(U23="",U22=""),"",U23-U22)</f>
        <v/>
      </c>
      <c r="V38" s="71" t="str">
        <f aca="false">IF(OR(U23="",U22="",U22=0),"",U23/U22-1)</f>
        <v/>
      </c>
      <c r="W38" s="70" t="str">
        <f aca="false">IF(OR(W23="",W22=""),"",W23-W22)</f>
        <v/>
      </c>
      <c r="X38" s="71" t="str">
        <f aca="false">IF(OR(W23="",W22="",W22=0),"",W23/W22-1)</f>
        <v/>
      </c>
      <c r="Y38" s="70" t="str">
        <f aca="false">IF(OR(Y23="",Y22=""),"",Y23-Y22)</f>
        <v/>
      </c>
      <c r="Z38" s="71" t="str">
        <f aca="false">IF(OR(Y23="",Y22="",Y22=0),"",Y23/Y22-1)</f>
        <v/>
      </c>
      <c r="AA38" s="70" t="str">
        <f aca="false">IF(OR(AA23="",AA22=""),"",AA23-AA22)</f>
        <v/>
      </c>
      <c r="AB38" s="71" t="str">
        <f aca="false">IF(OR(AA23="",AA22="",AA22=0),"",AA23/AA22-1)</f>
        <v/>
      </c>
      <c r="AC38" s="70" t="str">
        <f aca="false">IF(OR(AC23="",AC22=""),"",AC23-AC22)</f>
        <v/>
      </c>
      <c r="AD38" s="71" t="str">
        <f aca="false">IF(OR(AC23="",AC22="",AC22=0),"",AC23/AC22-1)</f>
        <v/>
      </c>
      <c r="AE38" s="70" t="str">
        <f aca="false">IF(OR(AE23="",AE22=""),"",AE23-AE22)</f>
        <v/>
      </c>
      <c r="AF38" s="71" t="str">
        <f aca="false">IF(OR(AE23="",AE22="",AE22=0),"",AE23/AE22-1)</f>
        <v/>
      </c>
      <c r="AG38" s="70" t="str">
        <f aca="false">IF(OR(AG23="",AG22=""),"",AG23-AG22)</f>
        <v/>
      </c>
      <c r="AH38" s="71" t="str">
        <f aca="false">IF(OR(AG23="",AG22="",AG22=0),"",AG23/AG22-1)</f>
        <v/>
      </c>
      <c r="AI38" s="70" t="str">
        <f aca="false">IF(OR(AI23="",AI22=""),"",AI23-AI22)</f>
        <v/>
      </c>
      <c r="AJ38" s="71" t="str">
        <f aca="false">IF(OR(AI23="",AI22="",AI22=0),"",AI23/AI22-1)</f>
        <v/>
      </c>
      <c r="AK38" s="70" t="str">
        <f aca="false">IF(OR(AK23="",AK22=""),"",AK23-AK22)</f>
        <v/>
      </c>
      <c r="AL38" s="71" t="str">
        <f aca="false">IF(OR(AK23="",AK22="",AK22=0),"",AK23/AK22-1)</f>
        <v/>
      </c>
      <c r="AM38" s="70" t="str">
        <f aca="false">IF(OR(AM23="",AM22=""),"",AM23-AM22)</f>
        <v/>
      </c>
      <c r="AN38" s="71" t="str">
        <f aca="false">IF(OR(AM23="",AM22="",AM22=0),"",AM23/AM22-1)</f>
        <v/>
      </c>
      <c r="AO38" s="70" t="str">
        <f aca="false">IF(OR(AO23="",AO22=""),"",AO23-AO22)</f>
        <v/>
      </c>
      <c r="AP38" s="71" t="str">
        <f aca="false">IF(OR(AO23="",AO22="",AO22=0),"",AO23/AO22-1)</f>
        <v/>
      </c>
      <c r="AQ38" s="70" t="str">
        <f aca="false">IF(OR(AQ23="",AQ22=""),"",AQ23-AQ22)</f>
        <v/>
      </c>
      <c r="AR38" s="71" t="str">
        <f aca="false">IF(OR(AQ23="",AQ22="",AQ22=0),"",AQ23/AQ22-1)</f>
        <v/>
      </c>
      <c r="AS38" s="70" t="str">
        <f aca="false">IF(OR(AS23="",AS22=""),"",AS23-AS22)</f>
        <v/>
      </c>
      <c r="AT38" s="71" t="str">
        <f aca="false">IF(OR(AS23="",AS22="",AS22=0),"",AS23/AS22-1)</f>
        <v/>
      </c>
      <c r="AU38" s="70" t="str">
        <f aca="false">IF(OR(AU23="",AU22=""),"",AU23-AU22)</f>
        <v/>
      </c>
      <c r="AV38" s="71" t="str">
        <f aca="false">IF(OR(AU23="",AU22="",AU22=0),"",AU23/AU22-1)</f>
        <v/>
      </c>
      <c r="AW38" s="70" t="str">
        <f aca="false">IF(OR(AW23="",AW22=""),"",AW23-AW22)</f>
        <v/>
      </c>
      <c r="AX38" s="71" t="str">
        <f aca="false">IF(OR(AW23="",AW22="",AW22=0),"",AW23/AW22-1)</f>
        <v/>
      </c>
      <c r="AY38" s="70" t="str">
        <f aca="false">IF(OR(AY23="",AY22=""),"",AY23-AY22)</f>
        <v/>
      </c>
      <c r="AZ38" s="71" t="str">
        <f aca="false">IF(OR(AY23="",AY22="",AY22=0),"",AY23/AY22-1)</f>
        <v/>
      </c>
      <c r="BA38" s="70" t="str">
        <f aca="false">IF(OR(BA23="",BA22=""),"",BA23-BA22)</f>
        <v/>
      </c>
      <c r="BB38" s="71" t="str">
        <f aca="false">IF(OR(BA23="",BA22="",BA22=0),"",BA23/BA22-1)</f>
        <v/>
      </c>
      <c r="BC38" s="70" t="str">
        <f aca="false">IF(OR(BC23="",BC22=""),"",BC23-BC22)</f>
        <v/>
      </c>
      <c r="BD38" s="71" t="str">
        <f aca="false">IF(OR(BC23="",BC22="",BC22=0),"",BC23/BC22-1)</f>
        <v/>
      </c>
      <c r="BE38" s="70" t="str">
        <f aca="false">IF(OR(BE23="",BE22=""),"",BE23-BE22)</f>
        <v/>
      </c>
      <c r="BF38" s="71" t="str">
        <f aca="false">IF(OR(BE23="",BE22="",BE22=0),"",BE23/BE22-1)</f>
        <v/>
      </c>
      <c r="BG38" s="70" t="str">
        <f aca="false">IF(OR(BG23="",BG22=""),"",BG23-BG22)</f>
        <v/>
      </c>
      <c r="BH38" s="71" t="str">
        <f aca="false">IF(OR(BG23="",BG22="",BG22=0),"",BG23/BG22-1)</f>
        <v/>
      </c>
      <c r="BI38" s="70" t="str">
        <f aca="false">IF(OR(BI23="",BI22=""),"",BI23-BI22)</f>
        <v/>
      </c>
      <c r="BJ38" s="71" t="str">
        <f aca="false">IF(OR(BI23="",BI22="",BI22=0),"",BI23/BI22-1)</f>
        <v/>
      </c>
      <c r="BK38" s="70" t="str">
        <f aca="false">IF(OR(BK23="",BK22=""),"",BK23-BK22)</f>
        <v/>
      </c>
      <c r="BL38" s="71" t="str">
        <f aca="false">IF(OR(BK23="",BK22="",BK22=0),"",BK23/BK22-1)</f>
        <v/>
      </c>
      <c r="BM38" s="70" t="str">
        <f aca="false">IF(OR(BM23="",BM22=""),"",BM23-BM22)</f>
        <v/>
      </c>
      <c r="BN38" s="71" t="str">
        <f aca="false">IF(OR(BM23="",BM22="",BM22=0),"",BM23/BM22-1)</f>
        <v/>
      </c>
      <c r="BO38" s="70" t="str">
        <f aca="false">IF(OR(BO23="",BO22=""),"",BO23-BO22)</f>
        <v/>
      </c>
      <c r="BP38" s="71" t="str">
        <f aca="false">IF(OR(BO23="",BO22="",BO22=0),"",BO23/BO22-1)</f>
        <v/>
      </c>
      <c r="BQ38" s="70" t="str">
        <f aca="false">IF(OR(BQ23="",BQ22=""),"",BQ23-BQ22)</f>
        <v/>
      </c>
      <c r="BR38" s="71" t="str">
        <f aca="false">IF(OR(BQ23="",BQ22="",BQ22=0),"",BQ23/BQ22-1)</f>
        <v/>
      </c>
      <c r="BS38" s="70" t="str">
        <f aca="false">IF(OR(BS23="",BS22=""),"",BS23-BS22)</f>
        <v/>
      </c>
      <c r="BT38" s="71" t="str">
        <f aca="false">IF(OR(BS23="",BS22="",BS22=0),"",BS23/BS22-1)</f>
        <v/>
      </c>
      <c r="BU38" s="70" t="str">
        <f aca="false">IF(OR(BU23="",BU22=""),"",BU23-BU22)</f>
        <v/>
      </c>
      <c r="BV38" s="71" t="str">
        <f aca="false">IF(OR(BU23="",BU22="",BU22=0),"",BU23/BU22-1)</f>
        <v/>
      </c>
      <c r="BW38" s="70" t="str">
        <f aca="false">IF(OR(BW23="",BW22=""),"",BW23-BW22)</f>
        <v/>
      </c>
      <c r="BX38" s="71" t="str">
        <f aca="false">IF(OR(BW23="",BW22="",BW22=0),"",BW23/BW22-1)</f>
        <v/>
      </c>
      <c r="BY38" s="70" t="str">
        <f aca="false">IF(OR(BY23="",BY22=""),"",BY23-BY22)</f>
        <v/>
      </c>
      <c r="BZ38" s="71" t="str">
        <f aca="false">IF(OR(BY23="",BY22="",BY22=0),"",BY23/BY22-1)</f>
        <v/>
      </c>
      <c r="CA38" s="70" t="str">
        <f aca="false">IF(OR(CA23="",CA22=""),"",CA23-CA22)</f>
        <v/>
      </c>
      <c r="CB38" s="71" t="str">
        <f aca="false">IF(OR(CA23="",CA22="",CA22=0),"",CA23/CA22-1)</f>
        <v/>
      </c>
      <c r="CC38" s="70" t="str">
        <f aca="false">IF(OR(CC23="",CC22=""),"",CC23-CC22)</f>
        <v/>
      </c>
      <c r="CD38" s="71" t="str">
        <f aca="false">IF(OR(CC23="",CC22="",CC22=0),"",CC23/CC22-1)</f>
        <v/>
      </c>
      <c r="CE38" s="70" t="str">
        <f aca="false">IF(OR(CE23="",CE22=""),"",CE23-CE22)</f>
        <v/>
      </c>
      <c r="CF38" s="71" t="str">
        <f aca="false">IF(OR(CE23="",CE22="",CE22=0),"",CE23/CE22-1)</f>
        <v/>
      </c>
      <c r="CG38" s="70" t="str">
        <f aca="false">IF(OR(CG23="",CG22=""),"",CG23-CG22)</f>
        <v/>
      </c>
      <c r="CH38" s="71" t="str">
        <f aca="false">IF(OR(CG23="",CG22="",CG22=0),"",CG23/CG22-1)</f>
        <v/>
      </c>
      <c r="CI38" s="70" t="str">
        <f aca="false">IF(OR(CI23="",CI22=""),"",CI23-CI22)</f>
        <v/>
      </c>
      <c r="CJ38" s="71" t="str">
        <f aca="false">IF(OR(CI23="",CI22="",CI22=0),"",CI23/CI22-1)</f>
        <v/>
      </c>
      <c r="CK38" s="70" t="str">
        <f aca="false">IF(OR(CK23="",CK22=""),"",CK23-CK22)</f>
        <v/>
      </c>
      <c r="CL38" s="71" t="str">
        <f aca="false">IF(OR(CK23="",CK22="",CK22=0),"",CK23/CK22-1)</f>
        <v/>
      </c>
      <c r="CM38" s="70" t="str">
        <f aca="false">IF(OR(CM23="",CM22=""),"",CM23-CM22)</f>
        <v/>
      </c>
      <c r="CN38" s="71" t="str">
        <f aca="false">IF(OR(CM23="",CM22="",CM22=0),"",CM23/CM22-1)</f>
        <v/>
      </c>
      <c r="CO38" s="70" t="str">
        <f aca="false">IF(OR(CO23="",CO22=""),"",CO23-CO22)</f>
        <v/>
      </c>
      <c r="CP38" s="71" t="str">
        <f aca="false">IF(OR(CO23="",CO22="",CO22=0),"",CO23/CO22-1)</f>
        <v/>
      </c>
      <c r="CQ38" s="70" t="str">
        <f aca="false">IF(OR(CQ23="",CQ22=""),"",CQ23-CQ22)</f>
        <v/>
      </c>
      <c r="CR38" s="71" t="str">
        <f aca="false">IF(OR(CQ23="",CQ22="",CQ22=0),"",CQ23/CQ22-1)</f>
        <v/>
      </c>
      <c r="CS38" s="70" t="str">
        <f aca="false">IF(OR(CS23="",CS22=""),"",CS23-CS22)</f>
        <v/>
      </c>
      <c r="CT38" s="71" t="str">
        <f aca="false">IF(OR(CS23="",CS22="",CS22=0),"",CS23/CS22-1)</f>
        <v/>
      </c>
      <c r="CU38" s="70" t="str">
        <f aca="false">IF(OR(CU23="",CU22=""),"",CU23-CU22)</f>
        <v/>
      </c>
      <c r="CV38" s="71" t="str">
        <f aca="false">IF(OR(CU23="",CU22="",CU22=0),"",CU23/CU22-1)</f>
        <v/>
      </c>
      <c r="CW38" s="70" t="str">
        <f aca="false">IF(OR(CW23="",CW22=""),"",CW23-CW22)</f>
        <v/>
      </c>
      <c r="CX38" s="71" t="str">
        <f aca="false">IF(OR(CW23="",CW22="",CW22=0),"",CW23/CW22-1)</f>
        <v/>
      </c>
      <c r="CY38" s="70" t="str">
        <f aca="false">IF(OR(CY23="",CY22=""),"",CY23-CY22)</f>
        <v/>
      </c>
      <c r="CZ38" s="71" t="str">
        <f aca="false">IF(OR(CY23="",CY22="",CY22=0),"",CY23/CY22-1)</f>
        <v/>
      </c>
      <c r="DA38" s="70" t="str">
        <f aca="false">IF(OR(DA23="",DA22=""),"",DA23-DA22)</f>
        <v/>
      </c>
      <c r="DB38" s="71" t="str">
        <f aca="false">IF(OR(DA23="",DA22="",DA22=0),"",DA23/DA22-1)</f>
        <v/>
      </c>
      <c r="DC38" s="70" t="str">
        <f aca="false">IF(OR(DC23="",DC22=""),"",DC23-DC22)</f>
        <v/>
      </c>
      <c r="DD38" s="71" t="str">
        <f aca="false">IF(OR(DC23="",DC22="",DC22=0),"",DC23/DC22-1)</f>
        <v/>
      </c>
      <c r="DE38" s="70" t="str">
        <f aca="false">IF(OR(DE23="",DE22=""),"",DE23-DE22)</f>
        <v/>
      </c>
      <c r="DF38" s="71" t="str">
        <f aca="false">IF(OR(DE23="",DE22="",DE22=0),"",DE23/DE22-1)</f>
        <v/>
      </c>
      <c r="DG38" s="70" t="str">
        <f aca="false">IF(OR(DG23="",DG22=""),"",DG23-DG22)</f>
        <v/>
      </c>
      <c r="DH38" s="71" t="str">
        <f aca="false">IF(OR(DG23="",DG22="",DG22=0),"",DG23/DG22-1)</f>
        <v/>
      </c>
      <c r="DI38" s="70" t="str">
        <f aca="false">IF(OR(DI23="",DI22=""),"",DI23-DI22)</f>
        <v/>
      </c>
      <c r="DJ38" s="71" t="str">
        <f aca="false">IF(OR(DI23="",DI22="",DI22=0),"",DI23/DI22-1)</f>
        <v/>
      </c>
      <c r="DK38" s="70" t="str">
        <f aca="false">IF(OR(DK23="",DK22=""),"",DK23-DK22)</f>
        <v/>
      </c>
      <c r="DL38" s="71" t="str">
        <f aca="false">IF(OR(DK23="",DK22="",DK22=0),"",DK23/DK22-1)</f>
        <v/>
      </c>
      <c r="DM38" s="70" t="str">
        <f aca="false">IF(OR(DM23="",DM22=""),"",DM23-DM22)</f>
        <v/>
      </c>
      <c r="DN38" s="71" t="str">
        <f aca="false">IF(OR(DM23="",DM22="",DM22=0),"",DM23/DM22-1)</f>
        <v/>
      </c>
      <c r="DO38" s="70" t="str">
        <f aca="false">IF(OR(DO23="",DO22=""),"",DO23-DO22)</f>
        <v/>
      </c>
      <c r="DP38" s="71" t="str">
        <f aca="false">IF(OR(DO23="",DO22="",DO22=0),"",DO23/DO22-1)</f>
        <v/>
      </c>
      <c r="DQ38" s="70" t="str">
        <f aca="false">IF(OR(DQ23="",DQ22=""),"",DQ23-DQ22)</f>
        <v/>
      </c>
      <c r="DR38" s="71" t="str">
        <f aca="false">IF(OR(DQ23="",DQ22="",DQ22=0),"",DQ23/DQ22-1)</f>
        <v/>
      </c>
      <c r="DS38" s="70" t="str">
        <f aca="false">IF(OR(DS23="",DS22=""),"",DS23-DS22)</f>
        <v/>
      </c>
      <c r="DT38" s="71" t="str">
        <f aca="false">IF(OR(DS23="",DS22="",DS22=0),"",DS23/DS22-1)</f>
        <v/>
      </c>
      <c r="DU38" s="70" t="str">
        <f aca="false">IF(OR(DU23="",DU22=""),"",DU23-DU22)</f>
        <v/>
      </c>
      <c r="DV38" s="71" t="str">
        <f aca="false">IF(OR(DU23="",DU22="",DU22=0),"",DU23/DU22-1)</f>
        <v/>
      </c>
      <c r="DW38" s="70" t="str">
        <f aca="false">IF(OR(DW23="",DW22=""),"",DW23-DW22)</f>
        <v/>
      </c>
      <c r="DX38" s="71" t="str">
        <f aca="false">IF(OR(DW23="",DW22="",DW22=0),"",DW23/DW22-1)</f>
        <v/>
      </c>
      <c r="DY38" s="70" t="str">
        <f aca="false">IF(OR(DY23="",DY22=""),"",DY23-DY22)</f>
        <v/>
      </c>
      <c r="DZ38" s="71" t="str">
        <f aca="false">IF(OR(DY23="",DY22="",DY22=0),"",DY23/DY22-1)</f>
        <v/>
      </c>
      <c r="EA38" s="70" t="str">
        <f aca="false">IF(OR(EA23="",EA22=""),"",EA23-EA22)</f>
        <v/>
      </c>
      <c r="EB38" s="71" t="str">
        <f aca="false">IF(OR(EA23="",EA22="",EA22=0),"",EA23/EA22-1)</f>
        <v/>
      </c>
      <c r="EC38" s="70" t="str">
        <f aca="false">IF(OR(EC23="",EC22=""),"",EC23-EC22)</f>
        <v/>
      </c>
      <c r="ED38" s="71" t="str">
        <f aca="false">IF(OR(EC23="",EC22="",EC22=0),"",EC23/EC22-1)</f>
        <v/>
      </c>
      <c r="EE38" s="70" t="str">
        <f aca="false">IF(OR(EE23="",EE22=""),"",EE23-EE22)</f>
        <v/>
      </c>
      <c r="EF38" s="71" t="str">
        <f aca="false">IF(OR(EE23="",EE22="",EE22=0),"",EE23/EE22-1)</f>
        <v/>
      </c>
      <c r="EG38" s="70" t="str">
        <f aca="false">IF(OR(EG23="",EG22=""),"",EG23-EG22)</f>
        <v/>
      </c>
      <c r="EH38" s="71" t="str">
        <f aca="false">IF(OR(EG23="",EG22="",EG22=0),"",EG23/EG22-1)</f>
        <v/>
      </c>
      <c r="EI38" s="70" t="str">
        <f aca="false">IF(OR(EI23="",EI22=""),"",EI23-EI22)</f>
        <v/>
      </c>
      <c r="EJ38" s="71" t="str">
        <f aca="false">IF(OR(EI23="",EI22="",EI22=0),"",EI23/EI22-1)</f>
        <v/>
      </c>
      <c r="EK38" s="70" t="str">
        <f aca="false">IF(OR(EK23="",EK22=""),"",EK23-EK22)</f>
        <v/>
      </c>
      <c r="EL38" s="71" t="str">
        <f aca="false">IF(OR(EK23="",EK22="",EK22=0),"",EK23/EK22-1)</f>
        <v/>
      </c>
      <c r="EM38" s="70" t="str">
        <f aca="false">IF(OR(EM23="",EM22=""),"",EM23-EM22)</f>
        <v/>
      </c>
      <c r="EN38" s="71" t="str">
        <f aca="false">IF(OR(EM23="",EM22="",EM22=0),"",EM23/EM22-1)</f>
        <v/>
      </c>
      <c r="EO38" s="70" t="str">
        <f aca="false">IF(OR(EO23="",EO22=""),"",EO23-EO22)</f>
        <v/>
      </c>
      <c r="EP38" s="71" t="str">
        <f aca="false">IF(OR(EO23="",EO22="",EO22=0),"",EO23/EO22-1)</f>
        <v/>
      </c>
      <c r="EQ38" s="70" t="str">
        <f aca="false">IF(OR(EQ23="",EQ22=""),"",EQ23-EQ22)</f>
        <v/>
      </c>
      <c r="ER38" s="71" t="str">
        <f aca="false">IF(OR(EQ23="",EQ22="",EQ22=0),"",EQ23/EQ22-1)</f>
        <v/>
      </c>
      <c r="ES38" s="70" t="str">
        <f aca="false">IF(OR(ES23="",ES22=""),"",ES23-ES22)</f>
        <v/>
      </c>
      <c r="ET38" s="71" t="str">
        <f aca="false">IF(OR(ES23="",ES22="",ES22=0),"",ES23/ES22-1)</f>
        <v/>
      </c>
      <c r="EU38" s="70" t="str">
        <f aca="false">IF(OR(EU23="",EU22=""),"",EU23-EU22)</f>
        <v/>
      </c>
      <c r="EV38" s="71" t="str">
        <f aca="false">IF(OR(EU23="",EU22="",EU22=0),"",EU23/EU22-1)</f>
        <v/>
      </c>
      <c r="EW38" s="70" t="str">
        <f aca="false">IF(OR(EW23="",EW22=""),"",EW23-EW22)</f>
        <v/>
      </c>
      <c r="EX38" s="71" t="str">
        <f aca="false">IF(OR(EW23="",EW22="",EW22=0),"",EW23/EW22-1)</f>
        <v/>
      </c>
      <c r="EY38" s="70" t="str">
        <f aca="false">IF(OR(EY23="",EY22=""),"",EY23-EY22)</f>
        <v/>
      </c>
      <c r="EZ38" s="71" t="str">
        <f aca="false">IF(OR(EY23="",EY22="",EY22=0),"",EY23/EY22-1)</f>
        <v/>
      </c>
      <c r="FA38" s="70" t="str">
        <f aca="false">IF(OR(FA23="",FA22=""),"",FA23-FA22)</f>
        <v/>
      </c>
      <c r="FB38" s="71" t="str">
        <f aca="false">IF(OR(FA23="",FA22="",FA22=0),"",FA23/FA22-1)</f>
        <v/>
      </c>
      <c r="FC38" s="70" t="str">
        <f aca="false">IF(OR(FC23="",FC22=""),"",FC23-FC22)</f>
        <v/>
      </c>
      <c r="FD38" s="71" t="str">
        <f aca="false">IF(OR(FC23="",FC22="",FC22=0),"",FC23/FC22-1)</f>
        <v/>
      </c>
      <c r="FE38" s="70" t="str">
        <f aca="false">IF(OR(FE23="",FE22=""),"",FE23-FE22)</f>
        <v/>
      </c>
      <c r="FF38" s="71" t="str">
        <f aca="false">IF(OR(FE23="",FE22="",FE22=0),"",FE23/FE22-1)</f>
        <v/>
      </c>
      <c r="FG38" s="70" t="str">
        <f aca="false">IF(OR(FG23="",FG22=""),"",FG23-FG22)</f>
        <v/>
      </c>
      <c r="FH38" s="71" t="str">
        <f aca="false">IF(OR(FG23="",FG22="",FG22=0),"",FG23/FG22-1)</f>
        <v/>
      </c>
      <c r="FI38" s="70" t="str">
        <f aca="false">IF(OR(FI23="",FI22=""),"",FI23-FI22)</f>
        <v/>
      </c>
      <c r="FJ38" s="71" t="str">
        <f aca="false">IF(OR(FI23="",FI22="",FI22=0),"",FI23/FI22-1)</f>
        <v/>
      </c>
      <c r="FK38" s="70" t="str">
        <f aca="false">IF(OR(FK23="",FK22=""),"",FK23-FK22)</f>
        <v/>
      </c>
      <c r="FL38" s="71" t="str">
        <f aca="false">IF(OR(FK23="",FK22="",FK22=0),"",FK23/FK22-1)</f>
        <v/>
      </c>
      <c r="FM38" s="70" t="str">
        <f aca="false">IF(OR(FM23="",FM22=""),"",FM23-FM22)</f>
        <v/>
      </c>
      <c r="FN38" s="71" t="str">
        <f aca="false">IF(OR(FM23="",FM22="",FM22=0),"",FM23/FM22-1)</f>
        <v/>
      </c>
      <c r="FO38" s="70" t="str">
        <f aca="false">IF(OR(FO23="",FO22=""),"",FO23-FO22)</f>
        <v/>
      </c>
      <c r="FP38" s="71" t="str">
        <f aca="false">IF(OR(FO23="",FO22="",FO22=0),"",FO23/FO22-1)</f>
        <v/>
      </c>
      <c r="FQ38" s="70" t="str">
        <f aca="false">IF(OR(FQ23="",FQ22=""),"",FQ23-FQ22)</f>
        <v/>
      </c>
      <c r="FR38" s="71" t="str">
        <f aca="false">IF(OR(FQ23="",FQ22="",FQ22=0),"",FQ23/FQ22-1)</f>
        <v/>
      </c>
      <c r="FS38" s="70" t="str">
        <f aca="false">IF(OR(FS23="",FS22=""),"",FS23-FS22)</f>
        <v/>
      </c>
      <c r="FT38" s="71" t="str">
        <f aca="false">IF(OR(FS23="",FS22="",FS22=0),"",FS23/FS22-1)</f>
        <v/>
      </c>
      <c r="FU38" s="70" t="str">
        <f aca="false">IF(OR(FU23="",FU22=""),"",FU23-FU22)</f>
        <v/>
      </c>
      <c r="FV38" s="71" t="str">
        <f aca="false">IF(OR(FU23="",FU22="",FU22=0),"",FU23/FU22-1)</f>
        <v/>
      </c>
      <c r="FW38" s="70" t="str">
        <f aca="false">IF(OR(FW23="",FW22=""),"",FW23-FW22)</f>
        <v/>
      </c>
      <c r="FX38" s="71" t="str">
        <f aca="false">IF(OR(FW23="",FW22="",FW22=0),"",FW23/FW22-1)</f>
        <v/>
      </c>
      <c r="FY38" s="70" t="str">
        <f aca="false">IF(OR(FY23="",FY22=""),"",FY23-FY22)</f>
        <v/>
      </c>
      <c r="FZ38" s="71" t="str">
        <f aca="false">IF(OR(FY23="",FY22="",FY22=0),"",FY23/FY22-1)</f>
        <v/>
      </c>
      <c r="GA38" s="70" t="str">
        <f aca="false">IF(OR(GA23="",GA22=""),"",GA23-GA22)</f>
        <v/>
      </c>
      <c r="GB38" s="71" t="str">
        <f aca="false">IF(OR(GA23="",GA22="",GA22=0),"",GA23/GA22-1)</f>
        <v/>
      </c>
      <c r="GC38" s="70" t="str">
        <f aca="false">IF(OR(GC23="",GC22=""),"",GC23-GC22)</f>
        <v/>
      </c>
      <c r="GD38" s="71" t="str">
        <f aca="false">IF(OR(GC23="",GC22="",GC22=0),"",GC23/GC22-1)</f>
        <v/>
      </c>
      <c r="GE38" s="70" t="str">
        <f aca="false">IF(OR(GE23="",GE22=""),"",GE23-GE22)</f>
        <v/>
      </c>
      <c r="GF38" s="71" t="str">
        <f aca="false">IF(OR(GE23="",GE22="",GE22=0),"",GE23/GE22-1)</f>
        <v/>
      </c>
      <c r="GG38" s="70" t="str">
        <f aca="false">IF(OR(GG23="",GG22=""),"",GG23-GG22)</f>
        <v/>
      </c>
      <c r="GH38" s="71" t="str">
        <f aca="false">IF(OR(GG23="",GG22="",GG22=0),"",GG23/GG22-1)</f>
        <v/>
      </c>
      <c r="GI38" s="70" t="str">
        <f aca="false">IF(OR(GI23="",GI22=""),"",GI23-GI22)</f>
        <v/>
      </c>
      <c r="GJ38" s="71" t="str">
        <f aca="false">IF(OR(GI23="",GI22="",GI22=0),"",GI23/GI22-1)</f>
        <v/>
      </c>
      <c r="GK38" s="70" t="str">
        <f aca="false">IF(OR(GK23="",GK22=""),"",GK23-GK22)</f>
        <v/>
      </c>
      <c r="GL38" s="71" t="str">
        <f aca="false">IF(OR(GK23="",GK22="",GK22=0),"",GK23/GK22-1)</f>
        <v/>
      </c>
      <c r="GM38" s="70" t="str">
        <f aca="false">IF(OR(GM23="",GM22=""),"",GM23-GM22)</f>
        <v/>
      </c>
      <c r="GN38" s="71" t="str">
        <f aca="false">IF(OR(GM23="",GM22="",GM22=0),"",GM23/GM22-1)</f>
        <v/>
      </c>
      <c r="GO38" s="70" t="str">
        <f aca="false">IF(OR(GO23="",GO22=""),"",GO23-GO22)</f>
        <v/>
      </c>
      <c r="GP38" s="71" t="str">
        <f aca="false">IF(OR(GO23="",GO22="",GO22=0),"",GO23/GO22-1)</f>
        <v/>
      </c>
      <c r="GQ38" s="70" t="str">
        <f aca="false">IF(OR(GQ23="",GQ22=""),"",GQ23-GQ22)</f>
        <v/>
      </c>
      <c r="GR38" s="71" t="str">
        <f aca="false">IF(OR(GQ23="",GQ22="",GQ22=0),"",GQ23/GQ22-1)</f>
        <v/>
      </c>
      <c r="GS38" s="70" t="str">
        <f aca="false">IF(OR(GS23="",GS22=""),"",GS23-GS22)</f>
        <v/>
      </c>
      <c r="GT38" s="71" t="str">
        <f aca="false">IF(OR(GS23="",GS22="",GS22=0),"",GS23/GS22-1)</f>
        <v/>
      </c>
      <c r="GU38" s="70" t="str">
        <f aca="false">IF(OR(GU23="",GU22=""),"",GU23-GU22)</f>
        <v/>
      </c>
      <c r="GV38" s="71" t="str">
        <f aca="false">IF(OR(GU23="",GU22="",GU22=0),"",GU23/GU22-1)</f>
        <v/>
      </c>
      <c r="GW38" s="70" t="str">
        <f aca="false">IF(OR(GW23="",GW22=""),"",GW23-GW22)</f>
        <v/>
      </c>
      <c r="GX38" s="71" t="str">
        <f aca="false">IF(OR(GW23="",GW22="",GW22=0),"",GW23/GW22-1)</f>
        <v/>
      </c>
      <c r="GY38" s="70" t="str">
        <f aca="false">IF(OR(GY23="",GY22=""),"",GY23-GY22)</f>
        <v/>
      </c>
      <c r="GZ38" s="71" t="str">
        <f aca="false">IF(OR(GY23="",GY22="",GY22=0),"",GY23/GY22-1)</f>
        <v/>
      </c>
    </row>
    <row r="39" customFormat="false" ht="9" hidden="false" customHeight="true" outlineLevel="0" collapsed="false">
      <c r="A39" s="54"/>
      <c r="B39" s="55"/>
      <c r="C39" s="55"/>
      <c r="D39" s="56"/>
      <c r="E39" s="57"/>
      <c r="H39" s="59"/>
      <c r="I39" s="68"/>
      <c r="J39" s="59"/>
      <c r="K39" s="68"/>
      <c r="L39" s="59"/>
      <c r="M39" s="68"/>
      <c r="N39" s="59"/>
      <c r="O39" s="68"/>
      <c r="P39" s="59"/>
      <c r="Q39" s="68"/>
      <c r="R39" s="59"/>
      <c r="S39" s="68"/>
      <c r="T39" s="59"/>
      <c r="U39" s="68"/>
      <c r="V39" s="59"/>
      <c r="W39" s="68"/>
      <c r="X39" s="59"/>
      <c r="Y39" s="68"/>
      <c r="Z39" s="59"/>
      <c r="AA39" s="68"/>
      <c r="AB39" s="59"/>
      <c r="AC39" s="68"/>
      <c r="AD39" s="59"/>
      <c r="AE39" s="68"/>
      <c r="AF39" s="59"/>
      <c r="AG39" s="68"/>
      <c r="AH39" s="59"/>
      <c r="AI39" s="68"/>
      <c r="AJ39" s="59"/>
      <c r="AK39" s="68"/>
      <c r="AL39" s="59"/>
      <c r="AM39" s="68"/>
      <c r="AN39" s="59"/>
      <c r="AO39" s="68"/>
      <c r="AP39" s="59"/>
      <c r="AQ39" s="68"/>
      <c r="AR39" s="59"/>
      <c r="AS39" s="68"/>
      <c r="AT39" s="59"/>
      <c r="AU39" s="68"/>
      <c r="AV39" s="59"/>
      <c r="AW39" s="68"/>
      <c r="AX39" s="59"/>
      <c r="AY39" s="68"/>
      <c r="AZ39" s="59"/>
      <c r="BA39" s="68"/>
      <c r="BB39" s="59"/>
      <c r="BC39" s="68"/>
      <c r="BD39" s="59"/>
      <c r="BE39" s="68"/>
      <c r="BF39" s="59"/>
      <c r="BG39" s="68"/>
      <c r="BH39" s="59"/>
      <c r="BI39" s="68"/>
      <c r="BJ39" s="59"/>
      <c r="BK39" s="68"/>
      <c r="BL39" s="59"/>
      <c r="BM39" s="68"/>
      <c r="BN39" s="59"/>
      <c r="BO39" s="68"/>
      <c r="BP39" s="59"/>
      <c r="BQ39" s="68"/>
      <c r="BR39" s="59"/>
      <c r="BS39" s="68"/>
      <c r="BT39" s="59"/>
      <c r="BU39" s="68"/>
      <c r="BV39" s="59"/>
      <c r="BW39" s="68"/>
      <c r="BX39" s="59"/>
      <c r="BY39" s="68"/>
      <c r="BZ39" s="59"/>
      <c r="CA39" s="68"/>
      <c r="CB39" s="59"/>
      <c r="CC39" s="68"/>
      <c r="CD39" s="59"/>
      <c r="CE39" s="68"/>
      <c r="CF39" s="59"/>
      <c r="CG39" s="68"/>
      <c r="CH39" s="59"/>
      <c r="CI39" s="68"/>
      <c r="CJ39" s="59"/>
      <c r="CK39" s="68"/>
      <c r="CL39" s="59"/>
      <c r="CM39" s="68"/>
      <c r="CN39" s="59"/>
      <c r="CO39" s="68"/>
      <c r="CP39" s="59"/>
      <c r="CQ39" s="68"/>
      <c r="CR39" s="59"/>
      <c r="CS39" s="68"/>
      <c r="CT39" s="59"/>
      <c r="CU39" s="68"/>
      <c r="CV39" s="59"/>
      <c r="CW39" s="68"/>
      <c r="CX39" s="59"/>
      <c r="CY39" s="68"/>
      <c r="CZ39" s="59"/>
      <c r="DA39" s="68"/>
      <c r="DB39" s="59"/>
      <c r="DC39" s="68"/>
      <c r="DD39" s="59"/>
      <c r="DE39" s="68"/>
      <c r="DF39" s="59"/>
      <c r="DG39" s="68"/>
      <c r="DH39" s="59"/>
      <c r="DI39" s="68"/>
      <c r="DJ39" s="59"/>
      <c r="DK39" s="68"/>
      <c r="DL39" s="59"/>
      <c r="DM39" s="68"/>
      <c r="DN39" s="59"/>
      <c r="DO39" s="68"/>
      <c r="DP39" s="59"/>
      <c r="DQ39" s="68"/>
      <c r="DR39" s="59"/>
      <c r="DS39" s="68"/>
      <c r="DT39" s="59"/>
      <c r="DU39" s="68"/>
      <c r="DV39" s="59"/>
      <c r="DW39" s="68"/>
      <c r="DX39" s="59"/>
      <c r="DY39" s="68"/>
      <c r="DZ39" s="59"/>
      <c r="EA39" s="68"/>
      <c r="EB39" s="59"/>
      <c r="EC39" s="68"/>
      <c r="ED39" s="59"/>
      <c r="EE39" s="68"/>
      <c r="EF39" s="59"/>
      <c r="EG39" s="68"/>
      <c r="EH39" s="59"/>
      <c r="EI39" s="68"/>
      <c r="EJ39" s="59"/>
      <c r="EK39" s="68"/>
      <c r="EL39" s="59"/>
      <c r="EM39" s="68"/>
      <c r="EN39" s="59"/>
      <c r="EO39" s="68"/>
      <c r="EP39" s="59"/>
      <c r="EQ39" s="68"/>
      <c r="ER39" s="59"/>
      <c r="ES39" s="68"/>
      <c r="ET39" s="59"/>
      <c r="EU39" s="68"/>
      <c r="EV39" s="59"/>
      <c r="EW39" s="68"/>
      <c r="EX39" s="59"/>
      <c r="EY39" s="68"/>
      <c r="EZ39" s="59"/>
      <c r="FA39" s="68"/>
      <c r="FB39" s="59"/>
      <c r="FC39" s="68"/>
      <c r="FD39" s="59"/>
      <c r="FE39" s="68"/>
      <c r="FF39" s="59"/>
      <c r="FG39" s="68"/>
      <c r="FH39" s="59"/>
      <c r="FI39" s="68"/>
      <c r="FJ39" s="59"/>
      <c r="FK39" s="68"/>
      <c r="FL39" s="59"/>
      <c r="FM39" s="68"/>
      <c r="FN39" s="59"/>
      <c r="FO39" s="68"/>
      <c r="FP39" s="59"/>
      <c r="FQ39" s="68"/>
      <c r="FR39" s="59"/>
      <c r="FS39" s="68"/>
      <c r="FT39" s="59"/>
      <c r="FU39" s="68"/>
      <c r="FV39" s="59"/>
      <c r="FW39" s="68"/>
      <c r="FX39" s="59"/>
      <c r="FY39" s="68"/>
      <c r="FZ39" s="59"/>
      <c r="GA39" s="68"/>
      <c r="GB39" s="59"/>
      <c r="GC39" s="68"/>
      <c r="GD39" s="59"/>
      <c r="GE39" s="68"/>
      <c r="GF39" s="59"/>
      <c r="GG39" s="68"/>
      <c r="GH39" s="59"/>
      <c r="GI39" s="68"/>
      <c r="GJ39" s="59"/>
      <c r="GK39" s="68"/>
      <c r="GL39" s="59"/>
      <c r="GM39" s="68"/>
      <c r="GN39" s="59"/>
      <c r="GO39" s="68"/>
      <c r="GP39" s="59"/>
      <c r="GQ39" s="68"/>
      <c r="GR39" s="59"/>
      <c r="GS39" s="68"/>
      <c r="GT39" s="59"/>
      <c r="GU39" s="68"/>
      <c r="GV39" s="59"/>
      <c r="GW39" s="68"/>
      <c r="GX39" s="59"/>
      <c r="GY39" s="68"/>
      <c r="GZ39" s="59"/>
    </row>
    <row r="40" customFormat="false" ht="19.5" hidden="false" customHeight="true" outlineLevel="0" collapsed="false">
      <c r="A40" s="4"/>
      <c r="B40" s="36"/>
      <c r="C40" s="36"/>
      <c r="D40" s="49"/>
      <c r="E40" s="50"/>
      <c r="H40" s="47" t="s">
        <v>116</v>
      </c>
      <c r="I40" s="60"/>
      <c r="J40" s="61"/>
      <c r="K40" s="60"/>
      <c r="L40" s="61"/>
      <c r="M40" s="60"/>
      <c r="N40" s="61"/>
      <c r="O40" s="60"/>
      <c r="P40" s="61"/>
      <c r="Q40" s="60"/>
      <c r="R40" s="61"/>
      <c r="S40" s="60"/>
      <c r="T40" s="61"/>
      <c r="U40" s="60"/>
      <c r="V40" s="61"/>
      <c r="W40" s="60"/>
      <c r="X40" s="61"/>
      <c r="Y40" s="60"/>
      <c r="Z40" s="61"/>
      <c r="AA40" s="60"/>
      <c r="AB40" s="61"/>
      <c r="AC40" s="60"/>
      <c r="AD40" s="61"/>
      <c r="AE40" s="60"/>
      <c r="AF40" s="61"/>
      <c r="AG40" s="60"/>
      <c r="AH40" s="61"/>
      <c r="AI40" s="60"/>
      <c r="AJ40" s="61"/>
      <c r="AK40" s="60"/>
      <c r="AL40" s="61"/>
      <c r="AM40" s="60"/>
      <c r="AN40" s="61"/>
      <c r="AO40" s="60"/>
      <c r="AP40" s="61"/>
      <c r="AQ40" s="60"/>
      <c r="AR40" s="61"/>
      <c r="AS40" s="60"/>
      <c r="AT40" s="61"/>
      <c r="AU40" s="60"/>
      <c r="AV40" s="61"/>
      <c r="AW40" s="60"/>
      <c r="AX40" s="61"/>
      <c r="AY40" s="60"/>
      <c r="AZ40" s="61"/>
      <c r="BA40" s="60"/>
      <c r="BB40" s="61"/>
      <c r="BC40" s="60"/>
      <c r="BD40" s="61"/>
      <c r="BE40" s="60"/>
      <c r="BF40" s="61"/>
      <c r="BG40" s="60"/>
      <c r="BH40" s="61"/>
      <c r="BI40" s="60"/>
      <c r="BJ40" s="61"/>
      <c r="BK40" s="60"/>
      <c r="BL40" s="61"/>
      <c r="BM40" s="60"/>
      <c r="BN40" s="61"/>
      <c r="BO40" s="60"/>
      <c r="BP40" s="61"/>
      <c r="BQ40" s="60"/>
      <c r="BR40" s="61"/>
      <c r="BS40" s="60"/>
      <c r="BT40" s="61"/>
      <c r="BU40" s="60"/>
      <c r="BV40" s="61"/>
      <c r="BW40" s="60"/>
      <c r="BX40" s="61"/>
      <c r="BY40" s="60"/>
      <c r="BZ40" s="61"/>
      <c r="CA40" s="60"/>
      <c r="CB40" s="61"/>
      <c r="CC40" s="60"/>
      <c r="CD40" s="61"/>
      <c r="CE40" s="60"/>
      <c r="CF40" s="61"/>
      <c r="CG40" s="60"/>
      <c r="CH40" s="61"/>
      <c r="CI40" s="60"/>
      <c r="CJ40" s="61"/>
      <c r="CK40" s="60"/>
      <c r="CL40" s="61"/>
      <c r="CM40" s="60"/>
      <c r="CN40" s="61"/>
      <c r="CO40" s="60"/>
      <c r="CP40" s="61"/>
      <c r="CQ40" s="60"/>
      <c r="CR40" s="61"/>
      <c r="CS40" s="60"/>
      <c r="CT40" s="61"/>
      <c r="CU40" s="60"/>
      <c r="CV40" s="61"/>
      <c r="CW40" s="60"/>
      <c r="CX40" s="61"/>
      <c r="CY40" s="60"/>
      <c r="CZ40" s="61"/>
      <c r="DA40" s="60"/>
      <c r="DB40" s="61"/>
      <c r="DC40" s="60"/>
      <c r="DD40" s="61"/>
      <c r="DE40" s="60"/>
      <c r="DF40" s="61"/>
      <c r="DG40" s="60"/>
      <c r="DH40" s="61"/>
      <c r="DI40" s="60"/>
      <c r="DJ40" s="61"/>
      <c r="DK40" s="60"/>
      <c r="DL40" s="61"/>
      <c r="DM40" s="60"/>
      <c r="DN40" s="61"/>
      <c r="DO40" s="60"/>
      <c r="DP40" s="61"/>
      <c r="DQ40" s="60"/>
      <c r="DR40" s="61"/>
      <c r="DS40" s="60"/>
      <c r="DT40" s="61"/>
      <c r="DU40" s="60"/>
      <c r="DV40" s="61"/>
      <c r="DW40" s="60"/>
      <c r="DX40" s="61"/>
      <c r="DY40" s="60"/>
      <c r="DZ40" s="61"/>
      <c r="EA40" s="60"/>
      <c r="EB40" s="61"/>
      <c r="EC40" s="60"/>
      <c r="ED40" s="61"/>
      <c r="EE40" s="60"/>
      <c r="EF40" s="61"/>
      <c r="EG40" s="60"/>
      <c r="EH40" s="61"/>
      <c r="EI40" s="60"/>
      <c r="EJ40" s="61"/>
      <c r="EK40" s="60"/>
      <c r="EL40" s="61"/>
      <c r="EM40" s="60"/>
      <c r="EN40" s="61"/>
      <c r="EO40" s="60"/>
      <c r="EP40" s="61"/>
      <c r="EQ40" s="60"/>
      <c r="ER40" s="61"/>
      <c r="ES40" s="60"/>
      <c r="ET40" s="61"/>
      <c r="EU40" s="60"/>
      <c r="EV40" s="61"/>
      <c r="EW40" s="60"/>
      <c r="EX40" s="61"/>
      <c r="EY40" s="60"/>
      <c r="EZ40" s="61"/>
      <c r="FA40" s="60"/>
      <c r="FB40" s="61"/>
      <c r="FC40" s="60"/>
      <c r="FD40" s="61"/>
      <c r="FE40" s="60"/>
      <c r="FF40" s="61"/>
      <c r="FG40" s="60"/>
      <c r="FH40" s="61"/>
      <c r="FI40" s="60"/>
      <c r="FJ40" s="61"/>
      <c r="FK40" s="60"/>
      <c r="FL40" s="61"/>
      <c r="FM40" s="60"/>
      <c r="FN40" s="61"/>
      <c r="FO40" s="60"/>
      <c r="FP40" s="61"/>
      <c r="FQ40" s="60"/>
      <c r="FR40" s="61"/>
      <c r="FS40" s="60"/>
      <c r="FT40" s="61"/>
      <c r="FU40" s="60"/>
      <c r="FV40" s="61"/>
      <c r="FW40" s="60"/>
      <c r="FX40" s="61"/>
      <c r="FY40" s="60"/>
      <c r="FZ40" s="61"/>
      <c r="GA40" s="60"/>
      <c r="GB40" s="61"/>
      <c r="GC40" s="60"/>
      <c r="GD40" s="61"/>
      <c r="GE40" s="60"/>
      <c r="GF40" s="61"/>
      <c r="GG40" s="60"/>
      <c r="GH40" s="61"/>
      <c r="GI40" s="60"/>
      <c r="GJ40" s="61"/>
      <c r="GK40" s="60"/>
      <c r="GL40" s="61"/>
      <c r="GM40" s="60"/>
      <c r="GN40" s="61"/>
      <c r="GO40" s="60"/>
      <c r="GP40" s="61"/>
      <c r="GQ40" s="60"/>
      <c r="GR40" s="61"/>
      <c r="GS40" s="60"/>
      <c r="GT40" s="61"/>
      <c r="GU40" s="60"/>
      <c r="GV40" s="61"/>
      <c r="GW40" s="60"/>
      <c r="GX40" s="61"/>
      <c r="GY40" s="60"/>
      <c r="GZ40" s="61"/>
    </row>
    <row r="41" customFormat="false" ht="15" hidden="false" customHeight="false" outlineLevel="0" collapsed="false">
      <c r="A41" s="54"/>
      <c r="B41" s="55"/>
      <c r="C41" s="55"/>
      <c r="D41" s="56"/>
      <c r="E41" s="57"/>
      <c r="H41" s="73" t="str">
        <f aca="false">IF(ЕТАЛОН_ПЛ="","еталон не обрано — задайте G9","Еталон: "&amp;ЕТАЛОН_ПЛ)</f>
        <v>Еталон: Осінь 2026 Базовий Прайс</v>
      </c>
      <c r="I41" s="45"/>
      <c r="K41" s="45"/>
      <c r="M41" s="45"/>
      <c r="O41" s="45"/>
      <c r="Q41" s="45"/>
      <c r="S41" s="45"/>
      <c r="U41" s="45"/>
      <c r="W41" s="45"/>
      <c r="Y41" s="45"/>
      <c r="AA41" s="45"/>
      <c r="AC41" s="45"/>
      <c r="AE41" s="45"/>
      <c r="AG41" s="45"/>
      <c r="AI41" s="45"/>
      <c r="AK41" s="45"/>
      <c r="AM41" s="45"/>
      <c r="AO41" s="45"/>
      <c r="AQ41" s="45"/>
      <c r="AS41" s="45"/>
      <c r="AU41" s="45"/>
      <c r="AW41" s="45"/>
      <c r="AY41" s="45"/>
      <c r="BA41" s="45"/>
      <c r="BC41" s="45"/>
      <c r="BE41" s="45"/>
      <c r="BG41" s="45"/>
      <c r="BI41" s="45"/>
      <c r="BK41" s="45"/>
      <c r="BM41" s="45"/>
      <c r="BO41" s="45"/>
      <c r="BQ41" s="45"/>
      <c r="BS41" s="45"/>
      <c r="BU41" s="45"/>
      <c r="BW41" s="45"/>
      <c r="BY41" s="45"/>
      <c r="CA41" s="45"/>
      <c r="CC41" s="45"/>
      <c r="CE41" s="45"/>
      <c r="CG41" s="45"/>
      <c r="CI41" s="45"/>
      <c r="CK41" s="45"/>
      <c r="CM41" s="45"/>
      <c r="CO41" s="45"/>
      <c r="CQ41" s="45"/>
      <c r="CS41" s="45"/>
      <c r="CU41" s="45"/>
      <c r="CW41" s="45"/>
      <c r="CY41" s="45"/>
      <c r="DA41" s="45"/>
      <c r="DC41" s="45"/>
      <c r="DE41" s="45"/>
      <c r="DG41" s="45"/>
      <c r="DI41" s="45"/>
      <c r="DK41" s="45"/>
      <c r="DM41" s="45"/>
      <c r="DO41" s="45"/>
      <c r="DQ41" s="45"/>
      <c r="DS41" s="45"/>
      <c r="DU41" s="45"/>
      <c r="DW41" s="45"/>
      <c r="DY41" s="45"/>
      <c r="EA41" s="45"/>
      <c r="EC41" s="45"/>
      <c r="EE41" s="45"/>
      <c r="EG41" s="45"/>
      <c r="EI41" s="45"/>
      <c r="EK41" s="45"/>
      <c r="EM41" s="45"/>
      <c r="EO41" s="45"/>
      <c r="EQ41" s="45"/>
      <c r="ES41" s="45"/>
      <c r="EU41" s="45"/>
      <c r="EW41" s="45"/>
      <c r="EY41" s="45"/>
      <c r="FA41" s="45"/>
      <c r="FC41" s="45"/>
      <c r="FE41" s="45"/>
      <c r="FG41" s="45"/>
      <c r="FI41" s="45"/>
      <c r="FK41" s="45"/>
      <c r="FM41" s="45"/>
      <c r="FO41" s="45"/>
      <c r="FQ41" s="45"/>
      <c r="FS41" s="45"/>
      <c r="FU41" s="45"/>
      <c r="FW41" s="45"/>
      <c r="FY41" s="45"/>
      <c r="GA41" s="45"/>
      <c r="GC41" s="45"/>
      <c r="GE41" s="45"/>
      <c r="GG41" s="45"/>
      <c r="GI41" s="45"/>
      <c r="GK41" s="45"/>
      <c r="GM41" s="45"/>
      <c r="GO41" s="45"/>
      <c r="GQ41" s="45"/>
      <c r="GS41" s="45"/>
      <c r="GU41" s="45"/>
      <c r="GW41" s="45"/>
      <c r="GY41" s="45"/>
    </row>
    <row r="42" customFormat="false" ht="15" hidden="false" customHeight="false" outlineLevel="0" collapsed="false">
      <c r="A42" s="4"/>
      <c r="B42" s="36"/>
      <c r="C42" s="36"/>
      <c r="D42" s="49"/>
      <c r="E42" s="50"/>
      <c r="H42" s="11" t="s">
        <v>14</v>
      </c>
      <c r="I42" s="62" t="s">
        <v>107</v>
      </c>
      <c r="J42" s="11" t="s">
        <v>108</v>
      </c>
      <c r="K42" s="62" t="s">
        <v>107</v>
      </c>
      <c r="L42" s="11" t="s">
        <v>108</v>
      </c>
      <c r="M42" s="62" t="s">
        <v>107</v>
      </c>
      <c r="N42" s="11" t="s">
        <v>108</v>
      </c>
      <c r="O42" s="62" t="s">
        <v>107</v>
      </c>
      <c r="P42" s="11" t="s">
        <v>108</v>
      </c>
      <c r="Q42" s="62" t="s">
        <v>107</v>
      </c>
      <c r="R42" s="11" t="s">
        <v>108</v>
      </c>
      <c r="S42" s="62" t="s">
        <v>107</v>
      </c>
      <c r="T42" s="11" t="s">
        <v>108</v>
      </c>
      <c r="U42" s="62" t="s">
        <v>107</v>
      </c>
      <c r="V42" s="11" t="s">
        <v>108</v>
      </c>
      <c r="W42" s="62" t="s">
        <v>107</v>
      </c>
      <c r="X42" s="11" t="s">
        <v>108</v>
      </c>
      <c r="Y42" s="62" t="s">
        <v>107</v>
      </c>
      <c r="Z42" s="11" t="s">
        <v>108</v>
      </c>
      <c r="AA42" s="62" t="s">
        <v>107</v>
      </c>
      <c r="AB42" s="11" t="s">
        <v>108</v>
      </c>
      <c r="AC42" s="62" t="s">
        <v>107</v>
      </c>
      <c r="AD42" s="11" t="s">
        <v>108</v>
      </c>
      <c r="AE42" s="62" t="s">
        <v>107</v>
      </c>
      <c r="AF42" s="11" t="s">
        <v>108</v>
      </c>
      <c r="AG42" s="62" t="s">
        <v>107</v>
      </c>
      <c r="AH42" s="11" t="s">
        <v>108</v>
      </c>
      <c r="AI42" s="62" t="s">
        <v>107</v>
      </c>
      <c r="AJ42" s="11" t="s">
        <v>108</v>
      </c>
      <c r="AK42" s="62" t="s">
        <v>107</v>
      </c>
      <c r="AL42" s="11" t="s">
        <v>108</v>
      </c>
      <c r="AM42" s="62" t="s">
        <v>107</v>
      </c>
      <c r="AN42" s="11" t="s">
        <v>108</v>
      </c>
      <c r="AO42" s="62" t="s">
        <v>107</v>
      </c>
      <c r="AP42" s="11" t="s">
        <v>108</v>
      </c>
      <c r="AQ42" s="62" t="s">
        <v>107</v>
      </c>
      <c r="AR42" s="11" t="s">
        <v>108</v>
      </c>
      <c r="AS42" s="62" t="s">
        <v>107</v>
      </c>
      <c r="AT42" s="11" t="s">
        <v>108</v>
      </c>
      <c r="AU42" s="62" t="s">
        <v>107</v>
      </c>
      <c r="AV42" s="11" t="s">
        <v>108</v>
      </c>
      <c r="AW42" s="62" t="s">
        <v>107</v>
      </c>
      <c r="AX42" s="11" t="s">
        <v>108</v>
      </c>
      <c r="AY42" s="62" t="s">
        <v>107</v>
      </c>
      <c r="AZ42" s="11" t="s">
        <v>108</v>
      </c>
      <c r="BA42" s="62" t="s">
        <v>107</v>
      </c>
      <c r="BB42" s="11" t="s">
        <v>108</v>
      </c>
      <c r="BC42" s="62" t="s">
        <v>107</v>
      </c>
      <c r="BD42" s="11" t="s">
        <v>108</v>
      </c>
      <c r="BE42" s="62" t="s">
        <v>107</v>
      </c>
      <c r="BF42" s="11" t="s">
        <v>108</v>
      </c>
      <c r="BG42" s="62" t="s">
        <v>107</v>
      </c>
      <c r="BH42" s="11" t="s">
        <v>108</v>
      </c>
      <c r="BI42" s="62" t="s">
        <v>107</v>
      </c>
      <c r="BJ42" s="11" t="s">
        <v>108</v>
      </c>
      <c r="BK42" s="62" t="s">
        <v>107</v>
      </c>
      <c r="BL42" s="11" t="s">
        <v>108</v>
      </c>
      <c r="BM42" s="62" t="s">
        <v>107</v>
      </c>
      <c r="BN42" s="11" t="s">
        <v>108</v>
      </c>
      <c r="BO42" s="62" t="s">
        <v>107</v>
      </c>
      <c r="BP42" s="11" t="s">
        <v>108</v>
      </c>
      <c r="BQ42" s="62" t="s">
        <v>107</v>
      </c>
      <c r="BR42" s="11" t="s">
        <v>108</v>
      </c>
      <c r="BS42" s="62" t="s">
        <v>107</v>
      </c>
      <c r="BT42" s="11" t="s">
        <v>108</v>
      </c>
      <c r="BU42" s="62" t="s">
        <v>107</v>
      </c>
      <c r="BV42" s="11" t="s">
        <v>108</v>
      </c>
      <c r="BW42" s="62" t="s">
        <v>107</v>
      </c>
      <c r="BX42" s="11" t="s">
        <v>108</v>
      </c>
      <c r="BY42" s="62" t="s">
        <v>107</v>
      </c>
      <c r="BZ42" s="11" t="s">
        <v>108</v>
      </c>
      <c r="CA42" s="62" t="s">
        <v>107</v>
      </c>
      <c r="CB42" s="11" t="s">
        <v>108</v>
      </c>
      <c r="CC42" s="62" t="s">
        <v>107</v>
      </c>
      <c r="CD42" s="11" t="s">
        <v>108</v>
      </c>
      <c r="CE42" s="62" t="s">
        <v>107</v>
      </c>
      <c r="CF42" s="11" t="s">
        <v>108</v>
      </c>
      <c r="CG42" s="62" t="s">
        <v>107</v>
      </c>
      <c r="CH42" s="11" t="s">
        <v>108</v>
      </c>
      <c r="CI42" s="62" t="s">
        <v>107</v>
      </c>
      <c r="CJ42" s="11" t="s">
        <v>108</v>
      </c>
      <c r="CK42" s="62" t="s">
        <v>107</v>
      </c>
      <c r="CL42" s="11" t="s">
        <v>108</v>
      </c>
      <c r="CM42" s="62" t="s">
        <v>107</v>
      </c>
      <c r="CN42" s="11" t="s">
        <v>108</v>
      </c>
      <c r="CO42" s="62" t="s">
        <v>107</v>
      </c>
      <c r="CP42" s="11" t="s">
        <v>108</v>
      </c>
      <c r="CQ42" s="62" t="s">
        <v>107</v>
      </c>
      <c r="CR42" s="11" t="s">
        <v>108</v>
      </c>
      <c r="CS42" s="62" t="s">
        <v>107</v>
      </c>
      <c r="CT42" s="11" t="s">
        <v>108</v>
      </c>
      <c r="CU42" s="62" t="s">
        <v>107</v>
      </c>
      <c r="CV42" s="11" t="s">
        <v>108</v>
      </c>
      <c r="CW42" s="62" t="s">
        <v>107</v>
      </c>
      <c r="CX42" s="11" t="s">
        <v>108</v>
      </c>
      <c r="CY42" s="62" t="s">
        <v>107</v>
      </c>
      <c r="CZ42" s="11" t="s">
        <v>108</v>
      </c>
      <c r="DA42" s="62" t="s">
        <v>107</v>
      </c>
      <c r="DB42" s="11" t="s">
        <v>108</v>
      </c>
      <c r="DC42" s="62" t="s">
        <v>107</v>
      </c>
      <c r="DD42" s="11" t="s">
        <v>108</v>
      </c>
      <c r="DE42" s="62" t="s">
        <v>107</v>
      </c>
      <c r="DF42" s="11" t="s">
        <v>108</v>
      </c>
      <c r="DG42" s="62" t="s">
        <v>107</v>
      </c>
      <c r="DH42" s="11" t="s">
        <v>108</v>
      </c>
      <c r="DI42" s="62" t="s">
        <v>107</v>
      </c>
      <c r="DJ42" s="11" t="s">
        <v>108</v>
      </c>
      <c r="DK42" s="62" t="s">
        <v>107</v>
      </c>
      <c r="DL42" s="11" t="s">
        <v>108</v>
      </c>
      <c r="DM42" s="62" t="s">
        <v>107</v>
      </c>
      <c r="DN42" s="11" t="s">
        <v>108</v>
      </c>
      <c r="DO42" s="62" t="s">
        <v>107</v>
      </c>
      <c r="DP42" s="11" t="s">
        <v>108</v>
      </c>
      <c r="DQ42" s="62" t="s">
        <v>107</v>
      </c>
      <c r="DR42" s="11" t="s">
        <v>108</v>
      </c>
      <c r="DS42" s="62" t="s">
        <v>107</v>
      </c>
      <c r="DT42" s="11" t="s">
        <v>108</v>
      </c>
      <c r="DU42" s="62" t="s">
        <v>107</v>
      </c>
      <c r="DV42" s="11" t="s">
        <v>108</v>
      </c>
      <c r="DW42" s="62" t="s">
        <v>107</v>
      </c>
      <c r="DX42" s="11" t="s">
        <v>108</v>
      </c>
      <c r="DY42" s="62" t="s">
        <v>107</v>
      </c>
      <c r="DZ42" s="11" t="s">
        <v>108</v>
      </c>
      <c r="EA42" s="62" t="s">
        <v>107</v>
      </c>
      <c r="EB42" s="11" t="s">
        <v>108</v>
      </c>
      <c r="EC42" s="62" t="s">
        <v>107</v>
      </c>
      <c r="ED42" s="11" t="s">
        <v>108</v>
      </c>
      <c r="EE42" s="62" t="s">
        <v>107</v>
      </c>
      <c r="EF42" s="11" t="s">
        <v>108</v>
      </c>
      <c r="EG42" s="62" t="s">
        <v>107</v>
      </c>
      <c r="EH42" s="11" t="s">
        <v>108</v>
      </c>
      <c r="EI42" s="62" t="s">
        <v>107</v>
      </c>
      <c r="EJ42" s="11" t="s">
        <v>108</v>
      </c>
      <c r="EK42" s="62" t="s">
        <v>107</v>
      </c>
      <c r="EL42" s="11" t="s">
        <v>108</v>
      </c>
      <c r="EM42" s="62" t="s">
        <v>107</v>
      </c>
      <c r="EN42" s="11" t="s">
        <v>108</v>
      </c>
      <c r="EO42" s="62" t="s">
        <v>107</v>
      </c>
      <c r="EP42" s="11" t="s">
        <v>108</v>
      </c>
      <c r="EQ42" s="62" t="s">
        <v>107</v>
      </c>
      <c r="ER42" s="11" t="s">
        <v>108</v>
      </c>
      <c r="ES42" s="62" t="s">
        <v>107</v>
      </c>
      <c r="ET42" s="11" t="s">
        <v>108</v>
      </c>
      <c r="EU42" s="62" t="s">
        <v>107</v>
      </c>
      <c r="EV42" s="11" t="s">
        <v>108</v>
      </c>
      <c r="EW42" s="62" t="s">
        <v>107</v>
      </c>
      <c r="EX42" s="11" t="s">
        <v>108</v>
      </c>
      <c r="EY42" s="62" t="s">
        <v>107</v>
      </c>
      <c r="EZ42" s="11" t="s">
        <v>108</v>
      </c>
      <c r="FA42" s="62" t="s">
        <v>107</v>
      </c>
      <c r="FB42" s="11" t="s">
        <v>108</v>
      </c>
      <c r="FC42" s="62" t="s">
        <v>107</v>
      </c>
      <c r="FD42" s="11" t="s">
        <v>108</v>
      </c>
      <c r="FE42" s="62" t="s">
        <v>107</v>
      </c>
      <c r="FF42" s="11" t="s">
        <v>108</v>
      </c>
      <c r="FG42" s="62" t="s">
        <v>107</v>
      </c>
      <c r="FH42" s="11" t="s">
        <v>108</v>
      </c>
      <c r="FI42" s="62" t="s">
        <v>107</v>
      </c>
      <c r="FJ42" s="11" t="s">
        <v>108</v>
      </c>
      <c r="FK42" s="62" t="s">
        <v>107</v>
      </c>
      <c r="FL42" s="11" t="s">
        <v>108</v>
      </c>
      <c r="FM42" s="62" t="s">
        <v>107</v>
      </c>
      <c r="FN42" s="11" t="s">
        <v>108</v>
      </c>
      <c r="FO42" s="62" t="s">
        <v>107</v>
      </c>
      <c r="FP42" s="11" t="s">
        <v>108</v>
      </c>
      <c r="FQ42" s="62" t="s">
        <v>107</v>
      </c>
      <c r="FR42" s="11" t="s">
        <v>108</v>
      </c>
      <c r="FS42" s="62" t="s">
        <v>107</v>
      </c>
      <c r="FT42" s="11" t="s">
        <v>108</v>
      </c>
      <c r="FU42" s="62" t="s">
        <v>107</v>
      </c>
      <c r="FV42" s="11" t="s">
        <v>108</v>
      </c>
      <c r="FW42" s="62" t="s">
        <v>107</v>
      </c>
      <c r="FX42" s="11" t="s">
        <v>108</v>
      </c>
      <c r="FY42" s="62" t="s">
        <v>107</v>
      </c>
      <c r="FZ42" s="11" t="s">
        <v>108</v>
      </c>
      <c r="GA42" s="62" t="s">
        <v>107</v>
      </c>
      <c r="GB42" s="11" t="s">
        <v>108</v>
      </c>
      <c r="GC42" s="62" t="s">
        <v>107</v>
      </c>
      <c r="GD42" s="11" t="s">
        <v>108</v>
      </c>
      <c r="GE42" s="62" t="s">
        <v>107</v>
      </c>
      <c r="GF42" s="11" t="s">
        <v>108</v>
      </c>
      <c r="GG42" s="62" t="s">
        <v>107</v>
      </c>
      <c r="GH42" s="11" t="s">
        <v>108</v>
      </c>
      <c r="GI42" s="62" t="s">
        <v>107</v>
      </c>
      <c r="GJ42" s="11" t="s">
        <v>108</v>
      </c>
      <c r="GK42" s="62" t="s">
        <v>107</v>
      </c>
      <c r="GL42" s="11" t="s">
        <v>108</v>
      </c>
      <c r="GM42" s="62" t="s">
        <v>107</v>
      </c>
      <c r="GN42" s="11" t="s">
        <v>108</v>
      </c>
      <c r="GO42" s="62" t="s">
        <v>107</v>
      </c>
      <c r="GP42" s="11" t="s">
        <v>108</v>
      </c>
      <c r="GQ42" s="62" t="s">
        <v>107</v>
      </c>
      <c r="GR42" s="11" t="s">
        <v>108</v>
      </c>
      <c r="GS42" s="62" t="s">
        <v>107</v>
      </c>
      <c r="GT42" s="11" t="s">
        <v>108</v>
      </c>
      <c r="GU42" s="62" t="s">
        <v>107</v>
      </c>
      <c r="GV42" s="11" t="s">
        <v>108</v>
      </c>
      <c r="GW42" s="62" t="s">
        <v>107</v>
      </c>
      <c r="GX42" s="11" t="s">
        <v>108</v>
      </c>
      <c r="GY42" s="62" t="s">
        <v>107</v>
      </c>
      <c r="GZ42" s="11" t="s">
        <v>108</v>
      </c>
    </row>
    <row r="43" customFormat="false" ht="15" hidden="false" customHeight="false" outlineLevel="0" collapsed="false">
      <c r="A43" s="54"/>
      <c r="B43" s="55"/>
      <c r="C43" s="55"/>
      <c r="D43" s="56"/>
      <c r="E43" s="57"/>
      <c r="H43" s="16" t="str">
        <f aca="false">IF('Довідник категорій'!B5="","",'Довідник категорій'!B5)</f>
        <v>Classic Chalet</v>
      </c>
      <c r="I43" s="70" t="n">
        <f aca="false">IF(OR(I12="",ЕТАЛОН_ПЛ="",IFERROR(INDEX(БАЗА_ЦІНИ,1,IFERROR(MATCH(ЕТАЛОН_ПЛ,ПЛ_РЯДОК,0),0)),"")=""),"",I12-IFERROR(INDEX(БАЗА_ЦІНИ,1,IFERROR(MATCH(ЕТАЛОН_ПЛ,ПЛ_РЯДОК,0),0)),""))</f>
        <v>-2500</v>
      </c>
      <c r="J43" s="71" t="n">
        <f aca="false">IF(OR(I12="",ЕТАЛОН_ПЛ="",IFERROR(INDEX(БАЗА_ЦІНИ,1,IFERROR(MATCH(ЕТАЛОН_ПЛ,ПЛ_РЯДОК,0),0)),"")="",IFERROR(INDEX(БАЗА_ЦІНИ,1,IFERROR(MATCH(ЕТАЛОН_ПЛ,ПЛ_РЯДОК,0),0)),"")=0),"",I12/IFERROR(INDEX(БАЗА_ЦІНИ,1,IFERROR(MATCH(ЕТАЛОН_ПЛ,ПЛ_РЯДОК,0),0)),"")-1)</f>
        <v>-0.416666666666667</v>
      </c>
      <c r="K43" s="70" t="n">
        <f aca="false">IF(OR(K12="",ЕТАЛОН_ПЛ="",IFERROR(INDEX(БАЗА_ЦІНИ,1,IFERROR(MATCH(ЕТАЛОН_ПЛ,ПЛ_РЯДОК,0),0)),"")=""),"",K12-IFERROR(INDEX(БАЗА_ЦІНИ,1,IFERROR(MATCH(ЕТАЛОН_ПЛ,ПЛ_РЯДОК,0),0)),""))</f>
        <v>0</v>
      </c>
      <c r="L43" s="71" t="n">
        <f aca="false">IF(OR(K12="",ЕТАЛОН_ПЛ="",IFERROR(INDEX(БАЗА_ЦІНИ,1,IFERROR(MATCH(ЕТАЛОН_ПЛ,ПЛ_РЯДОК,0),0)),"")="",IFERROR(INDEX(БАЗА_ЦІНИ,1,IFERROR(MATCH(ЕТАЛОН_ПЛ,ПЛ_РЯДОК,0),0)),"")=0),"",K12/IFERROR(INDEX(БАЗА_ЦІНИ,1,IFERROR(MATCH(ЕТАЛОН_ПЛ,ПЛ_РЯДОК,0),0)),"")-1)</f>
        <v>0</v>
      </c>
      <c r="M43" s="70" t="n">
        <f aca="false">IF(OR(M12="",ЕТАЛОН_ПЛ="",IFERROR(INDEX(БАЗА_ЦІНИ,1,IFERROR(MATCH(ЕТАЛОН_ПЛ,ПЛ_РЯДОК,0),0)),"")=""),"",M12-IFERROR(INDEX(БАЗА_ЦІНИ,1,IFERROR(MATCH(ЕТАЛОН_ПЛ,ПЛ_РЯДОК,0),0)),""))</f>
        <v>-1800</v>
      </c>
      <c r="N43" s="71" t="n">
        <f aca="false">IF(OR(M12="",ЕТАЛОН_ПЛ="",IFERROR(INDEX(БАЗА_ЦІНИ,1,IFERROR(MATCH(ЕТАЛОН_ПЛ,ПЛ_РЯДОК,0),0)),"")="",IFERROR(INDEX(БАЗА_ЦІНИ,1,IFERROR(MATCH(ЕТАЛОН_ПЛ,ПЛ_РЯДОК,0),0)),"")=0),"",M12/IFERROR(INDEX(БАЗА_ЦІНИ,1,IFERROR(MATCH(ЕТАЛОН_ПЛ,ПЛ_РЯДОК,0),0)),"")-1)</f>
        <v>-0.3</v>
      </c>
      <c r="O43" s="70" t="n">
        <f aca="false">IF(OR(O12="",ЕТАЛОН_ПЛ="",IFERROR(INDEX(БАЗА_ЦІНИ,1,IFERROR(MATCH(ЕТАЛОН_ПЛ,ПЛ_РЯДОК,0),0)),"")=""),"",O12-IFERROR(INDEX(БАЗА_ЦІНИ,1,IFERROR(MATCH(ЕТАЛОН_ПЛ,ПЛ_РЯДОК,0),0)),""))</f>
        <v>-900</v>
      </c>
      <c r="P43" s="71" t="n">
        <f aca="false">IF(OR(O12="",ЕТАЛОН_ПЛ="",IFERROR(INDEX(БАЗА_ЦІНИ,1,IFERROR(MATCH(ЕТАЛОН_ПЛ,ПЛ_РЯДОК,0),0)),"")="",IFERROR(INDEX(БАЗА_ЦІНИ,1,IFERROR(MATCH(ЕТАЛОН_ПЛ,ПЛ_РЯДОК,0),0)),"")=0),"",O12/IFERROR(INDEX(БАЗА_ЦІНИ,1,IFERROR(MATCH(ЕТАЛОН_ПЛ,ПЛ_РЯДОК,0),0)),"")-1)</f>
        <v>-0.15</v>
      </c>
      <c r="Q43" s="70" t="n">
        <f aca="false">IF(OR(Q12="",ЕТАЛОН_ПЛ="",IFERROR(INDEX(БАЗА_ЦІНИ,1,IFERROR(MATCH(ЕТАЛОН_ПЛ,ПЛ_РЯДОК,0),0)),"")=""),"",Q12-IFERROR(INDEX(БАЗА_ЦІНИ,1,IFERROR(MATCH(ЕТАЛОН_ПЛ,ПЛ_РЯДОК,0),0)),""))</f>
        <v>-1500.12</v>
      </c>
      <c r="R43" s="71" t="n">
        <f aca="false">IF(OR(Q12="",ЕТАЛОН_ПЛ="",IFERROR(INDEX(БАЗА_ЦІНИ,1,IFERROR(MATCH(ЕТАЛОН_ПЛ,ПЛ_РЯДОК,0),0)),"")="",IFERROR(INDEX(БАЗА_ЦІНИ,1,IFERROR(MATCH(ЕТАЛОН_ПЛ,ПЛ_РЯДОК,0),0)),"")=0),"",Q12/IFERROR(INDEX(БАЗА_ЦІНИ,1,IFERROR(MATCH(ЕТАЛОН_ПЛ,ПЛ_РЯДОК,0),0)),"")-1)</f>
        <v>-0.25002</v>
      </c>
      <c r="S43" s="70" t="n">
        <f aca="false">IF(OR(S12="",ЕТАЛОН_ПЛ="",IFERROR(INDEX(БАЗА_ЦІНИ,1,IFERROR(MATCH(ЕТАЛОН_ПЛ,ПЛ_РЯДОК,0),0)),"")=""),"",S12-IFERROR(INDEX(БАЗА_ЦІНИ,1,IFERROR(MATCH(ЕТАЛОН_ПЛ,ПЛ_РЯДОК,0),0)),""))</f>
        <v>-535.86</v>
      </c>
      <c r="T43" s="71" t="n">
        <f aca="false">IF(OR(S12="",ЕТАЛОН_ПЛ="",IFERROR(INDEX(БАЗА_ЦІНИ,1,IFERROR(MATCH(ЕТАЛОН_ПЛ,ПЛ_РЯДОК,0),0)),"")="",IFERROR(INDEX(БАЗА_ЦІНИ,1,IFERROR(MATCH(ЕТАЛОН_ПЛ,ПЛ_РЯДОК,0),0)),"")=0),"",S12/IFERROR(INDEX(БАЗА_ЦІНИ,1,IFERROR(MATCH(ЕТАЛОН_ПЛ,ПЛ_РЯДОК,0),0)),"")-1)</f>
        <v>-0.08931</v>
      </c>
      <c r="U43" s="70" t="n">
        <f aca="false">IF(OR(U12="",ЕТАЛОН_ПЛ="",IFERROR(INDEX(БАЗА_ЦІНИ,1,IFERROR(MATCH(ЕТАЛОН_ПЛ,ПЛ_РЯДОК,0),0)),"")=""),"",U12-IFERROR(INDEX(БАЗА_ЦІНИ,1,IFERROR(MATCH(ЕТАЛОН_ПЛ,ПЛ_РЯДОК,0),0)),""))</f>
        <v>-1178.828568</v>
      </c>
      <c r="V43" s="71" t="n">
        <f aca="false">IF(OR(U12="",ЕТАЛОН_ПЛ="",IFERROR(INDEX(БАЗА_ЦІНИ,1,IFERROR(MATCH(ЕТАЛОН_ПЛ,ПЛ_РЯДОК,0),0)),"")="",IFERROR(INDEX(БАЗА_ЦІНИ,1,IFERROR(MATCH(ЕТАЛОН_ПЛ,ПЛ_РЯДОК,0),0)),"")=0),"",U12/IFERROR(INDEX(БАЗА_ЦІНИ,1,IFERROR(MATCH(ЕТАЛОН_ПЛ,ПЛ_РЯДОК,0),0)),"")-1)</f>
        <v>-0.196471428</v>
      </c>
      <c r="W43" s="70" t="n">
        <f aca="false">IF(OR(W12="",ЕТАЛОН_ПЛ="",IFERROR(INDEX(БАЗА_ЦІНИ,1,IFERROR(MATCH(ЕТАЛОН_ПЛ,ПЛ_РЯДОК,0),0)),"")=""),"",W12-IFERROR(INDEX(БАЗА_ЦІНИ,1,IFERROR(MATCH(ЕТАЛОН_ПЛ,ПЛ_РЯДОК,0),0)),""))</f>
        <v>-145.720404</v>
      </c>
      <c r="X43" s="71" t="n">
        <f aca="false">IF(OR(W12="",ЕТАЛОН_ПЛ="",IFERROR(INDEX(БАЗА_ЦІНИ,1,IFERROR(MATCH(ЕТАЛОН_ПЛ,ПЛ_РЯДОК,0),0)),"")="",IFERROR(INDEX(БАЗА_ЦІНИ,1,IFERROR(MATCH(ЕТАЛОН_ПЛ,ПЛ_РЯДОК,0),0)),"")=0),"",W12/IFERROR(INDEX(БАЗА_ЦІНИ,1,IFERROR(MATCH(ЕТАЛОН_ПЛ,ПЛ_РЯДОК,0),0)),"")-1)</f>
        <v>-0.0242867339999999</v>
      </c>
      <c r="Y43" s="70" t="n">
        <f aca="false">IF(OR(Y12="",ЕТАЛОН_ПЛ="",IFERROR(INDEX(БАЗА_ЦІНИ,1,IFERROR(MATCH(ЕТАЛОН_ПЛ,ПЛ_РЯДОК,0),0)),"")=""),"",Y12-IFERROR(INDEX(БАЗА_ЦІНИ,1,IFERROR(MATCH(ЕТАЛОН_ПЛ,ПЛ_РЯДОК,0),0)),""))</f>
        <v>-834.596928</v>
      </c>
      <c r="Z43" s="71" t="n">
        <f aca="false">IF(OR(Y12="",ЕТАЛОН_ПЛ="",IFERROR(INDEX(БАЗА_ЦІНИ,1,IFERROR(MATCH(ЕТАЛОН_ПЛ,ПЛ_РЯДОК,0),0)),"")="",IFERROR(INDEX(БАЗА_ЦІНИ,1,IFERROR(MATCH(ЕТАЛОН_ПЛ,ПЛ_РЯДОК,0),0)),"")=0),"",Y12/IFERROR(INDEX(БАЗА_ЦІНИ,1,IFERROR(MATCH(ЕТАЛОН_ПЛ,ПЛ_РЯДОК,0),0)),"")-1)</f>
        <v>-0.139099488</v>
      </c>
      <c r="AA43" s="70" t="n">
        <f aca="false">IF(OR(AA12="",ЕТАЛОН_ПЛ="",IFERROR(INDEX(БАЗА_ЦІНИ,1,IFERROR(MATCH(ЕТАЛОН_ПЛ,ПЛ_РЯДОК,0),0)),"")=""),"",AA12-IFERROR(INDEX(БАЗА_ЦІНИ,1,IFERROR(MATCH(ЕТАЛОН_ПЛ,ПЛ_РЯДОК,0),0)),""))</f>
        <v>272.275159</v>
      </c>
      <c r="AB43" s="71" t="n">
        <f aca="false">IF(OR(AA12="",ЕТАЛОН_ПЛ="",IFERROR(INDEX(БАЗА_ЦІНИ,1,IFERROR(MATCH(ЕТАЛОН_ПЛ,ПЛ_РЯДОК,0),0)),"")="",IFERROR(INDEX(БАЗА_ЦІНИ,1,IFERROR(MATCH(ЕТАЛОН_ПЛ,ПЛ_РЯДОК,0),0)),"")=0),"",AA12/IFERROR(INDEX(БАЗА_ЦІНИ,1,IFERROR(MATCH(ЕТАЛОН_ПЛ,ПЛ_РЯДОК,0),0)),"")-1)</f>
        <v>0.0453791931666667</v>
      </c>
      <c r="AC43" s="70" t="n">
        <f aca="false">IF(OR(AC12="",ЕТАЛОН_ПЛ="",IFERROR(INDEX(БАЗА_ЦІНИ,1,IFERROR(MATCH(ЕТАЛОН_ПЛ,ПЛ_РЯДОК,0),0)),"")=""),"",AC12-IFERROR(INDEX(БАЗА_ЦІНИ,1,IFERROR(MATCH(ЕТАЛОН_ПЛ,ПЛ_РЯДОК,0),0)),""))</f>
        <v>-465.787148</v>
      </c>
      <c r="AD43" s="71" t="n">
        <f aca="false">IF(OR(AC12="",ЕТАЛОН_ПЛ="",IFERROR(INDEX(БАЗА_ЦІНИ,1,IFERROR(MATCH(ЕТАЛОН_ПЛ,ПЛ_РЯДОК,0),0)),"")="",IFERROR(INDEX(БАЗА_ЦІНИ,1,IFERROR(MATCH(ЕТАЛОН_ПЛ,ПЛ_РЯДОК,0),0)),"")=0),"",AC12/IFERROR(INDEX(БАЗА_ЦІНИ,1,IFERROR(MATCH(ЕТАЛОН_ПЛ,ПЛ_РЯДОК,0),0)),"")-1)</f>
        <v>-0.0776311913333334</v>
      </c>
      <c r="AE43" s="70" t="n">
        <f aca="false">IF(OR(AE12="",ЕТАЛОН_ПЛ="",IFERROR(INDEX(БАЗА_ЦІНИ,1,IFERROR(MATCH(ЕТАЛОН_ПЛ,ПЛ_РЯДОК,0),0)),"")=""),"",AE12-IFERROR(INDEX(БАЗА_ЦІНИ,1,IFERROR(MATCH(ЕТАЛОН_ПЛ,ПЛ_РЯДОК,0),0)),""))</f>
        <v>720.115606</v>
      </c>
      <c r="AF43" s="71" t="n">
        <f aca="false">IF(OR(AE12="",ЕТАЛОН_ПЛ="",IFERROR(INDEX(БАЗА_ЦІНИ,1,IFERROR(MATCH(ЕТАЛОН_ПЛ,ПЛ_РЯДОК,0),0)),"")="",IFERROR(INDEX(БАЗА_ЦІНИ,1,IFERROR(MATCH(ЕТАЛОН_ПЛ,ПЛ_РЯДОК,0),0)),"")=0),"",AE12/IFERROR(INDEX(БАЗА_ЦІНИ,1,IFERROR(MATCH(ЕТАЛОН_ПЛ,ПЛ_РЯДОК,0),0)),"")-1)</f>
        <v>0.120019267666667</v>
      </c>
      <c r="AG43" s="70" t="str">
        <f aca="false">IF(OR(AG12="",ЕТАЛОН_ПЛ="",IFERROR(INDEX(БАЗА_ЦІНИ,1,IFERROR(MATCH(ЕТАЛОН_ПЛ,ПЛ_РЯДОК,0),0)),"")=""),"",AG12-IFERROR(INDEX(БАЗА_ЦІНИ,1,IFERROR(MATCH(ЕТАЛОН_ПЛ,ПЛ_РЯДОК,0),0)),""))</f>
        <v/>
      </c>
      <c r="AH43" s="71" t="str">
        <f aca="false">IF(OR(AG12="",ЕТАЛОН_ПЛ="",IFERROR(INDEX(БАЗА_ЦІНИ,1,IFERROR(MATCH(ЕТАЛОН_ПЛ,ПЛ_РЯДОК,0),0)),"")="",IFERROR(INDEX(БАЗА_ЦІНИ,1,IFERROR(MATCH(ЕТАЛОН_ПЛ,ПЛ_РЯДОК,0),0)),"")=0),"",AG12/IFERROR(INDEX(БАЗА_ЦІНИ,1,IFERROR(MATCH(ЕТАЛОН_ПЛ,ПЛ_РЯДОК,0),0)),"")-1)</f>
        <v/>
      </c>
      <c r="AI43" s="70" t="str">
        <f aca="false">IF(OR(AI12="",ЕТАЛОН_ПЛ="",IFERROR(INDEX(БАЗА_ЦІНИ,1,IFERROR(MATCH(ЕТАЛОН_ПЛ,ПЛ_РЯДОК,0),0)),"")=""),"",AI12-IFERROR(INDEX(БАЗА_ЦІНИ,1,IFERROR(MATCH(ЕТАЛОН_ПЛ,ПЛ_РЯДОК,0),0)),""))</f>
        <v/>
      </c>
      <c r="AJ43" s="71" t="str">
        <f aca="false">IF(OR(AI12="",ЕТАЛОН_ПЛ="",IFERROR(INDEX(БАЗА_ЦІНИ,1,IFERROR(MATCH(ЕТАЛОН_ПЛ,ПЛ_РЯДОК,0),0)),"")="",IFERROR(INDEX(БАЗА_ЦІНИ,1,IFERROR(MATCH(ЕТАЛОН_ПЛ,ПЛ_РЯДОК,0),0)),"")=0),"",AI12/IFERROR(INDEX(БАЗА_ЦІНИ,1,IFERROR(MATCH(ЕТАЛОН_ПЛ,ПЛ_РЯДОК,0),0)),"")-1)</f>
        <v/>
      </c>
      <c r="AK43" s="70" t="str">
        <f aca="false">IF(OR(AK12="",ЕТАЛОН_ПЛ="",IFERROR(INDEX(БАЗА_ЦІНИ,1,IFERROR(MATCH(ЕТАЛОН_ПЛ,ПЛ_РЯДОК,0),0)),"")=""),"",AK12-IFERROR(INDEX(БАЗА_ЦІНИ,1,IFERROR(MATCH(ЕТАЛОН_ПЛ,ПЛ_РЯДОК,0),0)),""))</f>
        <v/>
      </c>
      <c r="AL43" s="71" t="str">
        <f aca="false">IF(OR(AK12="",ЕТАЛОН_ПЛ="",IFERROR(INDEX(БАЗА_ЦІНИ,1,IFERROR(MATCH(ЕТАЛОН_ПЛ,ПЛ_РЯДОК,0),0)),"")="",IFERROR(INDEX(БАЗА_ЦІНИ,1,IFERROR(MATCH(ЕТАЛОН_ПЛ,ПЛ_РЯДОК,0),0)),"")=0),"",AK12/IFERROR(INDEX(БАЗА_ЦІНИ,1,IFERROR(MATCH(ЕТАЛОН_ПЛ,ПЛ_РЯДОК,0),0)),"")-1)</f>
        <v/>
      </c>
      <c r="AM43" s="70" t="str">
        <f aca="false">IF(OR(AM12="",ЕТАЛОН_ПЛ="",IFERROR(INDEX(БАЗА_ЦІНИ,1,IFERROR(MATCH(ЕТАЛОН_ПЛ,ПЛ_РЯДОК,0),0)),"")=""),"",AM12-IFERROR(INDEX(БАЗА_ЦІНИ,1,IFERROR(MATCH(ЕТАЛОН_ПЛ,ПЛ_РЯДОК,0),0)),""))</f>
        <v/>
      </c>
      <c r="AN43" s="71" t="str">
        <f aca="false">IF(OR(AM12="",ЕТАЛОН_ПЛ="",IFERROR(INDEX(БАЗА_ЦІНИ,1,IFERROR(MATCH(ЕТАЛОН_ПЛ,ПЛ_РЯДОК,0),0)),"")="",IFERROR(INDEX(БАЗА_ЦІНИ,1,IFERROR(MATCH(ЕТАЛОН_ПЛ,ПЛ_РЯДОК,0),0)),"")=0),"",AM12/IFERROR(INDEX(БАЗА_ЦІНИ,1,IFERROR(MATCH(ЕТАЛОН_ПЛ,ПЛ_РЯДОК,0),0)),"")-1)</f>
        <v/>
      </c>
      <c r="AO43" s="70" t="str">
        <f aca="false">IF(OR(AO12="",ЕТАЛОН_ПЛ="",IFERROR(INDEX(БАЗА_ЦІНИ,1,IFERROR(MATCH(ЕТАЛОН_ПЛ,ПЛ_РЯДОК,0),0)),"")=""),"",AO12-IFERROR(INDEX(БАЗА_ЦІНИ,1,IFERROR(MATCH(ЕТАЛОН_ПЛ,ПЛ_РЯДОК,0),0)),""))</f>
        <v/>
      </c>
      <c r="AP43" s="71" t="str">
        <f aca="false">IF(OR(AO12="",ЕТАЛОН_ПЛ="",IFERROR(INDEX(БАЗА_ЦІНИ,1,IFERROR(MATCH(ЕТАЛОН_ПЛ,ПЛ_РЯДОК,0),0)),"")="",IFERROR(INDEX(БАЗА_ЦІНИ,1,IFERROR(MATCH(ЕТАЛОН_ПЛ,ПЛ_РЯДОК,0),0)),"")=0),"",AO12/IFERROR(INDEX(БАЗА_ЦІНИ,1,IFERROR(MATCH(ЕТАЛОН_ПЛ,ПЛ_РЯДОК,0),0)),"")-1)</f>
        <v/>
      </c>
      <c r="AQ43" s="70" t="str">
        <f aca="false">IF(OR(AQ12="",ЕТАЛОН_ПЛ="",IFERROR(INDEX(БАЗА_ЦІНИ,1,IFERROR(MATCH(ЕТАЛОН_ПЛ,ПЛ_РЯДОК,0),0)),"")=""),"",AQ12-IFERROR(INDEX(БАЗА_ЦІНИ,1,IFERROR(MATCH(ЕТАЛОН_ПЛ,ПЛ_РЯДОК,0),0)),""))</f>
        <v/>
      </c>
      <c r="AR43" s="71" t="str">
        <f aca="false">IF(OR(AQ12="",ЕТАЛОН_ПЛ="",IFERROR(INDEX(БАЗА_ЦІНИ,1,IFERROR(MATCH(ЕТАЛОН_ПЛ,ПЛ_РЯДОК,0),0)),"")="",IFERROR(INDEX(БАЗА_ЦІНИ,1,IFERROR(MATCH(ЕТАЛОН_ПЛ,ПЛ_РЯДОК,0),0)),"")=0),"",AQ12/IFERROR(INDEX(БАЗА_ЦІНИ,1,IFERROR(MATCH(ЕТАЛОН_ПЛ,ПЛ_РЯДОК,0),0)),"")-1)</f>
        <v/>
      </c>
      <c r="AS43" s="70" t="str">
        <f aca="false">IF(OR(AS12="",ЕТАЛОН_ПЛ="",IFERROR(INDEX(БАЗА_ЦІНИ,1,IFERROR(MATCH(ЕТАЛОН_ПЛ,ПЛ_РЯДОК,0),0)),"")=""),"",AS12-IFERROR(INDEX(БАЗА_ЦІНИ,1,IFERROR(MATCH(ЕТАЛОН_ПЛ,ПЛ_РЯДОК,0),0)),""))</f>
        <v/>
      </c>
      <c r="AT43" s="71" t="str">
        <f aca="false">IF(OR(AS12="",ЕТАЛОН_ПЛ="",IFERROR(INDEX(БАЗА_ЦІНИ,1,IFERROR(MATCH(ЕТАЛОН_ПЛ,ПЛ_РЯДОК,0),0)),"")="",IFERROR(INDEX(БАЗА_ЦІНИ,1,IFERROR(MATCH(ЕТАЛОН_ПЛ,ПЛ_РЯДОК,0),0)),"")=0),"",AS12/IFERROR(INDEX(БАЗА_ЦІНИ,1,IFERROR(MATCH(ЕТАЛОН_ПЛ,ПЛ_РЯДОК,0),0)),"")-1)</f>
        <v/>
      </c>
      <c r="AU43" s="70" t="str">
        <f aca="false">IF(OR(AU12="",ЕТАЛОН_ПЛ="",IFERROR(INDEX(БАЗА_ЦІНИ,1,IFERROR(MATCH(ЕТАЛОН_ПЛ,ПЛ_РЯДОК,0),0)),"")=""),"",AU12-IFERROR(INDEX(БАЗА_ЦІНИ,1,IFERROR(MATCH(ЕТАЛОН_ПЛ,ПЛ_РЯДОК,0),0)),""))</f>
        <v/>
      </c>
      <c r="AV43" s="71" t="str">
        <f aca="false">IF(OR(AU12="",ЕТАЛОН_ПЛ="",IFERROR(INDEX(БАЗА_ЦІНИ,1,IFERROR(MATCH(ЕТАЛОН_ПЛ,ПЛ_РЯДОК,0),0)),"")="",IFERROR(INDEX(БАЗА_ЦІНИ,1,IFERROR(MATCH(ЕТАЛОН_ПЛ,ПЛ_РЯДОК,0),0)),"")=0),"",AU12/IFERROR(INDEX(БАЗА_ЦІНИ,1,IFERROR(MATCH(ЕТАЛОН_ПЛ,ПЛ_РЯДОК,0),0)),"")-1)</f>
        <v/>
      </c>
      <c r="AW43" s="70" t="str">
        <f aca="false">IF(OR(AW12="",ЕТАЛОН_ПЛ="",IFERROR(INDEX(БАЗА_ЦІНИ,1,IFERROR(MATCH(ЕТАЛОН_ПЛ,ПЛ_РЯДОК,0),0)),"")=""),"",AW12-IFERROR(INDEX(БАЗА_ЦІНИ,1,IFERROR(MATCH(ЕТАЛОН_ПЛ,ПЛ_РЯДОК,0),0)),""))</f>
        <v/>
      </c>
      <c r="AX43" s="71" t="str">
        <f aca="false">IF(OR(AW12="",ЕТАЛОН_ПЛ="",IFERROR(INDEX(БАЗА_ЦІНИ,1,IFERROR(MATCH(ЕТАЛОН_ПЛ,ПЛ_РЯДОК,0),0)),"")="",IFERROR(INDEX(БАЗА_ЦІНИ,1,IFERROR(MATCH(ЕТАЛОН_ПЛ,ПЛ_РЯДОК,0),0)),"")=0),"",AW12/IFERROR(INDEX(БАЗА_ЦІНИ,1,IFERROR(MATCH(ЕТАЛОН_ПЛ,ПЛ_РЯДОК,0),0)),"")-1)</f>
        <v/>
      </c>
      <c r="AY43" s="70" t="str">
        <f aca="false">IF(OR(AY12="",ЕТАЛОН_ПЛ="",IFERROR(INDEX(БАЗА_ЦІНИ,1,IFERROR(MATCH(ЕТАЛОН_ПЛ,ПЛ_РЯДОК,0),0)),"")=""),"",AY12-IFERROR(INDEX(БАЗА_ЦІНИ,1,IFERROR(MATCH(ЕТАЛОН_ПЛ,ПЛ_РЯДОК,0),0)),""))</f>
        <v/>
      </c>
      <c r="AZ43" s="71" t="str">
        <f aca="false">IF(OR(AY12="",ЕТАЛОН_ПЛ="",IFERROR(INDEX(БАЗА_ЦІНИ,1,IFERROR(MATCH(ЕТАЛОН_ПЛ,ПЛ_РЯДОК,0),0)),"")="",IFERROR(INDEX(БАЗА_ЦІНИ,1,IFERROR(MATCH(ЕТАЛОН_ПЛ,ПЛ_РЯДОК,0),0)),"")=0),"",AY12/IFERROR(INDEX(БАЗА_ЦІНИ,1,IFERROR(MATCH(ЕТАЛОН_ПЛ,ПЛ_РЯДОК,0),0)),"")-1)</f>
        <v/>
      </c>
      <c r="BA43" s="70" t="str">
        <f aca="false">IF(OR(BA12="",ЕТАЛОН_ПЛ="",IFERROR(INDEX(БАЗА_ЦІНИ,1,IFERROR(MATCH(ЕТАЛОН_ПЛ,ПЛ_РЯДОК,0),0)),"")=""),"",BA12-IFERROR(INDEX(БАЗА_ЦІНИ,1,IFERROR(MATCH(ЕТАЛОН_ПЛ,ПЛ_РЯДОК,0),0)),""))</f>
        <v/>
      </c>
      <c r="BB43" s="71" t="str">
        <f aca="false">IF(OR(BA12="",ЕТАЛОН_ПЛ="",IFERROR(INDEX(БАЗА_ЦІНИ,1,IFERROR(MATCH(ЕТАЛОН_ПЛ,ПЛ_РЯДОК,0),0)),"")="",IFERROR(INDEX(БАЗА_ЦІНИ,1,IFERROR(MATCH(ЕТАЛОН_ПЛ,ПЛ_РЯДОК,0),0)),"")=0),"",BA12/IFERROR(INDEX(БАЗА_ЦІНИ,1,IFERROR(MATCH(ЕТАЛОН_ПЛ,ПЛ_РЯДОК,0),0)),"")-1)</f>
        <v/>
      </c>
      <c r="BC43" s="70" t="str">
        <f aca="false">IF(OR(BC12="",ЕТАЛОН_ПЛ="",IFERROR(INDEX(БАЗА_ЦІНИ,1,IFERROR(MATCH(ЕТАЛОН_ПЛ,ПЛ_РЯДОК,0),0)),"")=""),"",BC12-IFERROR(INDEX(БАЗА_ЦІНИ,1,IFERROR(MATCH(ЕТАЛОН_ПЛ,ПЛ_РЯДОК,0),0)),""))</f>
        <v/>
      </c>
      <c r="BD43" s="71" t="str">
        <f aca="false">IF(OR(BC12="",ЕТАЛОН_ПЛ="",IFERROR(INDEX(БАЗА_ЦІНИ,1,IFERROR(MATCH(ЕТАЛОН_ПЛ,ПЛ_РЯДОК,0),0)),"")="",IFERROR(INDEX(БАЗА_ЦІНИ,1,IFERROR(MATCH(ЕТАЛОН_ПЛ,ПЛ_РЯДОК,0),0)),"")=0),"",BC12/IFERROR(INDEX(БАЗА_ЦІНИ,1,IFERROR(MATCH(ЕТАЛОН_ПЛ,ПЛ_РЯДОК,0),0)),"")-1)</f>
        <v/>
      </c>
      <c r="BE43" s="70" t="str">
        <f aca="false">IF(OR(BE12="",ЕТАЛОН_ПЛ="",IFERROR(INDEX(БАЗА_ЦІНИ,1,IFERROR(MATCH(ЕТАЛОН_ПЛ,ПЛ_РЯДОК,0),0)),"")=""),"",BE12-IFERROR(INDEX(БАЗА_ЦІНИ,1,IFERROR(MATCH(ЕТАЛОН_ПЛ,ПЛ_РЯДОК,0),0)),""))</f>
        <v/>
      </c>
      <c r="BF43" s="71" t="str">
        <f aca="false">IF(OR(BE12="",ЕТАЛОН_ПЛ="",IFERROR(INDEX(БАЗА_ЦІНИ,1,IFERROR(MATCH(ЕТАЛОН_ПЛ,ПЛ_РЯДОК,0),0)),"")="",IFERROR(INDEX(БАЗА_ЦІНИ,1,IFERROR(MATCH(ЕТАЛОН_ПЛ,ПЛ_РЯДОК,0),0)),"")=0),"",BE12/IFERROR(INDEX(БАЗА_ЦІНИ,1,IFERROR(MATCH(ЕТАЛОН_ПЛ,ПЛ_РЯДОК,0),0)),"")-1)</f>
        <v/>
      </c>
      <c r="BG43" s="70" t="str">
        <f aca="false">IF(OR(BG12="",ЕТАЛОН_ПЛ="",IFERROR(INDEX(БАЗА_ЦІНИ,1,IFERROR(MATCH(ЕТАЛОН_ПЛ,ПЛ_РЯДОК,0),0)),"")=""),"",BG12-IFERROR(INDEX(БАЗА_ЦІНИ,1,IFERROR(MATCH(ЕТАЛОН_ПЛ,ПЛ_РЯДОК,0),0)),""))</f>
        <v/>
      </c>
      <c r="BH43" s="71" t="str">
        <f aca="false">IF(OR(BG12="",ЕТАЛОН_ПЛ="",IFERROR(INDEX(БАЗА_ЦІНИ,1,IFERROR(MATCH(ЕТАЛОН_ПЛ,ПЛ_РЯДОК,0),0)),"")="",IFERROR(INDEX(БАЗА_ЦІНИ,1,IFERROR(MATCH(ЕТАЛОН_ПЛ,ПЛ_РЯДОК,0),0)),"")=0),"",BG12/IFERROR(INDEX(БАЗА_ЦІНИ,1,IFERROR(MATCH(ЕТАЛОН_ПЛ,ПЛ_РЯДОК,0),0)),"")-1)</f>
        <v/>
      </c>
      <c r="BI43" s="70" t="str">
        <f aca="false">IF(OR(BI12="",ЕТАЛОН_ПЛ="",IFERROR(INDEX(БАЗА_ЦІНИ,1,IFERROR(MATCH(ЕТАЛОН_ПЛ,ПЛ_РЯДОК,0),0)),"")=""),"",BI12-IFERROR(INDEX(БАЗА_ЦІНИ,1,IFERROR(MATCH(ЕТАЛОН_ПЛ,ПЛ_РЯДОК,0),0)),""))</f>
        <v/>
      </c>
      <c r="BJ43" s="71" t="str">
        <f aca="false">IF(OR(BI12="",ЕТАЛОН_ПЛ="",IFERROR(INDEX(БАЗА_ЦІНИ,1,IFERROR(MATCH(ЕТАЛОН_ПЛ,ПЛ_РЯДОК,0),0)),"")="",IFERROR(INDEX(БАЗА_ЦІНИ,1,IFERROR(MATCH(ЕТАЛОН_ПЛ,ПЛ_РЯДОК,0),0)),"")=0),"",BI12/IFERROR(INDEX(БАЗА_ЦІНИ,1,IFERROR(MATCH(ЕТАЛОН_ПЛ,ПЛ_РЯДОК,0),0)),"")-1)</f>
        <v/>
      </c>
      <c r="BK43" s="70" t="str">
        <f aca="false">IF(OR(BK12="",ЕТАЛОН_ПЛ="",IFERROR(INDEX(БАЗА_ЦІНИ,1,IFERROR(MATCH(ЕТАЛОН_ПЛ,ПЛ_РЯДОК,0),0)),"")=""),"",BK12-IFERROR(INDEX(БАЗА_ЦІНИ,1,IFERROR(MATCH(ЕТАЛОН_ПЛ,ПЛ_РЯДОК,0),0)),""))</f>
        <v/>
      </c>
      <c r="BL43" s="71" t="str">
        <f aca="false">IF(OR(BK12="",ЕТАЛОН_ПЛ="",IFERROR(INDEX(БАЗА_ЦІНИ,1,IFERROR(MATCH(ЕТАЛОН_ПЛ,ПЛ_РЯДОК,0),0)),"")="",IFERROR(INDEX(БАЗА_ЦІНИ,1,IFERROR(MATCH(ЕТАЛОН_ПЛ,ПЛ_РЯДОК,0),0)),"")=0),"",BK12/IFERROR(INDEX(БАЗА_ЦІНИ,1,IFERROR(MATCH(ЕТАЛОН_ПЛ,ПЛ_РЯДОК,0),0)),"")-1)</f>
        <v/>
      </c>
      <c r="BM43" s="70" t="str">
        <f aca="false">IF(OR(BM12="",ЕТАЛОН_ПЛ="",IFERROR(INDEX(БАЗА_ЦІНИ,1,IFERROR(MATCH(ЕТАЛОН_ПЛ,ПЛ_РЯДОК,0),0)),"")=""),"",BM12-IFERROR(INDEX(БАЗА_ЦІНИ,1,IFERROR(MATCH(ЕТАЛОН_ПЛ,ПЛ_РЯДОК,0),0)),""))</f>
        <v/>
      </c>
      <c r="BN43" s="71" t="str">
        <f aca="false">IF(OR(BM12="",ЕТАЛОН_ПЛ="",IFERROR(INDEX(БАЗА_ЦІНИ,1,IFERROR(MATCH(ЕТАЛОН_ПЛ,ПЛ_РЯДОК,0),0)),"")="",IFERROR(INDEX(БАЗА_ЦІНИ,1,IFERROR(MATCH(ЕТАЛОН_ПЛ,ПЛ_РЯДОК,0),0)),"")=0),"",BM12/IFERROR(INDEX(БАЗА_ЦІНИ,1,IFERROR(MATCH(ЕТАЛОН_ПЛ,ПЛ_РЯДОК,0),0)),"")-1)</f>
        <v/>
      </c>
      <c r="BO43" s="70" t="str">
        <f aca="false">IF(OR(BO12="",ЕТАЛОН_ПЛ="",IFERROR(INDEX(БАЗА_ЦІНИ,1,IFERROR(MATCH(ЕТАЛОН_ПЛ,ПЛ_РЯДОК,0),0)),"")=""),"",BO12-IFERROR(INDEX(БАЗА_ЦІНИ,1,IFERROR(MATCH(ЕТАЛОН_ПЛ,ПЛ_РЯДОК,0),0)),""))</f>
        <v/>
      </c>
      <c r="BP43" s="71" t="str">
        <f aca="false">IF(OR(BO12="",ЕТАЛОН_ПЛ="",IFERROR(INDEX(БАЗА_ЦІНИ,1,IFERROR(MATCH(ЕТАЛОН_ПЛ,ПЛ_РЯДОК,0),0)),"")="",IFERROR(INDEX(БАЗА_ЦІНИ,1,IFERROR(MATCH(ЕТАЛОН_ПЛ,ПЛ_РЯДОК,0),0)),"")=0),"",BO12/IFERROR(INDEX(БАЗА_ЦІНИ,1,IFERROR(MATCH(ЕТАЛОН_ПЛ,ПЛ_РЯДОК,0),0)),"")-1)</f>
        <v/>
      </c>
      <c r="BQ43" s="70" t="str">
        <f aca="false">IF(OR(BQ12="",ЕТАЛОН_ПЛ="",IFERROR(INDEX(БАЗА_ЦІНИ,1,IFERROR(MATCH(ЕТАЛОН_ПЛ,ПЛ_РЯДОК,0),0)),"")=""),"",BQ12-IFERROR(INDEX(БАЗА_ЦІНИ,1,IFERROR(MATCH(ЕТАЛОН_ПЛ,ПЛ_РЯДОК,0),0)),""))</f>
        <v/>
      </c>
      <c r="BR43" s="71" t="str">
        <f aca="false">IF(OR(BQ12="",ЕТАЛОН_ПЛ="",IFERROR(INDEX(БАЗА_ЦІНИ,1,IFERROR(MATCH(ЕТАЛОН_ПЛ,ПЛ_РЯДОК,0),0)),"")="",IFERROR(INDEX(БАЗА_ЦІНИ,1,IFERROR(MATCH(ЕТАЛОН_ПЛ,ПЛ_РЯДОК,0),0)),"")=0),"",BQ12/IFERROR(INDEX(БАЗА_ЦІНИ,1,IFERROR(MATCH(ЕТАЛОН_ПЛ,ПЛ_РЯДОК,0),0)),"")-1)</f>
        <v/>
      </c>
      <c r="BS43" s="70" t="str">
        <f aca="false">IF(OR(BS12="",ЕТАЛОН_ПЛ="",IFERROR(INDEX(БАЗА_ЦІНИ,1,IFERROR(MATCH(ЕТАЛОН_ПЛ,ПЛ_РЯДОК,0),0)),"")=""),"",BS12-IFERROR(INDEX(БАЗА_ЦІНИ,1,IFERROR(MATCH(ЕТАЛОН_ПЛ,ПЛ_РЯДОК,0),0)),""))</f>
        <v/>
      </c>
      <c r="BT43" s="71" t="str">
        <f aca="false">IF(OR(BS12="",ЕТАЛОН_ПЛ="",IFERROR(INDEX(БАЗА_ЦІНИ,1,IFERROR(MATCH(ЕТАЛОН_ПЛ,ПЛ_РЯДОК,0),0)),"")="",IFERROR(INDEX(БАЗА_ЦІНИ,1,IFERROR(MATCH(ЕТАЛОН_ПЛ,ПЛ_РЯДОК,0),0)),"")=0),"",BS12/IFERROR(INDEX(БАЗА_ЦІНИ,1,IFERROR(MATCH(ЕТАЛОН_ПЛ,ПЛ_РЯДОК,0),0)),"")-1)</f>
        <v/>
      </c>
      <c r="BU43" s="70" t="str">
        <f aca="false">IF(OR(BU12="",ЕТАЛОН_ПЛ="",IFERROR(INDEX(БАЗА_ЦІНИ,1,IFERROR(MATCH(ЕТАЛОН_ПЛ,ПЛ_РЯДОК,0),0)),"")=""),"",BU12-IFERROR(INDEX(БАЗА_ЦІНИ,1,IFERROR(MATCH(ЕТАЛОН_ПЛ,ПЛ_РЯДОК,0),0)),""))</f>
        <v/>
      </c>
      <c r="BV43" s="71" t="str">
        <f aca="false">IF(OR(BU12="",ЕТАЛОН_ПЛ="",IFERROR(INDEX(БАЗА_ЦІНИ,1,IFERROR(MATCH(ЕТАЛОН_ПЛ,ПЛ_РЯДОК,0),0)),"")="",IFERROR(INDEX(БАЗА_ЦІНИ,1,IFERROR(MATCH(ЕТАЛОН_ПЛ,ПЛ_РЯДОК,0),0)),"")=0),"",BU12/IFERROR(INDEX(БАЗА_ЦІНИ,1,IFERROR(MATCH(ЕТАЛОН_ПЛ,ПЛ_РЯДОК,0),0)),"")-1)</f>
        <v/>
      </c>
      <c r="BW43" s="70" t="str">
        <f aca="false">IF(OR(BW12="",ЕТАЛОН_ПЛ="",IFERROR(INDEX(БАЗА_ЦІНИ,1,IFERROR(MATCH(ЕТАЛОН_ПЛ,ПЛ_РЯДОК,0),0)),"")=""),"",BW12-IFERROR(INDEX(БАЗА_ЦІНИ,1,IFERROR(MATCH(ЕТАЛОН_ПЛ,ПЛ_РЯДОК,0),0)),""))</f>
        <v/>
      </c>
      <c r="BX43" s="71" t="str">
        <f aca="false">IF(OR(BW12="",ЕТАЛОН_ПЛ="",IFERROR(INDEX(БАЗА_ЦІНИ,1,IFERROR(MATCH(ЕТАЛОН_ПЛ,ПЛ_РЯДОК,0),0)),"")="",IFERROR(INDEX(БАЗА_ЦІНИ,1,IFERROR(MATCH(ЕТАЛОН_ПЛ,ПЛ_РЯДОК,0),0)),"")=0),"",BW12/IFERROR(INDEX(БАЗА_ЦІНИ,1,IFERROR(MATCH(ЕТАЛОН_ПЛ,ПЛ_РЯДОК,0),0)),"")-1)</f>
        <v/>
      </c>
      <c r="BY43" s="70" t="str">
        <f aca="false">IF(OR(BY12="",ЕТАЛОН_ПЛ="",IFERROR(INDEX(БАЗА_ЦІНИ,1,IFERROR(MATCH(ЕТАЛОН_ПЛ,ПЛ_РЯДОК,0),0)),"")=""),"",BY12-IFERROR(INDEX(БАЗА_ЦІНИ,1,IFERROR(MATCH(ЕТАЛОН_ПЛ,ПЛ_РЯДОК,0),0)),""))</f>
        <v/>
      </c>
      <c r="BZ43" s="71" t="str">
        <f aca="false">IF(OR(BY12="",ЕТАЛОН_ПЛ="",IFERROR(INDEX(БАЗА_ЦІНИ,1,IFERROR(MATCH(ЕТАЛОН_ПЛ,ПЛ_РЯДОК,0),0)),"")="",IFERROR(INDEX(БАЗА_ЦІНИ,1,IFERROR(MATCH(ЕТАЛОН_ПЛ,ПЛ_РЯДОК,0),0)),"")=0),"",BY12/IFERROR(INDEX(БАЗА_ЦІНИ,1,IFERROR(MATCH(ЕТАЛОН_ПЛ,ПЛ_РЯДОК,0),0)),"")-1)</f>
        <v/>
      </c>
      <c r="CA43" s="70" t="str">
        <f aca="false">IF(OR(CA12="",ЕТАЛОН_ПЛ="",IFERROR(INDEX(БАЗА_ЦІНИ,1,IFERROR(MATCH(ЕТАЛОН_ПЛ,ПЛ_РЯДОК,0),0)),"")=""),"",CA12-IFERROR(INDEX(БАЗА_ЦІНИ,1,IFERROR(MATCH(ЕТАЛОН_ПЛ,ПЛ_РЯДОК,0),0)),""))</f>
        <v/>
      </c>
      <c r="CB43" s="71" t="str">
        <f aca="false">IF(OR(CA12="",ЕТАЛОН_ПЛ="",IFERROR(INDEX(БАЗА_ЦІНИ,1,IFERROR(MATCH(ЕТАЛОН_ПЛ,ПЛ_РЯДОК,0),0)),"")="",IFERROR(INDEX(БАЗА_ЦІНИ,1,IFERROR(MATCH(ЕТАЛОН_ПЛ,ПЛ_РЯДОК,0),0)),"")=0),"",CA12/IFERROR(INDEX(БАЗА_ЦІНИ,1,IFERROR(MATCH(ЕТАЛОН_ПЛ,ПЛ_РЯДОК,0),0)),"")-1)</f>
        <v/>
      </c>
      <c r="CC43" s="70" t="str">
        <f aca="false">IF(OR(CC12="",ЕТАЛОН_ПЛ="",IFERROR(INDEX(БАЗА_ЦІНИ,1,IFERROR(MATCH(ЕТАЛОН_ПЛ,ПЛ_РЯДОК,0),0)),"")=""),"",CC12-IFERROR(INDEX(БАЗА_ЦІНИ,1,IFERROR(MATCH(ЕТАЛОН_ПЛ,ПЛ_РЯДОК,0),0)),""))</f>
        <v/>
      </c>
      <c r="CD43" s="71" t="str">
        <f aca="false">IF(OR(CC12="",ЕТАЛОН_ПЛ="",IFERROR(INDEX(БАЗА_ЦІНИ,1,IFERROR(MATCH(ЕТАЛОН_ПЛ,ПЛ_РЯДОК,0),0)),"")="",IFERROR(INDEX(БАЗА_ЦІНИ,1,IFERROR(MATCH(ЕТАЛОН_ПЛ,ПЛ_РЯДОК,0),0)),"")=0),"",CC12/IFERROR(INDEX(БАЗА_ЦІНИ,1,IFERROR(MATCH(ЕТАЛОН_ПЛ,ПЛ_РЯДОК,0),0)),"")-1)</f>
        <v/>
      </c>
      <c r="CE43" s="70" t="str">
        <f aca="false">IF(OR(CE12="",ЕТАЛОН_ПЛ="",IFERROR(INDEX(БАЗА_ЦІНИ,1,IFERROR(MATCH(ЕТАЛОН_ПЛ,ПЛ_РЯДОК,0),0)),"")=""),"",CE12-IFERROR(INDEX(БАЗА_ЦІНИ,1,IFERROR(MATCH(ЕТАЛОН_ПЛ,ПЛ_РЯДОК,0),0)),""))</f>
        <v/>
      </c>
      <c r="CF43" s="71" t="str">
        <f aca="false">IF(OR(CE12="",ЕТАЛОН_ПЛ="",IFERROR(INDEX(БАЗА_ЦІНИ,1,IFERROR(MATCH(ЕТАЛОН_ПЛ,ПЛ_РЯДОК,0),0)),"")="",IFERROR(INDEX(БАЗА_ЦІНИ,1,IFERROR(MATCH(ЕТАЛОН_ПЛ,ПЛ_РЯДОК,0),0)),"")=0),"",CE12/IFERROR(INDEX(БАЗА_ЦІНИ,1,IFERROR(MATCH(ЕТАЛОН_ПЛ,ПЛ_РЯДОК,0),0)),"")-1)</f>
        <v/>
      </c>
      <c r="CG43" s="70" t="str">
        <f aca="false">IF(OR(CG12="",ЕТАЛОН_ПЛ="",IFERROR(INDEX(БАЗА_ЦІНИ,1,IFERROR(MATCH(ЕТАЛОН_ПЛ,ПЛ_РЯДОК,0),0)),"")=""),"",CG12-IFERROR(INDEX(БАЗА_ЦІНИ,1,IFERROR(MATCH(ЕТАЛОН_ПЛ,ПЛ_РЯДОК,0),0)),""))</f>
        <v/>
      </c>
      <c r="CH43" s="71" t="str">
        <f aca="false">IF(OR(CG12="",ЕТАЛОН_ПЛ="",IFERROR(INDEX(БАЗА_ЦІНИ,1,IFERROR(MATCH(ЕТАЛОН_ПЛ,ПЛ_РЯДОК,0),0)),"")="",IFERROR(INDEX(БАЗА_ЦІНИ,1,IFERROR(MATCH(ЕТАЛОН_ПЛ,ПЛ_РЯДОК,0),0)),"")=0),"",CG12/IFERROR(INDEX(БАЗА_ЦІНИ,1,IFERROR(MATCH(ЕТАЛОН_ПЛ,ПЛ_РЯДОК,0),0)),"")-1)</f>
        <v/>
      </c>
      <c r="CI43" s="70" t="str">
        <f aca="false">IF(OR(CI12="",ЕТАЛОН_ПЛ="",IFERROR(INDEX(БАЗА_ЦІНИ,1,IFERROR(MATCH(ЕТАЛОН_ПЛ,ПЛ_РЯДОК,0),0)),"")=""),"",CI12-IFERROR(INDEX(БАЗА_ЦІНИ,1,IFERROR(MATCH(ЕТАЛОН_ПЛ,ПЛ_РЯДОК,0),0)),""))</f>
        <v/>
      </c>
      <c r="CJ43" s="71" t="str">
        <f aca="false">IF(OR(CI12="",ЕТАЛОН_ПЛ="",IFERROR(INDEX(БАЗА_ЦІНИ,1,IFERROR(MATCH(ЕТАЛОН_ПЛ,ПЛ_РЯДОК,0),0)),"")="",IFERROR(INDEX(БАЗА_ЦІНИ,1,IFERROR(MATCH(ЕТАЛОН_ПЛ,ПЛ_РЯДОК,0),0)),"")=0),"",CI12/IFERROR(INDEX(БАЗА_ЦІНИ,1,IFERROR(MATCH(ЕТАЛОН_ПЛ,ПЛ_РЯДОК,0),0)),"")-1)</f>
        <v/>
      </c>
      <c r="CK43" s="70" t="str">
        <f aca="false">IF(OR(CK12="",ЕТАЛОН_ПЛ="",IFERROR(INDEX(БАЗА_ЦІНИ,1,IFERROR(MATCH(ЕТАЛОН_ПЛ,ПЛ_РЯДОК,0),0)),"")=""),"",CK12-IFERROR(INDEX(БАЗА_ЦІНИ,1,IFERROR(MATCH(ЕТАЛОН_ПЛ,ПЛ_РЯДОК,0),0)),""))</f>
        <v/>
      </c>
      <c r="CL43" s="71" t="str">
        <f aca="false">IF(OR(CK12="",ЕТАЛОН_ПЛ="",IFERROR(INDEX(БАЗА_ЦІНИ,1,IFERROR(MATCH(ЕТАЛОН_ПЛ,ПЛ_РЯДОК,0),0)),"")="",IFERROR(INDEX(БАЗА_ЦІНИ,1,IFERROR(MATCH(ЕТАЛОН_ПЛ,ПЛ_РЯДОК,0),0)),"")=0),"",CK12/IFERROR(INDEX(БАЗА_ЦІНИ,1,IFERROR(MATCH(ЕТАЛОН_ПЛ,ПЛ_РЯДОК,0),0)),"")-1)</f>
        <v/>
      </c>
      <c r="CM43" s="70" t="str">
        <f aca="false">IF(OR(CM12="",ЕТАЛОН_ПЛ="",IFERROR(INDEX(БАЗА_ЦІНИ,1,IFERROR(MATCH(ЕТАЛОН_ПЛ,ПЛ_РЯДОК,0),0)),"")=""),"",CM12-IFERROR(INDEX(БАЗА_ЦІНИ,1,IFERROR(MATCH(ЕТАЛОН_ПЛ,ПЛ_РЯДОК,0),0)),""))</f>
        <v/>
      </c>
      <c r="CN43" s="71" t="str">
        <f aca="false">IF(OR(CM12="",ЕТАЛОН_ПЛ="",IFERROR(INDEX(БАЗА_ЦІНИ,1,IFERROR(MATCH(ЕТАЛОН_ПЛ,ПЛ_РЯДОК,0),0)),"")="",IFERROR(INDEX(БАЗА_ЦІНИ,1,IFERROR(MATCH(ЕТАЛОН_ПЛ,ПЛ_РЯДОК,0),0)),"")=0),"",CM12/IFERROR(INDEX(БАЗА_ЦІНИ,1,IFERROR(MATCH(ЕТАЛОН_ПЛ,ПЛ_РЯДОК,0),0)),"")-1)</f>
        <v/>
      </c>
      <c r="CO43" s="70" t="str">
        <f aca="false">IF(OR(CO12="",ЕТАЛОН_ПЛ="",IFERROR(INDEX(БАЗА_ЦІНИ,1,IFERROR(MATCH(ЕТАЛОН_ПЛ,ПЛ_РЯДОК,0),0)),"")=""),"",CO12-IFERROR(INDEX(БАЗА_ЦІНИ,1,IFERROR(MATCH(ЕТАЛОН_ПЛ,ПЛ_РЯДОК,0),0)),""))</f>
        <v/>
      </c>
      <c r="CP43" s="71" t="str">
        <f aca="false">IF(OR(CO12="",ЕТАЛОН_ПЛ="",IFERROR(INDEX(БАЗА_ЦІНИ,1,IFERROR(MATCH(ЕТАЛОН_ПЛ,ПЛ_РЯДОК,0),0)),"")="",IFERROR(INDEX(БАЗА_ЦІНИ,1,IFERROR(MATCH(ЕТАЛОН_ПЛ,ПЛ_РЯДОК,0),0)),"")=0),"",CO12/IFERROR(INDEX(БАЗА_ЦІНИ,1,IFERROR(MATCH(ЕТАЛОН_ПЛ,ПЛ_РЯДОК,0),0)),"")-1)</f>
        <v/>
      </c>
      <c r="CQ43" s="70" t="str">
        <f aca="false">IF(OR(CQ12="",ЕТАЛОН_ПЛ="",IFERROR(INDEX(БАЗА_ЦІНИ,1,IFERROR(MATCH(ЕТАЛОН_ПЛ,ПЛ_РЯДОК,0),0)),"")=""),"",CQ12-IFERROR(INDEX(БАЗА_ЦІНИ,1,IFERROR(MATCH(ЕТАЛОН_ПЛ,ПЛ_РЯДОК,0),0)),""))</f>
        <v/>
      </c>
      <c r="CR43" s="71" t="str">
        <f aca="false">IF(OR(CQ12="",ЕТАЛОН_ПЛ="",IFERROR(INDEX(БАЗА_ЦІНИ,1,IFERROR(MATCH(ЕТАЛОН_ПЛ,ПЛ_РЯДОК,0),0)),"")="",IFERROR(INDEX(БАЗА_ЦІНИ,1,IFERROR(MATCH(ЕТАЛОН_ПЛ,ПЛ_РЯДОК,0),0)),"")=0),"",CQ12/IFERROR(INDEX(БАЗА_ЦІНИ,1,IFERROR(MATCH(ЕТАЛОН_ПЛ,ПЛ_РЯДОК,0),0)),"")-1)</f>
        <v/>
      </c>
      <c r="CS43" s="70" t="str">
        <f aca="false">IF(OR(CS12="",ЕТАЛОН_ПЛ="",IFERROR(INDEX(БАЗА_ЦІНИ,1,IFERROR(MATCH(ЕТАЛОН_ПЛ,ПЛ_РЯДОК,0),0)),"")=""),"",CS12-IFERROR(INDEX(БАЗА_ЦІНИ,1,IFERROR(MATCH(ЕТАЛОН_ПЛ,ПЛ_РЯДОК,0),0)),""))</f>
        <v/>
      </c>
      <c r="CT43" s="71" t="str">
        <f aca="false">IF(OR(CS12="",ЕТАЛОН_ПЛ="",IFERROR(INDEX(БАЗА_ЦІНИ,1,IFERROR(MATCH(ЕТАЛОН_ПЛ,ПЛ_РЯДОК,0),0)),"")="",IFERROR(INDEX(БАЗА_ЦІНИ,1,IFERROR(MATCH(ЕТАЛОН_ПЛ,ПЛ_РЯДОК,0),0)),"")=0),"",CS12/IFERROR(INDEX(БАЗА_ЦІНИ,1,IFERROR(MATCH(ЕТАЛОН_ПЛ,ПЛ_РЯДОК,0),0)),"")-1)</f>
        <v/>
      </c>
      <c r="CU43" s="70" t="str">
        <f aca="false">IF(OR(CU12="",ЕТАЛОН_ПЛ="",IFERROR(INDEX(БАЗА_ЦІНИ,1,IFERROR(MATCH(ЕТАЛОН_ПЛ,ПЛ_РЯДОК,0),0)),"")=""),"",CU12-IFERROR(INDEX(БАЗА_ЦІНИ,1,IFERROR(MATCH(ЕТАЛОН_ПЛ,ПЛ_РЯДОК,0),0)),""))</f>
        <v/>
      </c>
      <c r="CV43" s="71" t="str">
        <f aca="false">IF(OR(CU12="",ЕТАЛОН_ПЛ="",IFERROR(INDEX(БАЗА_ЦІНИ,1,IFERROR(MATCH(ЕТАЛОН_ПЛ,ПЛ_РЯДОК,0),0)),"")="",IFERROR(INDEX(БАЗА_ЦІНИ,1,IFERROR(MATCH(ЕТАЛОН_ПЛ,ПЛ_РЯДОК,0),0)),"")=0),"",CU12/IFERROR(INDEX(БАЗА_ЦІНИ,1,IFERROR(MATCH(ЕТАЛОН_ПЛ,ПЛ_РЯДОК,0),0)),"")-1)</f>
        <v/>
      </c>
      <c r="CW43" s="70" t="str">
        <f aca="false">IF(OR(CW12="",ЕТАЛОН_ПЛ="",IFERROR(INDEX(БАЗА_ЦІНИ,1,IFERROR(MATCH(ЕТАЛОН_ПЛ,ПЛ_РЯДОК,0),0)),"")=""),"",CW12-IFERROR(INDEX(БАЗА_ЦІНИ,1,IFERROR(MATCH(ЕТАЛОН_ПЛ,ПЛ_РЯДОК,0),0)),""))</f>
        <v/>
      </c>
      <c r="CX43" s="71" t="str">
        <f aca="false">IF(OR(CW12="",ЕТАЛОН_ПЛ="",IFERROR(INDEX(БАЗА_ЦІНИ,1,IFERROR(MATCH(ЕТАЛОН_ПЛ,ПЛ_РЯДОК,0),0)),"")="",IFERROR(INDEX(БАЗА_ЦІНИ,1,IFERROR(MATCH(ЕТАЛОН_ПЛ,ПЛ_РЯДОК,0),0)),"")=0),"",CW12/IFERROR(INDEX(БАЗА_ЦІНИ,1,IFERROR(MATCH(ЕТАЛОН_ПЛ,ПЛ_РЯДОК,0),0)),"")-1)</f>
        <v/>
      </c>
      <c r="CY43" s="70" t="str">
        <f aca="false">IF(OR(CY12="",ЕТАЛОН_ПЛ="",IFERROR(INDEX(БАЗА_ЦІНИ,1,IFERROR(MATCH(ЕТАЛОН_ПЛ,ПЛ_РЯДОК,0),0)),"")=""),"",CY12-IFERROR(INDEX(БАЗА_ЦІНИ,1,IFERROR(MATCH(ЕТАЛОН_ПЛ,ПЛ_РЯДОК,0),0)),""))</f>
        <v/>
      </c>
      <c r="CZ43" s="71" t="str">
        <f aca="false">IF(OR(CY12="",ЕТАЛОН_ПЛ="",IFERROR(INDEX(БАЗА_ЦІНИ,1,IFERROR(MATCH(ЕТАЛОН_ПЛ,ПЛ_РЯДОК,0),0)),"")="",IFERROR(INDEX(БАЗА_ЦІНИ,1,IFERROR(MATCH(ЕТАЛОН_ПЛ,ПЛ_РЯДОК,0),0)),"")=0),"",CY12/IFERROR(INDEX(БАЗА_ЦІНИ,1,IFERROR(MATCH(ЕТАЛОН_ПЛ,ПЛ_РЯДОК,0),0)),"")-1)</f>
        <v/>
      </c>
      <c r="DA43" s="70" t="str">
        <f aca="false">IF(OR(DA12="",ЕТАЛОН_ПЛ="",IFERROR(INDEX(БАЗА_ЦІНИ,1,IFERROR(MATCH(ЕТАЛОН_ПЛ,ПЛ_РЯДОК,0),0)),"")=""),"",DA12-IFERROR(INDEX(БАЗА_ЦІНИ,1,IFERROR(MATCH(ЕТАЛОН_ПЛ,ПЛ_РЯДОК,0),0)),""))</f>
        <v/>
      </c>
      <c r="DB43" s="71" t="str">
        <f aca="false">IF(OR(DA12="",ЕТАЛОН_ПЛ="",IFERROR(INDEX(БАЗА_ЦІНИ,1,IFERROR(MATCH(ЕТАЛОН_ПЛ,ПЛ_РЯДОК,0),0)),"")="",IFERROR(INDEX(БАЗА_ЦІНИ,1,IFERROR(MATCH(ЕТАЛОН_ПЛ,ПЛ_РЯДОК,0),0)),"")=0),"",DA12/IFERROR(INDEX(БАЗА_ЦІНИ,1,IFERROR(MATCH(ЕТАЛОН_ПЛ,ПЛ_РЯДОК,0),0)),"")-1)</f>
        <v/>
      </c>
      <c r="DC43" s="70" t="str">
        <f aca="false">IF(OR(DC12="",ЕТАЛОН_ПЛ="",IFERROR(INDEX(БАЗА_ЦІНИ,1,IFERROR(MATCH(ЕТАЛОН_ПЛ,ПЛ_РЯДОК,0),0)),"")=""),"",DC12-IFERROR(INDEX(БАЗА_ЦІНИ,1,IFERROR(MATCH(ЕТАЛОН_ПЛ,ПЛ_РЯДОК,0),0)),""))</f>
        <v/>
      </c>
      <c r="DD43" s="71" t="str">
        <f aca="false">IF(OR(DC12="",ЕТАЛОН_ПЛ="",IFERROR(INDEX(БАЗА_ЦІНИ,1,IFERROR(MATCH(ЕТАЛОН_ПЛ,ПЛ_РЯДОК,0),0)),"")="",IFERROR(INDEX(БАЗА_ЦІНИ,1,IFERROR(MATCH(ЕТАЛОН_ПЛ,ПЛ_РЯДОК,0),0)),"")=0),"",DC12/IFERROR(INDEX(БАЗА_ЦІНИ,1,IFERROR(MATCH(ЕТАЛОН_ПЛ,ПЛ_РЯДОК,0),0)),"")-1)</f>
        <v/>
      </c>
      <c r="DE43" s="70" t="str">
        <f aca="false">IF(OR(DE12="",ЕТАЛОН_ПЛ="",IFERROR(INDEX(БАЗА_ЦІНИ,1,IFERROR(MATCH(ЕТАЛОН_ПЛ,ПЛ_РЯДОК,0),0)),"")=""),"",DE12-IFERROR(INDEX(БАЗА_ЦІНИ,1,IFERROR(MATCH(ЕТАЛОН_ПЛ,ПЛ_РЯДОК,0),0)),""))</f>
        <v/>
      </c>
      <c r="DF43" s="71" t="str">
        <f aca="false">IF(OR(DE12="",ЕТАЛОН_ПЛ="",IFERROR(INDEX(БАЗА_ЦІНИ,1,IFERROR(MATCH(ЕТАЛОН_ПЛ,ПЛ_РЯДОК,0),0)),"")="",IFERROR(INDEX(БАЗА_ЦІНИ,1,IFERROR(MATCH(ЕТАЛОН_ПЛ,ПЛ_РЯДОК,0),0)),"")=0),"",DE12/IFERROR(INDEX(БАЗА_ЦІНИ,1,IFERROR(MATCH(ЕТАЛОН_ПЛ,ПЛ_РЯДОК,0),0)),"")-1)</f>
        <v/>
      </c>
      <c r="DG43" s="70" t="str">
        <f aca="false">IF(OR(DG12="",ЕТАЛОН_ПЛ="",IFERROR(INDEX(БАЗА_ЦІНИ,1,IFERROR(MATCH(ЕТАЛОН_ПЛ,ПЛ_РЯДОК,0),0)),"")=""),"",DG12-IFERROR(INDEX(БАЗА_ЦІНИ,1,IFERROR(MATCH(ЕТАЛОН_ПЛ,ПЛ_РЯДОК,0),0)),""))</f>
        <v/>
      </c>
      <c r="DH43" s="71" t="str">
        <f aca="false">IF(OR(DG12="",ЕТАЛОН_ПЛ="",IFERROR(INDEX(БАЗА_ЦІНИ,1,IFERROR(MATCH(ЕТАЛОН_ПЛ,ПЛ_РЯДОК,0),0)),"")="",IFERROR(INDEX(БАЗА_ЦІНИ,1,IFERROR(MATCH(ЕТАЛОН_ПЛ,ПЛ_РЯДОК,0),0)),"")=0),"",DG12/IFERROR(INDEX(БАЗА_ЦІНИ,1,IFERROR(MATCH(ЕТАЛОН_ПЛ,ПЛ_РЯДОК,0),0)),"")-1)</f>
        <v/>
      </c>
      <c r="DI43" s="70" t="str">
        <f aca="false">IF(OR(DI12="",ЕТАЛОН_ПЛ="",IFERROR(INDEX(БАЗА_ЦІНИ,1,IFERROR(MATCH(ЕТАЛОН_ПЛ,ПЛ_РЯДОК,0),0)),"")=""),"",DI12-IFERROR(INDEX(БАЗА_ЦІНИ,1,IFERROR(MATCH(ЕТАЛОН_ПЛ,ПЛ_РЯДОК,0),0)),""))</f>
        <v/>
      </c>
      <c r="DJ43" s="71" t="str">
        <f aca="false">IF(OR(DI12="",ЕТАЛОН_ПЛ="",IFERROR(INDEX(БАЗА_ЦІНИ,1,IFERROR(MATCH(ЕТАЛОН_ПЛ,ПЛ_РЯДОК,0),0)),"")="",IFERROR(INDEX(БАЗА_ЦІНИ,1,IFERROR(MATCH(ЕТАЛОН_ПЛ,ПЛ_РЯДОК,0),0)),"")=0),"",DI12/IFERROR(INDEX(БАЗА_ЦІНИ,1,IFERROR(MATCH(ЕТАЛОН_ПЛ,ПЛ_РЯДОК,0),0)),"")-1)</f>
        <v/>
      </c>
      <c r="DK43" s="70" t="str">
        <f aca="false">IF(OR(DK12="",ЕТАЛОН_ПЛ="",IFERROR(INDEX(БАЗА_ЦІНИ,1,IFERROR(MATCH(ЕТАЛОН_ПЛ,ПЛ_РЯДОК,0),0)),"")=""),"",DK12-IFERROR(INDEX(БАЗА_ЦІНИ,1,IFERROR(MATCH(ЕТАЛОН_ПЛ,ПЛ_РЯДОК,0),0)),""))</f>
        <v/>
      </c>
      <c r="DL43" s="71" t="str">
        <f aca="false">IF(OR(DK12="",ЕТАЛОН_ПЛ="",IFERROR(INDEX(БАЗА_ЦІНИ,1,IFERROR(MATCH(ЕТАЛОН_ПЛ,ПЛ_РЯДОК,0),0)),"")="",IFERROR(INDEX(БАЗА_ЦІНИ,1,IFERROR(MATCH(ЕТАЛОН_ПЛ,ПЛ_РЯДОК,0),0)),"")=0),"",DK12/IFERROR(INDEX(БАЗА_ЦІНИ,1,IFERROR(MATCH(ЕТАЛОН_ПЛ,ПЛ_РЯДОК,0),0)),"")-1)</f>
        <v/>
      </c>
      <c r="DM43" s="70" t="str">
        <f aca="false">IF(OR(DM12="",ЕТАЛОН_ПЛ="",IFERROR(INDEX(БАЗА_ЦІНИ,1,IFERROR(MATCH(ЕТАЛОН_ПЛ,ПЛ_РЯДОК,0),0)),"")=""),"",DM12-IFERROR(INDEX(БАЗА_ЦІНИ,1,IFERROR(MATCH(ЕТАЛОН_ПЛ,ПЛ_РЯДОК,0),0)),""))</f>
        <v/>
      </c>
      <c r="DN43" s="71" t="str">
        <f aca="false">IF(OR(DM12="",ЕТАЛОН_ПЛ="",IFERROR(INDEX(БАЗА_ЦІНИ,1,IFERROR(MATCH(ЕТАЛОН_ПЛ,ПЛ_РЯДОК,0),0)),"")="",IFERROR(INDEX(БАЗА_ЦІНИ,1,IFERROR(MATCH(ЕТАЛОН_ПЛ,ПЛ_РЯДОК,0),0)),"")=0),"",DM12/IFERROR(INDEX(БАЗА_ЦІНИ,1,IFERROR(MATCH(ЕТАЛОН_ПЛ,ПЛ_РЯДОК,0),0)),"")-1)</f>
        <v/>
      </c>
      <c r="DO43" s="70" t="str">
        <f aca="false">IF(OR(DO12="",ЕТАЛОН_ПЛ="",IFERROR(INDEX(БАЗА_ЦІНИ,1,IFERROR(MATCH(ЕТАЛОН_ПЛ,ПЛ_РЯДОК,0),0)),"")=""),"",DO12-IFERROR(INDEX(БАЗА_ЦІНИ,1,IFERROR(MATCH(ЕТАЛОН_ПЛ,ПЛ_РЯДОК,0),0)),""))</f>
        <v/>
      </c>
      <c r="DP43" s="71" t="str">
        <f aca="false">IF(OR(DO12="",ЕТАЛОН_ПЛ="",IFERROR(INDEX(БАЗА_ЦІНИ,1,IFERROR(MATCH(ЕТАЛОН_ПЛ,ПЛ_РЯДОК,0),0)),"")="",IFERROR(INDEX(БАЗА_ЦІНИ,1,IFERROR(MATCH(ЕТАЛОН_ПЛ,ПЛ_РЯДОК,0),0)),"")=0),"",DO12/IFERROR(INDEX(БАЗА_ЦІНИ,1,IFERROR(MATCH(ЕТАЛОН_ПЛ,ПЛ_РЯДОК,0),0)),"")-1)</f>
        <v/>
      </c>
      <c r="DQ43" s="70" t="str">
        <f aca="false">IF(OR(DQ12="",ЕТАЛОН_ПЛ="",IFERROR(INDEX(БАЗА_ЦІНИ,1,IFERROR(MATCH(ЕТАЛОН_ПЛ,ПЛ_РЯДОК,0),0)),"")=""),"",DQ12-IFERROR(INDEX(БАЗА_ЦІНИ,1,IFERROR(MATCH(ЕТАЛОН_ПЛ,ПЛ_РЯДОК,0),0)),""))</f>
        <v/>
      </c>
      <c r="DR43" s="71" t="str">
        <f aca="false">IF(OR(DQ12="",ЕТАЛОН_ПЛ="",IFERROR(INDEX(БАЗА_ЦІНИ,1,IFERROR(MATCH(ЕТАЛОН_ПЛ,ПЛ_РЯДОК,0),0)),"")="",IFERROR(INDEX(БАЗА_ЦІНИ,1,IFERROR(MATCH(ЕТАЛОН_ПЛ,ПЛ_РЯДОК,0),0)),"")=0),"",DQ12/IFERROR(INDEX(БАЗА_ЦІНИ,1,IFERROR(MATCH(ЕТАЛОН_ПЛ,ПЛ_РЯДОК,0),0)),"")-1)</f>
        <v/>
      </c>
      <c r="DS43" s="70" t="str">
        <f aca="false">IF(OR(DS12="",ЕТАЛОН_ПЛ="",IFERROR(INDEX(БАЗА_ЦІНИ,1,IFERROR(MATCH(ЕТАЛОН_ПЛ,ПЛ_РЯДОК,0),0)),"")=""),"",DS12-IFERROR(INDEX(БАЗА_ЦІНИ,1,IFERROR(MATCH(ЕТАЛОН_ПЛ,ПЛ_РЯДОК,0),0)),""))</f>
        <v/>
      </c>
      <c r="DT43" s="71" t="str">
        <f aca="false">IF(OR(DS12="",ЕТАЛОН_ПЛ="",IFERROR(INDEX(БАЗА_ЦІНИ,1,IFERROR(MATCH(ЕТАЛОН_ПЛ,ПЛ_РЯДОК,0),0)),"")="",IFERROR(INDEX(БАЗА_ЦІНИ,1,IFERROR(MATCH(ЕТАЛОН_ПЛ,ПЛ_РЯДОК,0),0)),"")=0),"",DS12/IFERROR(INDEX(БАЗА_ЦІНИ,1,IFERROR(MATCH(ЕТАЛОН_ПЛ,ПЛ_РЯДОК,0),0)),"")-1)</f>
        <v/>
      </c>
      <c r="DU43" s="70" t="str">
        <f aca="false">IF(OR(DU12="",ЕТАЛОН_ПЛ="",IFERROR(INDEX(БАЗА_ЦІНИ,1,IFERROR(MATCH(ЕТАЛОН_ПЛ,ПЛ_РЯДОК,0),0)),"")=""),"",DU12-IFERROR(INDEX(БАЗА_ЦІНИ,1,IFERROR(MATCH(ЕТАЛОН_ПЛ,ПЛ_РЯДОК,0),0)),""))</f>
        <v/>
      </c>
      <c r="DV43" s="71" t="str">
        <f aca="false">IF(OR(DU12="",ЕТАЛОН_ПЛ="",IFERROR(INDEX(БАЗА_ЦІНИ,1,IFERROR(MATCH(ЕТАЛОН_ПЛ,ПЛ_РЯДОК,0),0)),"")="",IFERROR(INDEX(БАЗА_ЦІНИ,1,IFERROR(MATCH(ЕТАЛОН_ПЛ,ПЛ_РЯДОК,0),0)),"")=0),"",DU12/IFERROR(INDEX(БАЗА_ЦІНИ,1,IFERROR(MATCH(ЕТАЛОН_ПЛ,ПЛ_РЯДОК,0),0)),"")-1)</f>
        <v/>
      </c>
      <c r="DW43" s="70" t="str">
        <f aca="false">IF(OR(DW12="",ЕТАЛОН_ПЛ="",IFERROR(INDEX(БАЗА_ЦІНИ,1,IFERROR(MATCH(ЕТАЛОН_ПЛ,ПЛ_РЯДОК,0),0)),"")=""),"",DW12-IFERROR(INDEX(БАЗА_ЦІНИ,1,IFERROR(MATCH(ЕТАЛОН_ПЛ,ПЛ_РЯДОК,0),0)),""))</f>
        <v/>
      </c>
      <c r="DX43" s="71" t="str">
        <f aca="false">IF(OR(DW12="",ЕТАЛОН_ПЛ="",IFERROR(INDEX(БАЗА_ЦІНИ,1,IFERROR(MATCH(ЕТАЛОН_ПЛ,ПЛ_РЯДОК,0),0)),"")="",IFERROR(INDEX(БАЗА_ЦІНИ,1,IFERROR(MATCH(ЕТАЛОН_ПЛ,ПЛ_РЯДОК,0),0)),"")=0),"",DW12/IFERROR(INDEX(БАЗА_ЦІНИ,1,IFERROR(MATCH(ЕТАЛОН_ПЛ,ПЛ_РЯДОК,0),0)),"")-1)</f>
        <v/>
      </c>
      <c r="DY43" s="70" t="str">
        <f aca="false">IF(OR(DY12="",ЕТАЛОН_ПЛ="",IFERROR(INDEX(БАЗА_ЦІНИ,1,IFERROR(MATCH(ЕТАЛОН_ПЛ,ПЛ_РЯДОК,0),0)),"")=""),"",DY12-IFERROR(INDEX(БАЗА_ЦІНИ,1,IFERROR(MATCH(ЕТАЛОН_ПЛ,ПЛ_РЯДОК,0),0)),""))</f>
        <v/>
      </c>
      <c r="DZ43" s="71" t="str">
        <f aca="false">IF(OR(DY12="",ЕТАЛОН_ПЛ="",IFERROR(INDEX(БАЗА_ЦІНИ,1,IFERROR(MATCH(ЕТАЛОН_ПЛ,ПЛ_РЯДОК,0),0)),"")="",IFERROR(INDEX(БАЗА_ЦІНИ,1,IFERROR(MATCH(ЕТАЛОН_ПЛ,ПЛ_РЯДОК,0),0)),"")=0),"",DY12/IFERROR(INDEX(БАЗА_ЦІНИ,1,IFERROR(MATCH(ЕТАЛОН_ПЛ,ПЛ_РЯДОК,0),0)),"")-1)</f>
        <v/>
      </c>
      <c r="EA43" s="70" t="str">
        <f aca="false">IF(OR(EA12="",ЕТАЛОН_ПЛ="",IFERROR(INDEX(БАЗА_ЦІНИ,1,IFERROR(MATCH(ЕТАЛОН_ПЛ,ПЛ_РЯДОК,0),0)),"")=""),"",EA12-IFERROR(INDEX(БАЗА_ЦІНИ,1,IFERROR(MATCH(ЕТАЛОН_ПЛ,ПЛ_РЯДОК,0),0)),""))</f>
        <v/>
      </c>
      <c r="EB43" s="71" t="str">
        <f aca="false">IF(OR(EA12="",ЕТАЛОН_ПЛ="",IFERROR(INDEX(БАЗА_ЦІНИ,1,IFERROR(MATCH(ЕТАЛОН_ПЛ,ПЛ_РЯДОК,0),0)),"")="",IFERROR(INDEX(БАЗА_ЦІНИ,1,IFERROR(MATCH(ЕТАЛОН_ПЛ,ПЛ_РЯДОК,0),0)),"")=0),"",EA12/IFERROR(INDEX(БАЗА_ЦІНИ,1,IFERROR(MATCH(ЕТАЛОН_ПЛ,ПЛ_РЯДОК,0),0)),"")-1)</f>
        <v/>
      </c>
      <c r="EC43" s="70" t="str">
        <f aca="false">IF(OR(EC12="",ЕТАЛОН_ПЛ="",IFERROR(INDEX(БАЗА_ЦІНИ,1,IFERROR(MATCH(ЕТАЛОН_ПЛ,ПЛ_РЯДОК,0),0)),"")=""),"",EC12-IFERROR(INDEX(БАЗА_ЦІНИ,1,IFERROR(MATCH(ЕТАЛОН_ПЛ,ПЛ_РЯДОК,0),0)),""))</f>
        <v/>
      </c>
      <c r="ED43" s="71" t="str">
        <f aca="false">IF(OR(EC12="",ЕТАЛОН_ПЛ="",IFERROR(INDEX(БАЗА_ЦІНИ,1,IFERROR(MATCH(ЕТАЛОН_ПЛ,ПЛ_РЯДОК,0),0)),"")="",IFERROR(INDEX(БАЗА_ЦІНИ,1,IFERROR(MATCH(ЕТАЛОН_ПЛ,ПЛ_РЯДОК,0),0)),"")=0),"",EC12/IFERROR(INDEX(БАЗА_ЦІНИ,1,IFERROR(MATCH(ЕТАЛОН_ПЛ,ПЛ_РЯДОК,0),0)),"")-1)</f>
        <v/>
      </c>
      <c r="EE43" s="70" t="str">
        <f aca="false">IF(OR(EE12="",ЕТАЛОН_ПЛ="",IFERROR(INDEX(БАЗА_ЦІНИ,1,IFERROR(MATCH(ЕТАЛОН_ПЛ,ПЛ_РЯДОК,0),0)),"")=""),"",EE12-IFERROR(INDEX(БАЗА_ЦІНИ,1,IFERROR(MATCH(ЕТАЛОН_ПЛ,ПЛ_РЯДОК,0),0)),""))</f>
        <v/>
      </c>
      <c r="EF43" s="71" t="str">
        <f aca="false">IF(OR(EE12="",ЕТАЛОН_ПЛ="",IFERROR(INDEX(БАЗА_ЦІНИ,1,IFERROR(MATCH(ЕТАЛОН_ПЛ,ПЛ_РЯДОК,0),0)),"")="",IFERROR(INDEX(БАЗА_ЦІНИ,1,IFERROR(MATCH(ЕТАЛОН_ПЛ,ПЛ_РЯДОК,0),0)),"")=0),"",EE12/IFERROR(INDEX(БАЗА_ЦІНИ,1,IFERROR(MATCH(ЕТАЛОН_ПЛ,ПЛ_РЯДОК,0),0)),"")-1)</f>
        <v/>
      </c>
      <c r="EG43" s="70" t="str">
        <f aca="false">IF(OR(EG12="",ЕТАЛОН_ПЛ="",IFERROR(INDEX(БАЗА_ЦІНИ,1,IFERROR(MATCH(ЕТАЛОН_ПЛ,ПЛ_РЯДОК,0),0)),"")=""),"",EG12-IFERROR(INDEX(БАЗА_ЦІНИ,1,IFERROR(MATCH(ЕТАЛОН_ПЛ,ПЛ_РЯДОК,0),0)),""))</f>
        <v/>
      </c>
      <c r="EH43" s="71" t="str">
        <f aca="false">IF(OR(EG12="",ЕТАЛОН_ПЛ="",IFERROR(INDEX(БАЗА_ЦІНИ,1,IFERROR(MATCH(ЕТАЛОН_ПЛ,ПЛ_РЯДОК,0),0)),"")="",IFERROR(INDEX(БАЗА_ЦІНИ,1,IFERROR(MATCH(ЕТАЛОН_ПЛ,ПЛ_РЯДОК,0),0)),"")=0),"",EG12/IFERROR(INDEX(БАЗА_ЦІНИ,1,IFERROR(MATCH(ЕТАЛОН_ПЛ,ПЛ_РЯДОК,0),0)),"")-1)</f>
        <v/>
      </c>
      <c r="EI43" s="70" t="str">
        <f aca="false">IF(OR(EI12="",ЕТАЛОН_ПЛ="",IFERROR(INDEX(БАЗА_ЦІНИ,1,IFERROR(MATCH(ЕТАЛОН_ПЛ,ПЛ_РЯДОК,0),0)),"")=""),"",EI12-IFERROR(INDEX(БАЗА_ЦІНИ,1,IFERROR(MATCH(ЕТАЛОН_ПЛ,ПЛ_РЯДОК,0),0)),""))</f>
        <v/>
      </c>
      <c r="EJ43" s="71" t="str">
        <f aca="false">IF(OR(EI12="",ЕТАЛОН_ПЛ="",IFERROR(INDEX(БАЗА_ЦІНИ,1,IFERROR(MATCH(ЕТАЛОН_ПЛ,ПЛ_РЯДОК,0),0)),"")="",IFERROR(INDEX(БАЗА_ЦІНИ,1,IFERROR(MATCH(ЕТАЛОН_ПЛ,ПЛ_РЯДОК,0),0)),"")=0),"",EI12/IFERROR(INDEX(БАЗА_ЦІНИ,1,IFERROR(MATCH(ЕТАЛОН_ПЛ,ПЛ_РЯДОК,0),0)),"")-1)</f>
        <v/>
      </c>
      <c r="EK43" s="70" t="str">
        <f aca="false">IF(OR(EK12="",ЕТАЛОН_ПЛ="",IFERROR(INDEX(БАЗА_ЦІНИ,1,IFERROR(MATCH(ЕТАЛОН_ПЛ,ПЛ_РЯДОК,0),0)),"")=""),"",EK12-IFERROR(INDEX(БАЗА_ЦІНИ,1,IFERROR(MATCH(ЕТАЛОН_ПЛ,ПЛ_РЯДОК,0),0)),""))</f>
        <v/>
      </c>
      <c r="EL43" s="71" t="str">
        <f aca="false">IF(OR(EK12="",ЕТАЛОН_ПЛ="",IFERROR(INDEX(БАЗА_ЦІНИ,1,IFERROR(MATCH(ЕТАЛОН_ПЛ,ПЛ_РЯДОК,0),0)),"")="",IFERROR(INDEX(БАЗА_ЦІНИ,1,IFERROR(MATCH(ЕТАЛОН_ПЛ,ПЛ_РЯДОК,0),0)),"")=0),"",EK12/IFERROR(INDEX(БАЗА_ЦІНИ,1,IFERROR(MATCH(ЕТАЛОН_ПЛ,ПЛ_РЯДОК,0),0)),"")-1)</f>
        <v/>
      </c>
      <c r="EM43" s="70" t="str">
        <f aca="false">IF(OR(EM12="",ЕТАЛОН_ПЛ="",IFERROR(INDEX(БАЗА_ЦІНИ,1,IFERROR(MATCH(ЕТАЛОН_ПЛ,ПЛ_РЯДОК,0),0)),"")=""),"",EM12-IFERROR(INDEX(БАЗА_ЦІНИ,1,IFERROR(MATCH(ЕТАЛОН_ПЛ,ПЛ_РЯДОК,0),0)),""))</f>
        <v/>
      </c>
      <c r="EN43" s="71" t="str">
        <f aca="false">IF(OR(EM12="",ЕТАЛОН_ПЛ="",IFERROR(INDEX(БАЗА_ЦІНИ,1,IFERROR(MATCH(ЕТАЛОН_ПЛ,ПЛ_РЯДОК,0),0)),"")="",IFERROR(INDEX(БАЗА_ЦІНИ,1,IFERROR(MATCH(ЕТАЛОН_ПЛ,ПЛ_РЯДОК,0),0)),"")=0),"",EM12/IFERROR(INDEX(БАЗА_ЦІНИ,1,IFERROR(MATCH(ЕТАЛОН_ПЛ,ПЛ_РЯДОК,0),0)),"")-1)</f>
        <v/>
      </c>
      <c r="EO43" s="70" t="str">
        <f aca="false">IF(OR(EO12="",ЕТАЛОН_ПЛ="",IFERROR(INDEX(БАЗА_ЦІНИ,1,IFERROR(MATCH(ЕТАЛОН_ПЛ,ПЛ_РЯДОК,0),0)),"")=""),"",EO12-IFERROR(INDEX(БАЗА_ЦІНИ,1,IFERROR(MATCH(ЕТАЛОН_ПЛ,ПЛ_РЯДОК,0),0)),""))</f>
        <v/>
      </c>
      <c r="EP43" s="71" t="str">
        <f aca="false">IF(OR(EO12="",ЕТАЛОН_ПЛ="",IFERROR(INDEX(БАЗА_ЦІНИ,1,IFERROR(MATCH(ЕТАЛОН_ПЛ,ПЛ_РЯДОК,0),0)),"")="",IFERROR(INDEX(БАЗА_ЦІНИ,1,IFERROR(MATCH(ЕТАЛОН_ПЛ,ПЛ_РЯДОК,0),0)),"")=0),"",EO12/IFERROR(INDEX(БАЗА_ЦІНИ,1,IFERROR(MATCH(ЕТАЛОН_ПЛ,ПЛ_РЯДОК,0),0)),"")-1)</f>
        <v/>
      </c>
      <c r="EQ43" s="70" t="str">
        <f aca="false">IF(OR(EQ12="",ЕТАЛОН_ПЛ="",IFERROR(INDEX(БАЗА_ЦІНИ,1,IFERROR(MATCH(ЕТАЛОН_ПЛ,ПЛ_РЯДОК,0),0)),"")=""),"",EQ12-IFERROR(INDEX(БАЗА_ЦІНИ,1,IFERROR(MATCH(ЕТАЛОН_ПЛ,ПЛ_РЯДОК,0),0)),""))</f>
        <v/>
      </c>
      <c r="ER43" s="71" t="str">
        <f aca="false">IF(OR(EQ12="",ЕТАЛОН_ПЛ="",IFERROR(INDEX(БАЗА_ЦІНИ,1,IFERROR(MATCH(ЕТАЛОН_ПЛ,ПЛ_РЯДОК,0),0)),"")="",IFERROR(INDEX(БАЗА_ЦІНИ,1,IFERROR(MATCH(ЕТАЛОН_ПЛ,ПЛ_РЯДОК,0),0)),"")=0),"",EQ12/IFERROR(INDEX(БАЗА_ЦІНИ,1,IFERROR(MATCH(ЕТАЛОН_ПЛ,ПЛ_РЯДОК,0),0)),"")-1)</f>
        <v/>
      </c>
      <c r="ES43" s="70" t="str">
        <f aca="false">IF(OR(ES12="",ЕТАЛОН_ПЛ="",IFERROR(INDEX(БАЗА_ЦІНИ,1,IFERROR(MATCH(ЕТАЛОН_ПЛ,ПЛ_РЯДОК,0),0)),"")=""),"",ES12-IFERROR(INDEX(БАЗА_ЦІНИ,1,IFERROR(MATCH(ЕТАЛОН_ПЛ,ПЛ_РЯДОК,0),0)),""))</f>
        <v/>
      </c>
      <c r="ET43" s="71" t="str">
        <f aca="false">IF(OR(ES12="",ЕТАЛОН_ПЛ="",IFERROR(INDEX(БАЗА_ЦІНИ,1,IFERROR(MATCH(ЕТАЛОН_ПЛ,ПЛ_РЯДОК,0),0)),"")="",IFERROR(INDEX(БАЗА_ЦІНИ,1,IFERROR(MATCH(ЕТАЛОН_ПЛ,ПЛ_РЯДОК,0),0)),"")=0),"",ES12/IFERROR(INDEX(БАЗА_ЦІНИ,1,IFERROR(MATCH(ЕТАЛОН_ПЛ,ПЛ_РЯДОК,0),0)),"")-1)</f>
        <v/>
      </c>
      <c r="EU43" s="70" t="str">
        <f aca="false">IF(OR(EU12="",ЕТАЛОН_ПЛ="",IFERROR(INDEX(БАЗА_ЦІНИ,1,IFERROR(MATCH(ЕТАЛОН_ПЛ,ПЛ_РЯДОК,0),0)),"")=""),"",EU12-IFERROR(INDEX(БАЗА_ЦІНИ,1,IFERROR(MATCH(ЕТАЛОН_ПЛ,ПЛ_РЯДОК,0),0)),""))</f>
        <v/>
      </c>
      <c r="EV43" s="71" t="str">
        <f aca="false">IF(OR(EU12="",ЕТАЛОН_ПЛ="",IFERROR(INDEX(БАЗА_ЦІНИ,1,IFERROR(MATCH(ЕТАЛОН_ПЛ,ПЛ_РЯДОК,0),0)),"")="",IFERROR(INDEX(БАЗА_ЦІНИ,1,IFERROR(MATCH(ЕТАЛОН_ПЛ,ПЛ_РЯДОК,0),0)),"")=0),"",EU12/IFERROR(INDEX(БАЗА_ЦІНИ,1,IFERROR(MATCH(ЕТАЛОН_ПЛ,ПЛ_РЯДОК,0),0)),"")-1)</f>
        <v/>
      </c>
      <c r="EW43" s="70" t="str">
        <f aca="false">IF(OR(EW12="",ЕТАЛОН_ПЛ="",IFERROR(INDEX(БАЗА_ЦІНИ,1,IFERROR(MATCH(ЕТАЛОН_ПЛ,ПЛ_РЯДОК,0),0)),"")=""),"",EW12-IFERROR(INDEX(БАЗА_ЦІНИ,1,IFERROR(MATCH(ЕТАЛОН_ПЛ,ПЛ_РЯДОК,0),0)),""))</f>
        <v/>
      </c>
      <c r="EX43" s="71" t="str">
        <f aca="false">IF(OR(EW12="",ЕТАЛОН_ПЛ="",IFERROR(INDEX(БАЗА_ЦІНИ,1,IFERROR(MATCH(ЕТАЛОН_ПЛ,ПЛ_РЯДОК,0),0)),"")="",IFERROR(INDEX(БАЗА_ЦІНИ,1,IFERROR(MATCH(ЕТАЛОН_ПЛ,ПЛ_РЯДОК,0),0)),"")=0),"",EW12/IFERROR(INDEX(БАЗА_ЦІНИ,1,IFERROR(MATCH(ЕТАЛОН_ПЛ,ПЛ_РЯДОК,0),0)),"")-1)</f>
        <v/>
      </c>
      <c r="EY43" s="70" t="str">
        <f aca="false">IF(OR(EY12="",ЕТАЛОН_ПЛ="",IFERROR(INDEX(БАЗА_ЦІНИ,1,IFERROR(MATCH(ЕТАЛОН_ПЛ,ПЛ_РЯДОК,0),0)),"")=""),"",EY12-IFERROR(INDEX(БАЗА_ЦІНИ,1,IFERROR(MATCH(ЕТАЛОН_ПЛ,ПЛ_РЯДОК,0),0)),""))</f>
        <v/>
      </c>
      <c r="EZ43" s="71" t="str">
        <f aca="false">IF(OR(EY12="",ЕТАЛОН_ПЛ="",IFERROR(INDEX(БАЗА_ЦІНИ,1,IFERROR(MATCH(ЕТАЛОН_ПЛ,ПЛ_РЯДОК,0),0)),"")="",IFERROR(INDEX(БАЗА_ЦІНИ,1,IFERROR(MATCH(ЕТАЛОН_ПЛ,ПЛ_РЯДОК,0),0)),"")=0),"",EY12/IFERROR(INDEX(БАЗА_ЦІНИ,1,IFERROR(MATCH(ЕТАЛОН_ПЛ,ПЛ_РЯДОК,0),0)),"")-1)</f>
        <v/>
      </c>
      <c r="FA43" s="70" t="str">
        <f aca="false">IF(OR(FA12="",ЕТАЛОН_ПЛ="",IFERROR(INDEX(БАЗА_ЦІНИ,1,IFERROR(MATCH(ЕТАЛОН_ПЛ,ПЛ_РЯДОК,0),0)),"")=""),"",FA12-IFERROR(INDEX(БАЗА_ЦІНИ,1,IFERROR(MATCH(ЕТАЛОН_ПЛ,ПЛ_РЯДОК,0),0)),""))</f>
        <v/>
      </c>
      <c r="FB43" s="71" t="str">
        <f aca="false">IF(OR(FA12="",ЕТАЛОН_ПЛ="",IFERROR(INDEX(БАЗА_ЦІНИ,1,IFERROR(MATCH(ЕТАЛОН_ПЛ,ПЛ_РЯДОК,0),0)),"")="",IFERROR(INDEX(БАЗА_ЦІНИ,1,IFERROR(MATCH(ЕТАЛОН_ПЛ,ПЛ_РЯДОК,0),0)),"")=0),"",FA12/IFERROR(INDEX(БАЗА_ЦІНИ,1,IFERROR(MATCH(ЕТАЛОН_ПЛ,ПЛ_РЯДОК,0),0)),"")-1)</f>
        <v/>
      </c>
      <c r="FC43" s="70" t="str">
        <f aca="false">IF(OR(FC12="",ЕТАЛОН_ПЛ="",IFERROR(INDEX(БАЗА_ЦІНИ,1,IFERROR(MATCH(ЕТАЛОН_ПЛ,ПЛ_РЯДОК,0),0)),"")=""),"",FC12-IFERROR(INDEX(БАЗА_ЦІНИ,1,IFERROR(MATCH(ЕТАЛОН_ПЛ,ПЛ_РЯДОК,0),0)),""))</f>
        <v/>
      </c>
      <c r="FD43" s="71" t="str">
        <f aca="false">IF(OR(FC12="",ЕТАЛОН_ПЛ="",IFERROR(INDEX(БАЗА_ЦІНИ,1,IFERROR(MATCH(ЕТАЛОН_ПЛ,ПЛ_РЯДОК,0),0)),"")="",IFERROR(INDEX(БАЗА_ЦІНИ,1,IFERROR(MATCH(ЕТАЛОН_ПЛ,ПЛ_РЯДОК,0),0)),"")=0),"",FC12/IFERROR(INDEX(БАЗА_ЦІНИ,1,IFERROR(MATCH(ЕТАЛОН_ПЛ,ПЛ_РЯДОК,0),0)),"")-1)</f>
        <v/>
      </c>
      <c r="FE43" s="70" t="str">
        <f aca="false">IF(OR(FE12="",ЕТАЛОН_ПЛ="",IFERROR(INDEX(БАЗА_ЦІНИ,1,IFERROR(MATCH(ЕТАЛОН_ПЛ,ПЛ_РЯДОК,0),0)),"")=""),"",FE12-IFERROR(INDEX(БАЗА_ЦІНИ,1,IFERROR(MATCH(ЕТАЛОН_ПЛ,ПЛ_РЯДОК,0),0)),""))</f>
        <v/>
      </c>
      <c r="FF43" s="71" t="str">
        <f aca="false">IF(OR(FE12="",ЕТАЛОН_ПЛ="",IFERROR(INDEX(БАЗА_ЦІНИ,1,IFERROR(MATCH(ЕТАЛОН_ПЛ,ПЛ_РЯДОК,0),0)),"")="",IFERROR(INDEX(БАЗА_ЦІНИ,1,IFERROR(MATCH(ЕТАЛОН_ПЛ,ПЛ_РЯДОК,0),0)),"")=0),"",FE12/IFERROR(INDEX(БАЗА_ЦІНИ,1,IFERROR(MATCH(ЕТАЛОН_ПЛ,ПЛ_РЯДОК,0),0)),"")-1)</f>
        <v/>
      </c>
      <c r="FG43" s="70" t="str">
        <f aca="false">IF(OR(FG12="",ЕТАЛОН_ПЛ="",IFERROR(INDEX(БАЗА_ЦІНИ,1,IFERROR(MATCH(ЕТАЛОН_ПЛ,ПЛ_РЯДОК,0),0)),"")=""),"",FG12-IFERROR(INDEX(БАЗА_ЦІНИ,1,IFERROR(MATCH(ЕТАЛОН_ПЛ,ПЛ_РЯДОК,0),0)),""))</f>
        <v/>
      </c>
      <c r="FH43" s="71" t="str">
        <f aca="false">IF(OR(FG12="",ЕТАЛОН_ПЛ="",IFERROR(INDEX(БАЗА_ЦІНИ,1,IFERROR(MATCH(ЕТАЛОН_ПЛ,ПЛ_РЯДОК,0),0)),"")="",IFERROR(INDEX(БАЗА_ЦІНИ,1,IFERROR(MATCH(ЕТАЛОН_ПЛ,ПЛ_РЯДОК,0),0)),"")=0),"",FG12/IFERROR(INDEX(БАЗА_ЦІНИ,1,IFERROR(MATCH(ЕТАЛОН_ПЛ,ПЛ_РЯДОК,0),0)),"")-1)</f>
        <v/>
      </c>
      <c r="FI43" s="70" t="str">
        <f aca="false">IF(OR(FI12="",ЕТАЛОН_ПЛ="",IFERROR(INDEX(БАЗА_ЦІНИ,1,IFERROR(MATCH(ЕТАЛОН_ПЛ,ПЛ_РЯДОК,0),0)),"")=""),"",FI12-IFERROR(INDEX(БАЗА_ЦІНИ,1,IFERROR(MATCH(ЕТАЛОН_ПЛ,ПЛ_РЯДОК,0),0)),""))</f>
        <v/>
      </c>
      <c r="FJ43" s="71" t="str">
        <f aca="false">IF(OR(FI12="",ЕТАЛОН_ПЛ="",IFERROR(INDEX(БАЗА_ЦІНИ,1,IFERROR(MATCH(ЕТАЛОН_ПЛ,ПЛ_РЯДОК,0),0)),"")="",IFERROR(INDEX(БАЗА_ЦІНИ,1,IFERROR(MATCH(ЕТАЛОН_ПЛ,ПЛ_РЯДОК,0),0)),"")=0),"",FI12/IFERROR(INDEX(БАЗА_ЦІНИ,1,IFERROR(MATCH(ЕТАЛОН_ПЛ,ПЛ_РЯДОК,0),0)),"")-1)</f>
        <v/>
      </c>
      <c r="FK43" s="70" t="str">
        <f aca="false">IF(OR(FK12="",ЕТАЛОН_ПЛ="",IFERROR(INDEX(БАЗА_ЦІНИ,1,IFERROR(MATCH(ЕТАЛОН_ПЛ,ПЛ_РЯДОК,0),0)),"")=""),"",FK12-IFERROR(INDEX(БАЗА_ЦІНИ,1,IFERROR(MATCH(ЕТАЛОН_ПЛ,ПЛ_РЯДОК,0),0)),""))</f>
        <v/>
      </c>
      <c r="FL43" s="71" t="str">
        <f aca="false">IF(OR(FK12="",ЕТАЛОН_ПЛ="",IFERROR(INDEX(БАЗА_ЦІНИ,1,IFERROR(MATCH(ЕТАЛОН_ПЛ,ПЛ_РЯДОК,0),0)),"")="",IFERROR(INDEX(БАЗА_ЦІНИ,1,IFERROR(MATCH(ЕТАЛОН_ПЛ,ПЛ_РЯДОК,0),0)),"")=0),"",FK12/IFERROR(INDEX(БАЗА_ЦІНИ,1,IFERROR(MATCH(ЕТАЛОН_ПЛ,ПЛ_РЯДОК,0),0)),"")-1)</f>
        <v/>
      </c>
      <c r="FM43" s="70" t="str">
        <f aca="false">IF(OR(FM12="",ЕТАЛОН_ПЛ="",IFERROR(INDEX(БАЗА_ЦІНИ,1,IFERROR(MATCH(ЕТАЛОН_ПЛ,ПЛ_РЯДОК,0),0)),"")=""),"",FM12-IFERROR(INDEX(БАЗА_ЦІНИ,1,IFERROR(MATCH(ЕТАЛОН_ПЛ,ПЛ_РЯДОК,0),0)),""))</f>
        <v/>
      </c>
      <c r="FN43" s="71" t="str">
        <f aca="false">IF(OR(FM12="",ЕТАЛОН_ПЛ="",IFERROR(INDEX(БАЗА_ЦІНИ,1,IFERROR(MATCH(ЕТАЛОН_ПЛ,ПЛ_РЯДОК,0),0)),"")="",IFERROR(INDEX(БАЗА_ЦІНИ,1,IFERROR(MATCH(ЕТАЛОН_ПЛ,ПЛ_РЯДОК,0),0)),"")=0),"",FM12/IFERROR(INDEX(БАЗА_ЦІНИ,1,IFERROR(MATCH(ЕТАЛОН_ПЛ,ПЛ_РЯДОК,0),0)),"")-1)</f>
        <v/>
      </c>
      <c r="FO43" s="70" t="str">
        <f aca="false">IF(OR(FO12="",ЕТАЛОН_ПЛ="",IFERROR(INDEX(БАЗА_ЦІНИ,1,IFERROR(MATCH(ЕТАЛОН_ПЛ,ПЛ_РЯДОК,0),0)),"")=""),"",FO12-IFERROR(INDEX(БАЗА_ЦІНИ,1,IFERROR(MATCH(ЕТАЛОН_ПЛ,ПЛ_РЯДОК,0),0)),""))</f>
        <v/>
      </c>
      <c r="FP43" s="71" t="str">
        <f aca="false">IF(OR(FO12="",ЕТАЛОН_ПЛ="",IFERROR(INDEX(БАЗА_ЦІНИ,1,IFERROR(MATCH(ЕТАЛОН_ПЛ,ПЛ_РЯДОК,0),0)),"")="",IFERROR(INDEX(БАЗА_ЦІНИ,1,IFERROR(MATCH(ЕТАЛОН_ПЛ,ПЛ_РЯДОК,0),0)),"")=0),"",FO12/IFERROR(INDEX(БАЗА_ЦІНИ,1,IFERROR(MATCH(ЕТАЛОН_ПЛ,ПЛ_РЯДОК,0),0)),"")-1)</f>
        <v/>
      </c>
      <c r="FQ43" s="70" t="str">
        <f aca="false">IF(OR(FQ12="",ЕТАЛОН_ПЛ="",IFERROR(INDEX(БАЗА_ЦІНИ,1,IFERROR(MATCH(ЕТАЛОН_ПЛ,ПЛ_РЯДОК,0),0)),"")=""),"",FQ12-IFERROR(INDEX(БАЗА_ЦІНИ,1,IFERROR(MATCH(ЕТАЛОН_ПЛ,ПЛ_РЯДОК,0),0)),""))</f>
        <v/>
      </c>
      <c r="FR43" s="71" t="str">
        <f aca="false">IF(OR(FQ12="",ЕТАЛОН_ПЛ="",IFERROR(INDEX(БАЗА_ЦІНИ,1,IFERROR(MATCH(ЕТАЛОН_ПЛ,ПЛ_РЯДОК,0),0)),"")="",IFERROR(INDEX(БАЗА_ЦІНИ,1,IFERROR(MATCH(ЕТАЛОН_ПЛ,ПЛ_РЯДОК,0),0)),"")=0),"",FQ12/IFERROR(INDEX(БАЗА_ЦІНИ,1,IFERROR(MATCH(ЕТАЛОН_ПЛ,ПЛ_РЯДОК,0),0)),"")-1)</f>
        <v/>
      </c>
      <c r="FS43" s="70" t="str">
        <f aca="false">IF(OR(FS12="",ЕТАЛОН_ПЛ="",IFERROR(INDEX(БАЗА_ЦІНИ,1,IFERROR(MATCH(ЕТАЛОН_ПЛ,ПЛ_РЯДОК,0),0)),"")=""),"",FS12-IFERROR(INDEX(БАЗА_ЦІНИ,1,IFERROR(MATCH(ЕТАЛОН_ПЛ,ПЛ_РЯДОК,0),0)),""))</f>
        <v/>
      </c>
      <c r="FT43" s="71" t="str">
        <f aca="false">IF(OR(FS12="",ЕТАЛОН_ПЛ="",IFERROR(INDEX(БАЗА_ЦІНИ,1,IFERROR(MATCH(ЕТАЛОН_ПЛ,ПЛ_РЯДОК,0),0)),"")="",IFERROR(INDEX(БАЗА_ЦІНИ,1,IFERROR(MATCH(ЕТАЛОН_ПЛ,ПЛ_РЯДОК,0),0)),"")=0),"",FS12/IFERROR(INDEX(БАЗА_ЦІНИ,1,IFERROR(MATCH(ЕТАЛОН_ПЛ,ПЛ_РЯДОК,0),0)),"")-1)</f>
        <v/>
      </c>
      <c r="FU43" s="70" t="str">
        <f aca="false">IF(OR(FU12="",ЕТАЛОН_ПЛ="",IFERROR(INDEX(БАЗА_ЦІНИ,1,IFERROR(MATCH(ЕТАЛОН_ПЛ,ПЛ_РЯДОК,0),0)),"")=""),"",FU12-IFERROR(INDEX(БАЗА_ЦІНИ,1,IFERROR(MATCH(ЕТАЛОН_ПЛ,ПЛ_РЯДОК,0),0)),""))</f>
        <v/>
      </c>
      <c r="FV43" s="71" t="str">
        <f aca="false">IF(OR(FU12="",ЕТАЛОН_ПЛ="",IFERROR(INDEX(БАЗА_ЦІНИ,1,IFERROR(MATCH(ЕТАЛОН_ПЛ,ПЛ_РЯДОК,0),0)),"")="",IFERROR(INDEX(БАЗА_ЦІНИ,1,IFERROR(MATCH(ЕТАЛОН_ПЛ,ПЛ_РЯДОК,0),0)),"")=0),"",FU12/IFERROR(INDEX(БАЗА_ЦІНИ,1,IFERROR(MATCH(ЕТАЛОН_ПЛ,ПЛ_РЯДОК,0),0)),"")-1)</f>
        <v/>
      </c>
      <c r="FW43" s="70" t="str">
        <f aca="false">IF(OR(FW12="",ЕТАЛОН_ПЛ="",IFERROR(INDEX(БАЗА_ЦІНИ,1,IFERROR(MATCH(ЕТАЛОН_ПЛ,ПЛ_РЯДОК,0),0)),"")=""),"",FW12-IFERROR(INDEX(БАЗА_ЦІНИ,1,IFERROR(MATCH(ЕТАЛОН_ПЛ,ПЛ_РЯДОК,0),0)),""))</f>
        <v/>
      </c>
      <c r="FX43" s="71" t="str">
        <f aca="false">IF(OR(FW12="",ЕТАЛОН_ПЛ="",IFERROR(INDEX(БАЗА_ЦІНИ,1,IFERROR(MATCH(ЕТАЛОН_ПЛ,ПЛ_РЯДОК,0),0)),"")="",IFERROR(INDEX(БАЗА_ЦІНИ,1,IFERROR(MATCH(ЕТАЛОН_ПЛ,ПЛ_РЯДОК,0),0)),"")=0),"",FW12/IFERROR(INDEX(БАЗА_ЦІНИ,1,IFERROR(MATCH(ЕТАЛОН_ПЛ,ПЛ_РЯДОК,0),0)),"")-1)</f>
        <v/>
      </c>
      <c r="FY43" s="70" t="str">
        <f aca="false">IF(OR(FY12="",ЕТАЛОН_ПЛ="",IFERROR(INDEX(БАЗА_ЦІНИ,1,IFERROR(MATCH(ЕТАЛОН_ПЛ,ПЛ_РЯДОК,0),0)),"")=""),"",FY12-IFERROR(INDEX(БАЗА_ЦІНИ,1,IFERROR(MATCH(ЕТАЛОН_ПЛ,ПЛ_РЯДОК,0),0)),""))</f>
        <v/>
      </c>
      <c r="FZ43" s="71" t="str">
        <f aca="false">IF(OR(FY12="",ЕТАЛОН_ПЛ="",IFERROR(INDEX(БАЗА_ЦІНИ,1,IFERROR(MATCH(ЕТАЛОН_ПЛ,ПЛ_РЯДОК,0),0)),"")="",IFERROR(INDEX(БАЗА_ЦІНИ,1,IFERROR(MATCH(ЕТАЛОН_ПЛ,ПЛ_РЯДОК,0),0)),"")=0),"",FY12/IFERROR(INDEX(БАЗА_ЦІНИ,1,IFERROR(MATCH(ЕТАЛОН_ПЛ,ПЛ_РЯДОК,0),0)),"")-1)</f>
        <v/>
      </c>
      <c r="GA43" s="70" t="str">
        <f aca="false">IF(OR(GA12="",ЕТАЛОН_ПЛ="",IFERROR(INDEX(БАЗА_ЦІНИ,1,IFERROR(MATCH(ЕТАЛОН_ПЛ,ПЛ_РЯДОК,0),0)),"")=""),"",GA12-IFERROR(INDEX(БАЗА_ЦІНИ,1,IFERROR(MATCH(ЕТАЛОН_ПЛ,ПЛ_РЯДОК,0),0)),""))</f>
        <v/>
      </c>
      <c r="GB43" s="71" t="str">
        <f aca="false">IF(OR(GA12="",ЕТАЛОН_ПЛ="",IFERROR(INDEX(БАЗА_ЦІНИ,1,IFERROR(MATCH(ЕТАЛОН_ПЛ,ПЛ_РЯДОК,0),0)),"")="",IFERROR(INDEX(БАЗА_ЦІНИ,1,IFERROR(MATCH(ЕТАЛОН_ПЛ,ПЛ_РЯДОК,0),0)),"")=0),"",GA12/IFERROR(INDEX(БАЗА_ЦІНИ,1,IFERROR(MATCH(ЕТАЛОН_ПЛ,ПЛ_РЯДОК,0),0)),"")-1)</f>
        <v/>
      </c>
      <c r="GC43" s="70" t="str">
        <f aca="false">IF(OR(GC12="",ЕТАЛОН_ПЛ="",IFERROR(INDEX(БАЗА_ЦІНИ,1,IFERROR(MATCH(ЕТАЛОН_ПЛ,ПЛ_РЯДОК,0),0)),"")=""),"",GC12-IFERROR(INDEX(БАЗА_ЦІНИ,1,IFERROR(MATCH(ЕТАЛОН_ПЛ,ПЛ_РЯДОК,0),0)),""))</f>
        <v/>
      </c>
      <c r="GD43" s="71" t="str">
        <f aca="false">IF(OR(GC12="",ЕТАЛОН_ПЛ="",IFERROR(INDEX(БАЗА_ЦІНИ,1,IFERROR(MATCH(ЕТАЛОН_ПЛ,ПЛ_РЯДОК,0),0)),"")="",IFERROR(INDEX(БАЗА_ЦІНИ,1,IFERROR(MATCH(ЕТАЛОН_ПЛ,ПЛ_РЯДОК,0),0)),"")=0),"",GC12/IFERROR(INDEX(БАЗА_ЦІНИ,1,IFERROR(MATCH(ЕТАЛОН_ПЛ,ПЛ_РЯДОК,0),0)),"")-1)</f>
        <v/>
      </c>
      <c r="GE43" s="70" t="str">
        <f aca="false">IF(OR(GE12="",ЕТАЛОН_ПЛ="",IFERROR(INDEX(БАЗА_ЦІНИ,1,IFERROR(MATCH(ЕТАЛОН_ПЛ,ПЛ_РЯДОК,0),0)),"")=""),"",GE12-IFERROR(INDEX(БАЗА_ЦІНИ,1,IFERROR(MATCH(ЕТАЛОН_ПЛ,ПЛ_РЯДОК,0),0)),""))</f>
        <v/>
      </c>
      <c r="GF43" s="71" t="str">
        <f aca="false">IF(OR(GE12="",ЕТАЛОН_ПЛ="",IFERROR(INDEX(БАЗА_ЦІНИ,1,IFERROR(MATCH(ЕТАЛОН_ПЛ,ПЛ_РЯДОК,0),0)),"")="",IFERROR(INDEX(БАЗА_ЦІНИ,1,IFERROR(MATCH(ЕТАЛОН_ПЛ,ПЛ_РЯДОК,0),0)),"")=0),"",GE12/IFERROR(INDEX(БАЗА_ЦІНИ,1,IFERROR(MATCH(ЕТАЛОН_ПЛ,ПЛ_РЯДОК,0),0)),"")-1)</f>
        <v/>
      </c>
      <c r="GG43" s="70" t="str">
        <f aca="false">IF(OR(GG12="",ЕТАЛОН_ПЛ="",IFERROR(INDEX(БАЗА_ЦІНИ,1,IFERROR(MATCH(ЕТАЛОН_ПЛ,ПЛ_РЯДОК,0),0)),"")=""),"",GG12-IFERROR(INDEX(БАЗА_ЦІНИ,1,IFERROR(MATCH(ЕТАЛОН_ПЛ,ПЛ_РЯДОК,0),0)),""))</f>
        <v/>
      </c>
      <c r="GH43" s="71" t="str">
        <f aca="false">IF(OR(GG12="",ЕТАЛОН_ПЛ="",IFERROR(INDEX(БАЗА_ЦІНИ,1,IFERROR(MATCH(ЕТАЛОН_ПЛ,ПЛ_РЯДОК,0),0)),"")="",IFERROR(INDEX(БАЗА_ЦІНИ,1,IFERROR(MATCH(ЕТАЛОН_ПЛ,ПЛ_РЯДОК,0),0)),"")=0),"",GG12/IFERROR(INDEX(БАЗА_ЦІНИ,1,IFERROR(MATCH(ЕТАЛОН_ПЛ,ПЛ_РЯДОК,0),0)),"")-1)</f>
        <v/>
      </c>
      <c r="GI43" s="70" t="str">
        <f aca="false">IF(OR(GI12="",ЕТАЛОН_ПЛ="",IFERROR(INDEX(БАЗА_ЦІНИ,1,IFERROR(MATCH(ЕТАЛОН_ПЛ,ПЛ_РЯДОК,0),0)),"")=""),"",GI12-IFERROR(INDEX(БАЗА_ЦІНИ,1,IFERROR(MATCH(ЕТАЛОН_ПЛ,ПЛ_РЯДОК,0),0)),""))</f>
        <v/>
      </c>
      <c r="GJ43" s="71" t="str">
        <f aca="false">IF(OR(GI12="",ЕТАЛОН_ПЛ="",IFERROR(INDEX(БАЗА_ЦІНИ,1,IFERROR(MATCH(ЕТАЛОН_ПЛ,ПЛ_РЯДОК,0),0)),"")="",IFERROR(INDEX(БАЗА_ЦІНИ,1,IFERROR(MATCH(ЕТАЛОН_ПЛ,ПЛ_РЯДОК,0),0)),"")=0),"",GI12/IFERROR(INDEX(БАЗА_ЦІНИ,1,IFERROR(MATCH(ЕТАЛОН_ПЛ,ПЛ_РЯДОК,0),0)),"")-1)</f>
        <v/>
      </c>
      <c r="GK43" s="70" t="str">
        <f aca="false">IF(OR(GK12="",ЕТАЛОН_ПЛ="",IFERROR(INDEX(БАЗА_ЦІНИ,1,IFERROR(MATCH(ЕТАЛОН_ПЛ,ПЛ_РЯДОК,0),0)),"")=""),"",GK12-IFERROR(INDEX(БАЗА_ЦІНИ,1,IFERROR(MATCH(ЕТАЛОН_ПЛ,ПЛ_РЯДОК,0),0)),""))</f>
        <v/>
      </c>
      <c r="GL43" s="71" t="str">
        <f aca="false">IF(OR(GK12="",ЕТАЛОН_ПЛ="",IFERROR(INDEX(БАЗА_ЦІНИ,1,IFERROR(MATCH(ЕТАЛОН_ПЛ,ПЛ_РЯДОК,0),0)),"")="",IFERROR(INDEX(БАЗА_ЦІНИ,1,IFERROR(MATCH(ЕТАЛОН_ПЛ,ПЛ_РЯДОК,0),0)),"")=0),"",GK12/IFERROR(INDEX(БАЗА_ЦІНИ,1,IFERROR(MATCH(ЕТАЛОН_ПЛ,ПЛ_РЯДОК,0),0)),"")-1)</f>
        <v/>
      </c>
      <c r="GM43" s="70" t="str">
        <f aca="false">IF(OR(GM12="",ЕТАЛОН_ПЛ="",IFERROR(INDEX(БАЗА_ЦІНИ,1,IFERROR(MATCH(ЕТАЛОН_ПЛ,ПЛ_РЯДОК,0),0)),"")=""),"",GM12-IFERROR(INDEX(БАЗА_ЦІНИ,1,IFERROR(MATCH(ЕТАЛОН_ПЛ,ПЛ_РЯДОК,0),0)),""))</f>
        <v/>
      </c>
      <c r="GN43" s="71" t="str">
        <f aca="false">IF(OR(GM12="",ЕТАЛОН_ПЛ="",IFERROR(INDEX(БАЗА_ЦІНИ,1,IFERROR(MATCH(ЕТАЛОН_ПЛ,ПЛ_РЯДОК,0),0)),"")="",IFERROR(INDEX(БАЗА_ЦІНИ,1,IFERROR(MATCH(ЕТАЛОН_ПЛ,ПЛ_РЯДОК,0),0)),"")=0),"",GM12/IFERROR(INDEX(БАЗА_ЦІНИ,1,IFERROR(MATCH(ЕТАЛОН_ПЛ,ПЛ_РЯДОК,0),0)),"")-1)</f>
        <v/>
      </c>
      <c r="GO43" s="70" t="str">
        <f aca="false">IF(OR(GO12="",ЕТАЛОН_ПЛ="",IFERROR(INDEX(БАЗА_ЦІНИ,1,IFERROR(MATCH(ЕТАЛОН_ПЛ,ПЛ_РЯДОК,0),0)),"")=""),"",GO12-IFERROR(INDEX(БАЗА_ЦІНИ,1,IFERROR(MATCH(ЕТАЛОН_ПЛ,ПЛ_РЯДОК,0),0)),""))</f>
        <v/>
      </c>
      <c r="GP43" s="71" t="str">
        <f aca="false">IF(OR(GO12="",ЕТАЛОН_ПЛ="",IFERROR(INDEX(БАЗА_ЦІНИ,1,IFERROR(MATCH(ЕТАЛОН_ПЛ,ПЛ_РЯДОК,0),0)),"")="",IFERROR(INDEX(БАЗА_ЦІНИ,1,IFERROR(MATCH(ЕТАЛОН_ПЛ,ПЛ_РЯДОК,0),0)),"")=0),"",GO12/IFERROR(INDEX(БАЗА_ЦІНИ,1,IFERROR(MATCH(ЕТАЛОН_ПЛ,ПЛ_РЯДОК,0),0)),"")-1)</f>
        <v/>
      </c>
      <c r="GQ43" s="70" t="str">
        <f aca="false">IF(OR(GQ12="",ЕТАЛОН_ПЛ="",IFERROR(INDEX(БАЗА_ЦІНИ,1,IFERROR(MATCH(ЕТАЛОН_ПЛ,ПЛ_РЯДОК,0),0)),"")=""),"",GQ12-IFERROR(INDEX(БАЗА_ЦІНИ,1,IFERROR(MATCH(ЕТАЛОН_ПЛ,ПЛ_РЯДОК,0),0)),""))</f>
        <v/>
      </c>
      <c r="GR43" s="71" t="str">
        <f aca="false">IF(OR(GQ12="",ЕТАЛОН_ПЛ="",IFERROR(INDEX(БАЗА_ЦІНИ,1,IFERROR(MATCH(ЕТАЛОН_ПЛ,ПЛ_РЯДОК,0),0)),"")="",IFERROR(INDEX(БАЗА_ЦІНИ,1,IFERROR(MATCH(ЕТАЛОН_ПЛ,ПЛ_РЯДОК,0),0)),"")=0),"",GQ12/IFERROR(INDEX(БАЗА_ЦІНИ,1,IFERROR(MATCH(ЕТАЛОН_ПЛ,ПЛ_РЯДОК,0),0)),"")-1)</f>
        <v/>
      </c>
      <c r="GS43" s="70" t="str">
        <f aca="false">IF(OR(GS12="",ЕТАЛОН_ПЛ="",IFERROR(INDEX(БАЗА_ЦІНИ,1,IFERROR(MATCH(ЕТАЛОН_ПЛ,ПЛ_РЯДОК,0),0)),"")=""),"",GS12-IFERROR(INDEX(БАЗА_ЦІНИ,1,IFERROR(MATCH(ЕТАЛОН_ПЛ,ПЛ_РЯДОК,0),0)),""))</f>
        <v/>
      </c>
      <c r="GT43" s="71" t="str">
        <f aca="false">IF(OR(GS12="",ЕТАЛОН_ПЛ="",IFERROR(INDEX(БАЗА_ЦІНИ,1,IFERROR(MATCH(ЕТАЛОН_ПЛ,ПЛ_РЯДОК,0),0)),"")="",IFERROR(INDEX(БАЗА_ЦІНИ,1,IFERROR(MATCH(ЕТАЛОН_ПЛ,ПЛ_РЯДОК,0),0)),"")=0),"",GS12/IFERROR(INDEX(БАЗА_ЦІНИ,1,IFERROR(MATCH(ЕТАЛОН_ПЛ,ПЛ_РЯДОК,0),0)),"")-1)</f>
        <v/>
      </c>
      <c r="GU43" s="70" t="str">
        <f aca="false">IF(OR(GU12="",ЕТАЛОН_ПЛ="",IFERROR(INDEX(БАЗА_ЦІНИ,1,IFERROR(MATCH(ЕТАЛОН_ПЛ,ПЛ_РЯДОК,0),0)),"")=""),"",GU12-IFERROR(INDEX(БАЗА_ЦІНИ,1,IFERROR(MATCH(ЕТАЛОН_ПЛ,ПЛ_РЯДОК,0),0)),""))</f>
        <v/>
      </c>
      <c r="GV43" s="71" t="str">
        <f aca="false">IF(OR(GU12="",ЕТАЛОН_ПЛ="",IFERROR(INDEX(БАЗА_ЦІНИ,1,IFERROR(MATCH(ЕТАЛОН_ПЛ,ПЛ_РЯДОК,0),0)),"")="",IFERROR(INDEX(БАЗА_ЦІНИ,1,IFERROR(MATCH(ЕТАЛОН_ПЛ,ПЛ_РЯДОК,0),0)),"")=0),"",GU12/IFERROR(INDEX(БАЗА_ЦІНИ,1,IFERROR(MATCH(ЕТАЛОН_ПЛ,ПЛ_РЯДОК,0),0)),"")-1)</f>
        <v/>
      </c>
      <c r="GW43" s="70" t="str">
        <f aca="false">IF(OR(GW12="",ЕТАЛОН_ПЛ="",IFERROR(INDEX(БАЗА_ЦІНИ,1,IFERROR(MATCH(ЕТАЛОН_ПЛ,ПЛ_РЯДОК,0),0)),"")=""),"",GW12-IFERROR(INDEX(БАЗА_ЦІНИ,1,IFERROR(MATCH(ЕТАЛОН_ПЛ,ПЛ_РЯДОК,0),0)),""))</f>
        <v/>
      </c>
      <c r="GX43" s="71" t="str">
        <f aca="false">IF(OR(GW12="",ЕТАЛОН_ПЛ="",IFERROR(INDEX(БАЗА_ЦІНИ,1,IFERROR(MATCH(ЕТАЛОН_ПЛ,ПЛ_РЯДОК,0),0)),"")="",IFERROR(INDEX(БАЗА_ЦІНИ,1,IFERROR(MATCH(ЕТАЛОН_ПЛ,ПЛ_РЯДОК,0),0)),"")=0),"",GW12/IFERROR(INDEX(БАЗА_ЦІНИ,1,IFERROR(MATCH(ЕТАЛОН_ПЛ,ПЛ_РЯДОК,0),0)),"")-1)</f>
        <v/>
      </c>
      <c r="GY43" s="70" t="str">
        <f aca="false">IF(OR(GY12="",ЕТАЛОН_ПЛ="",IFERROR(INDEX(БАЗА_ЦІНИ,1,IFERROR(MATCH(ЕТАЛОН_ПЛ,ПЛ_РЯДОК,0),0)),"")=""),"",GY12-IFERROR(INDEX(БАЗА_ЦІНИ,1,IFERROR(MATCH(ЕТАЛОН_ПЛ,ПЛ_РЯДОК,0),0)),""))</f>
        <v/>
      </c>
      <c r="GZ43" s="71" t="str">
        <f aca="false">IF(OR(GY12="",ЕТАЛОН_ПЛ="",IFERROR(INDEX(БАЗА_ЦІНИ,1,IFERROR(MATCH(ЕТАЛОН_ПЛ,ПЛ_РЯДОК,0),0)),"")="",IFERROR(INDEX(БАЗА_ЦІНИ,1,IFERROR(MATCH(ЕТАЛОН_ПЛ,ПЛ_РЯДОК,0),0)),"")=0),"",GY12/IFERROR(INDEX(БАЗА_ЦІНИ,1,IFERROR(MATCH(ЕТАЛОН_ПЛ,ПЛ_РЯДОК,0),0)),"")-1)</f>
        <v/>
      </c>
    </row>
    <row r="44" customFormat="false" ht="15" hidden="false" customHeight="false" outlineLevel="0" collapsed="false">
      <c r="A44" s="4"/>
      <c r="B44" s="36"/>
      <c r="C44" s="36"/>
      <c r="D44" s="49"/>
      <c r="E44" s="50"/>
      <c r="H44" s="23" t="str">
        <f aca="false">IF('Довідник категорій'!B6="","",'Довідник категорій'!B6)</f>
        <v>Forest View Chalet</v>
      </c>
      <c r="I44" s="70" t="n">
        <f aca="false">IF(OR(I13="",ЕТАЛОН_ПЛ="",IFERROR(INDEX(БАЗА_ЦІНИ,2,IFERROR(MATCH(ЕТАЛОН_ПЛ,ПЛ_РЯДОК,0),0)),"")=""),"",I13-IFERROR(INDEX(БАЗА_ЦІНИ,2,IFERROR(MATCH(ЕТАЛОН_ПЛ,ПЛ_РЯДОК,0),0)),""))</f>
        <v>-2500</v>
      </c>
      <c r="J44" s="71" t="n">
        <f aca="false">IF(OR(I13="",ЕТАЛОН_ПЛ="",IFERROR(INDEX(БАЗА_ЦІНИ,2,IFERROR(MATCH(ЕТАЛОН_ПЛ,ПЛ_РЯДОК,0),0)),"")="",IFERROR(INDEX(БАЗА_ЦІНИ,2,IFERROR(MATCH(ЕТАЛОН_ПЛ,ПЛ_РЯДОК,0),0)),"")=0),"",I13/IFERROR(INDEX(БАЗА_ЦІНИ,2,IFERROR(MATCH(ЕТАЛОН_ПЛ,ПЛ_РЯДОК,0),0)),"")-1)</f>
        <v>-0.384615384615385</v>
      </c>
      <c r="K44" s="70" t="n">
        <f aca="false">IF(OR(K13="",ЕТАЛОН_ПЛ="",IFERROR(INDEX(БАЗА_ЦІНИ,2,IFERROR(MATCH(ЕТАЛОН_ПЛ,ПЛ_РЯДОК,0),0)),"")=""),"",K13-IFERROR(INDEX(БАЗА_ЦІНИ,2,IFERROR(MATCH(ЕТАЛОН_ПЛ,ПЛ_РЯДОК,0),0)),""))</f>
        <v>0</v>
      </c>
      <c r="L44" s="71" t="n">
        <f aca="false">IF(OR(K13="",ЕТАЛОН_ПЛ="",IFERROR(INDEX(БАЗА_ЦІНИ,2,IFERROR(MATCH(ЕТАЛОН_ПЛ,ПЛ_РЯДОК,0),0)),"")="",IFERROR(INDEX(БАЗА_ЦІНИ,2,IFERROR(MATCH(ЕТАЛОН_ПЛ,ПЛ_РЯДОК,0),0)),"")=0),"",K13/IFERROR(INDEX(БАЗА_ЦІНИ,2,IFERROR(MATCH(ЕТАЛОН_ПЛ,ПЛ_РЯДОК,0),0)),"")-1)</f>
        <v>0</v>
      </c>
      <c r="M44" s="70" t="n">
        <f aca="false">IF(OR(M13="",ЕТАЛОН_ПЛ="",IFERROR(INDEX(БАЗА_ЦІНИ,2,IFERROR(MATCH(ЕТАЛОН_ПЛ,ПЛ_РЯДОК,0),0)),"")=""),"",M13-IFERROR(INDEX(БАЗА_ЦІНИ,2,IFERROR(MATCH(ЕТАЛОН_ПЛ,ПЛ_РЯДОК,0),0)),""))</f>
        <v>-1950</v>
      </c>
      <c r="N44" s="71" t="n">
        <f aca="false">IF(OR(M13="",ЕТАЛОН_ПЛ="",IFERROR(INDEX(БАЗА_ЦІНИ,2,IFERROR(MATCH(ЕТАЛОН_ПЛ,ПЛ_РЯДОК,0),0)),"")="",IFERROR(INDEX(БАЗА_ЦІНИ,2,IFERROR(MATCH(ЕТАЛОН_ПЛ,ПЛ_РЯДОК,0),0)),"")=0),"",M13/IFERROR(INDEX(БАЗА_ЦІНИ,2,IFERROR(MATCH(ЕТАЛОН_ПЛ,ПЛ_РЯДОК,0),0)),"")-1)</f>
        <v>-0.3</v>
      </c>
      <c r="O44" s="70" t="n">
        <f aca="false">IF(OR(O13="",ЕТАЛОН_ПЛ="",IFERROR(INDEX(БАЗА_ЦІНИ,2,IFERROR(MATCH(ЕТАЛОН_ПЛ,ПЛ_РЯДОК,0),0)),"")=""),"",O13-IFERROR(INDEX(БАЗА_ЦІНИ,2,IFERROR(MATCH(ЕТАЛОН_ПЛ,ПЛ_РЯДОК,0),0)),""))</f>
        <v>-975</v>
      </c>
      <c r="P44" s="71" t="n">
        <f aca="false">IF(OR(O13="",ЕТАЛОН_ПЛ="",IFERROR(INDEX(БАЗА_ЦІНИ,2,IFERROR(MATCH(ЕТАЛОН_ПЛ,ПЛ_РЯДОК,0),0)),"")="",IFERROR(INDEX(БАЗА_ЦІНИ,2,IFERROR(MATCH(ЕТАЛОН_ПЛ,ПЛ_РЯДОК,0),0)),"")=0),"",O13/IFERROR(INDEX(БАЗА_ЦІНИ,2,IFERROR(MATCH(ЕТАЛОН_ПЛ,ПЛ_РЯДОК,0),0)),"")-1)</f>
        <v>-0.15</v>
      </c>
      <c r="Q44" s="70" t="n">
        <f aca="false">IF(OR(Q13="",ЕТАЛОН_ПЛ="",IFERROR(INDEX(БАЗА_ЦІНИ,2,IFERROR(MATCH(ЕТАЛОН_ПЛ,ПЛ_РЯДОК,0),0)),"")=""),"",Q13-IFERROR(INDEX(БАЗА_ЦІНИ,2,IFERROR(MATCH(ЕТАЛОН_ПЛ,ПЛ_РЯДОК,0),0)),""))</f>
        <v>-1625.13</v>
      </c>
      <c r="R44" s="71" t="n">
        <f aca="false">IF(OR(Q13="",ЕТАЛОН_ПЛ="",IFERROR(INDEX(БАЗА_ЦІНИ,2,IFERROR(MATCH(ЕТАЛОН_ПЛ,ПЛ_РЯДОК,0),0)),"")="",IFERROR(INDEX(БАЗА_ЦІНИ,2,IFERROR(MATCH(ЕТАЛОН_ПЛ,ПЛ_РЯДОК,0),0)),"")=0),"",Q13/IFERROR(INDEX(БАЗА_ЦІНИ,2,IFERROR(MATCH(ЕТАЛОН_ПЛ,ПЛ_РЯДОК,0),0)),"")-1)</f>
        <v>-0.25002</v>
      </c>
      <c r="S44" s="70" t="n">
        <f aca="false">IF(OR(S13="",ЕТАЛОН_ПЛ="",IFERROR(INDEX(БАЗА_ЦІНИ,2,IFERROR(MATCH(ЕТАЛОН_ПЛ,ПЛ_РЯДОК,0),0)),"")=""),"",S13-IFERROR(INDEX(БАЗА_ЦІНИ,2,IFERROR(MATCH(ЕТАЛОН_ПЛ,ПЛ_РЯДОК,0),0)),""))</f>
        <v>-580.515</v>
      </c>
      <c r="T44" s="71" t="n">
        <f aca="false">IF(OR(S13="",ЕТАЛОН_ПЛ="",IFERROR(INDEX(БАЗА_ЦІНИ,2,IFERROR(MATCH(ЕТАЛОН_ПЛ,ПЛ_РЯДОК,0),0)),"")="",IFERROR(INDEX(БАЗА_ЦІНИ,2,IFERROR(MATCH(ЕТАЛОН_ПЛ,ПЛ_РЯДОК,0),0)),"")=0),"",S13/IFERROR(INDEX(БАЗА_ЦІНИ,2,IFERROR(MATCH(ЕТАЛОН_ПЛ,ПЛ_РЯДОК,0),0)),"")-1)</f>
        <v>-0.08931</v>
      </c>
      <c r="U44" s="70" t="n">
        <f aca="false">IF(OR(U13="",ЕТАЛОН_ПЛ="",IFERROR(INDEX(БАЗА_ЦІНИ,2,IFERROR(MATCH(ЕТАЛОН_ПЛ,ПЛ_РЯДОК,0),0)),"")=""),"",U13-IFERROR(INDEX(БАЗА_ЦІНИ,2,IFERROR(MATCH(ЕТАЛОН_ПЛ,ПЛ_РЯДОК,0),0)),""))</f>
        <v>-1277.064282</v>
      </c>
      <c r="V44" s="71" t="n">
        <f aca="false">IF(OR(U13="",ЕТАЛОН_ПЛ="",IFERROR(INDEX(БАЗА_ЦІНИ,2,IFERROR(MATCH(ЕТАЛОН_ПЛ,ПЛ_РЯДОК,0),0)),"")="",IFERROR(INDEX(БАЗА_ЦІНИ,2,IFERROR(MATCH(ЕТАЛОН_ПЛ,ПЛ_РЯДОК,0),0)),"")=0),"",U13/IFERROR(INDEX(БАЗА_ЦІНИ,2,IFERROR(MATCH(ЕТАЛОН_ПЛ,ПЛ_РЯДОК,0),0)),"")-1)</f>
        <v>-0.196471428</v>
      </c>
      <c r="W44" s="70" t="n">
        <f aca="false">IF(OR(W13="",ЕТАЛОН_ПЛ="",IFERROR(INDEX(БАЗА_ЦІНИ,2,IFERROR(MATCH(ЕТАЛОН_ПЛ,ПЛ_РЯДОК,0),0)),"")=""),"",W13-IFERROR(INDEX(БАЗА_ЦІНИ,2,IFERROR(MATCH(ЕТАЛОН_ПЛ,ПЛ_РЯДОК,0),0)),""))</f>
        <v>-157.863771</v>
      </c>
      <c r="X44" s="71" t="n">
        <f aca="false">IF(OR(W13="",ЕТАЛОН_ПЛ="",IFERROR(INDEX(БАЗА_ЦІНИ,2,IFERROR(MATCH(ЕТАЛОН_ПЛ,ПЛ_РЯДОК,0),0)),"")="",IFERROR(INDEX(БАЗА_ЦІНИ,2,IFERROR(MATCH(ЕТАЛОН_ПЛ,ПЛ_РЯДОК,0),0)),"")=0),"",W13/IFERROR(INDEX(БАЗА_ЦІНИ,2,IFERROR(MATCH(ЕТАЛОН_ПЛ,ПЛ_РЯДОК,0),0)),"")-1)</f>
        <v>-0.024286734</v>
      </c>
      <c r="Y44" s="70" t="n">
        <f aca="false">IF(OR(Y13="",ЕТАЛОН_ПЛ="",IFERROR(INDEX(БАЗА_ЦІНИ,2,IFERROR(MATCH(ЕТАЛОН_ПЛ,ПЛ_РЯДОК,0),0)),"")=""),"",Y13-IFERROR(INDEX(БАЗА_ЦІНИ,2,IFERROR(MATCH(ЕТАЛОН_ПЛ,ПЛ_РЯДОК,0),0)),""))</f>
        <v>-904.146672</v>
      </c>
      <c r="Z44" s="71" t="n">
        <f aca="false">IF(OR(Y13="",ЕТАЛОН_ПЛ="",IFERROR(INDEX(БАЗА_ЦІНИ,2,IFERROR(MATCH(ЕТАЛОН_ПЛ,ПЛ_РЯДОК,0),0)),"")="",IFERROR(INDEX(БАЗА_ЦІНИ,2,IFERROR(MATCH(ЕТАЛОН_ПЛ,ПЛ_РЯДОК,0),0)),"")=0),"",Y13/IFERROR(INDEX(БАЗА_ЦІНИ,2,IFERROR(MATCH(ЕТАЛОН_ПЛ,ПЛ_РЯДОК,0),0)),"")-1)</f>
        <v>-0.139099488</v>
      </c>
      <c r="AA44" s="70" t="n">
        <f aca="false">IF(OR(AA13="",ЕТАЛОН_ПЛ="",IFERROR(INDEX(БАЗА_ЦІНИ,2,IFERROR(MATCH(ЕТАЛОН_ПЛ,ПЛ_РЯДОК,0),0)),"")=""),"",AA13-IFERROR(INDEX(БАЗА_ЦІНИ,2,IFERROR(MATCH(ЕТАЛОН_ПЛ,ПЛ_РЯДОК,0),0)),""))</f>
        <v>294.964756</v>
      </c>
      <c r="AB44" s="71" t="n">
        <f aca="false">IF(OR(AA13="",ЕТАЛОН_ПЛ="",IFERROR(INDEX(БАЗА_ЦІНИ,2,IFERROR(MATCH(ЕТАЛОН_ПЛ,ПЛ_РЯДОК,0),0)),"")="",IFERROR(INDEX(БАЗА_ЦІНИ,2,IFERROR(MATCH(ЕТАЛОН_ПЛ,ПЛ_РЯДОК,0),0)),"")=0),"",AA13/IFERROR(INDEX(БАЗА_ЦІНИ,2,IFERROR(MATCH(ЕТАЛОН_ПЛ,ПЛ_РЯДОК,0),0)),"")-1)</f>
        <v>0.0453791932307692</v>
      </c>
      <c r="AC44" s="70" t="n">
        <f aca="false">IF(OR(AC13="",ЕТАЛОН_ПЛ="",IFERROR(INDEX(БАЗА_ЦІНИ,2,IFERROR(MATCH(ЕТАЛОН_ПЛ,ПЛ_РЯДОК,0),0)),"")=""),"",AC13-IFERROR(INDEX(БАЗА_ЦІНИ,2,IFERROR(MATCH(ЕТАЛОН_ПЛ,ПЛ_РЯДОК,0),0)),""))</f>
        <v>-504.602744</v>
      </c>
      <c r="AD44" s="71" t="n">
        <f aca="false">IF(OR(AC13="",ЕТАЛОН_ПЛ="",IFERROR(INDEX(БАЗА_ЦІНИ,2,IFERROR(MATCH(ЕТАЛОН_ПЛ,ПЛ_РЯДОК,0),0)),"")="",IFERROR(INDEX(БАЗА_ЦІНИ,2,IFERROR(MATCH(ЕТАЛОН_ПЛ,ПЛ_РЯДОК,0),0)),"")=0),"",AC13/IFERROR(INDEX(БАЗА_ЦІНИ,2,IFERROR(MATCH(ЕТАЛОН_ПЛ,ПЛ_РЯДОК,0),0)),"")-1)</f>
        <v>-0.0776311913846154</v>
      </c>
      <c r="AE44" s="70" t="n">
        <f aca="false">IF(OR(AE13="",ЕТАЛОН_ПЛ="",IFERROR(INDEX(БАЗА_ЦІНИ,2,IFERROR(MATCH(ЕТАЛОН_ПЛ,ПЛ_РЯДОК,0),0)),"")=""),"",AE13-IFERROR(INDEX(БАЗА_ЦІНИ,2,IFERROR(MATCH(ЕТАЛОН_ПЛ,ПЛ_РЯДОК,0),0)),""))</f>
        <v>780.125239</v>
      </c>
      <c r="AF44" s="71" t="n">
        <f aca="false">IF(OR(AE13="",ЕТАЛОН_ПЛ="",IFERROR(INDEX(БАЗА_ЦІНИ,2,IFERROR(MATCH(ЕТАЛОН_ПЛ,ПЛ_РЯДОК,0),0)),"")="",IFERROR(INDEX(БАЗА_ЦІНИ,2,IFERROR(MATCH(ЕТАЛОН_ПЛ,ПЛ_РЯДОК,0),0)),"")=0),"",AE13/IFERROR(INDEX(БАЗА_ЦІНИ,2,IFERROR(MATCH(ЕТАЛОН_ПЛ,ПЛ_РЯДОК,0),0)),"")-1)</f>
        <v>0.120019267538461</v>
      </c>
      <c r="AG44" s="70" t="str">
        <f aca="false">IF(OR(AG13="",ЕТАЛОН_ПЛ="",IFERROR(INDEX(БАЗА_ЦІНИ,2,IFERROR(MATCH(ЕТАЛОН_ПЛ,ПЛ_РЯДОК,0),0)),"")=""),"",AG13-IFERROR(INDEX(БАЗА_ЦІНИ,2,IFERROR(MATCH(ЕТАЛОН_ПЛ,ПЛ_РЯДОК,0),0)),""))</f>
        <v/>
      </c>
      <c r="AH44" s="71" t="str">
        <f aca="false">IF(OR(AG13="",ЕТАЛОН_ПЛ="",IFERROR(INDEX(БАЗА_ЦІНИ,2,IFERROR(MATCH(ЕТАЛОН_ПЛ,ПЛ_РЯДОК,0),0)),"")="",IFERROR(INDEX(БАЗА_ЦІНИ,2,IFERROR(MATCH(ЕТАЛОН_ПЛ,ПЛ_РЯДОК,0),0)),"")=0),"",AG13/IFERROR(INDEX(БАЗА_ЦІНИ,2,IFERROR(MATCH(ЕТАЛОН_ПЛ,ПЛ_РЯДОК,0),0)),"")-1)</f>
        <v/>
      </c>
      <c r="AI44" s="70" t="str">
        <f aca="false">IF(OR(AI13="",ЕТАЛОН_ПЛ="",IFERROR(INDEX(БАЗА_ЦІНИ,2,IFERROR(MATCH(ЕТАЛОН_ПЛ,ПЛ_РЯДОК,0),0)),"")=""),"",AI13-IFERROR(INDEX(БАЗА_ЦІНИ,2,IFERROR(MATCH(ЕТАЛОН_ПЛ,ПЛ_РЯДОК,0),0)),""))</f>
        <v/>
      </c>
      <c r="AJ44" s="71" t="str">
        <f aca="false">IF(OR(AI13="",ЕТАЛОН_ПЛ="",IFERROR(INDEX(БАЗА_ЦІНИ,2,IFERROR(MATCH(ЕТАЛОН_ПЛ,ПЛ_РЯДОК,0),0)),"")="",IFERROR(INDEX(БАЗА_ЦІНИ,2,IFERROR(MATCH(ЕТАЛОН_ПЛ,ПЛ_РЯДОК,0),0)),"")=0),"",AI13/IFERROR(INDEX(БАЗА_ЦІНИ,2,IFERROR(MATCH(ЕТАЛОН_ПЛ,ПЛ_РЯДОК,0),0)),"")-1)</f>
        <v/>
      </c>
      <c r="AK44" s="70" t="str">
        <f aca="false">IF(OR(AK13="",ЕТАЛОН_ПЛ="",IFERROR(INDEX(БАЗА_ЦІНИ,2,IFERROR(MATCH(ЕТАЛОН_ПЛ,ПЛ_РЯДОК,0),0)),"")=""),"",AK13-IFERROR(INDEX(БАЗА_ЦІНИ,2,IFERROR(MATCH(ЕТАЛОН_ПЛ,ПЛ_РЯДОК,0),0)),""))</f>
        <v/>
      </c>
      <c r="AL44" s="71" t="str">
        <f aca="false">IF(OR(AK13="",ЕТАЛОН_ПЛ="",IFERROR(INDEX(БАЗА_ЦІНИ,2,IFERROR(MATCH(ЕТАЛОН_ПЛ,ПЛ_РЯДОК,0),0)),"")="",IFERROR(INDEX(БАЗА_ЦІНИ,2,IFERROR(MATCH(ЕТАЛОН_ПЛ,ПЛ_РЯДОК,0),0)),"")=0),"",AK13/IFERROR(INDEX(БАЗА_ЦІНИ,2,IFERROR(MATCH(ЕТАЛОН_ПЛ,ПЛ_РЯДОК,0),0)),"")-1)</f>
        <v/>
      </c>
      <c r="AM44" s="70" t="str">
        <f aca="false">IF(OR(AM13="",ЕТАЛОН_ПЛ="",IFERROR(INDEX(БАЗА_ЦІНИ,2,IFERROR(MATCH(ЕТАЛОН_ПЛ,ПЛ_РЯДОК,0),0)),"")=""),"",AM13-IFERROR(INDEX(БАЗА_ЦІНИ,2,IFERROR(MATCH(ЕТАЛОН_ПЛ,ПЛ_РЯДОК,0),0)),""))</f>
        <v/>
      </c>
      <c r="AN44" s="71" t="str">
        <f aca="false">IF(OR(AM13="",ЕТАЛОН_ПЛ="",IFERROR(INDEX(БАЗА_ЦІНИ,2,IFERROR(MATCH(ЕТАЛОН_ПЛ,ПЛ_РЯДОК,0),0)),"")="",IFERROR(INDEX(БАЗА_ЦІНИ,2,IFERROR(MATCH(ЕТАЛОН_ПЛ,ПЛ_РЯДОК,0),0)),"")=0),"",AM13/IFERROR(INDEX(БАЗА_ЦІНИ,2,IFERROR(MATCH(ЕТАЛОН_ПЛ,ПЛ_РЯДОК,0),0)),"")-1)</f>
        <v/>
      </c>
      <c r="AO44" s="70" t="str">
        <f aca="false">IF(OR(AO13="",ЕТАЛОН_ПЛ="",IFERROR(INDEX(БАЗА_ЦІНИ,2,IFERROR(MATCH(ЕТАЛОН_ПЛ,ПЛ_РЯДОК,0),0)),"")=""),"",AO13-IFERROR(INDEX(БАЗА_ЦІНИ,2,IFERROR(MATCH(ЕТАЛОН_ПЛ,ПЛ_РЯДОК,0),0)),""))</f>
        <v/>
      </c>
      <c r="AP44" s="71" t="str">
        <f aca="false">IF(OR(AO13="",ЕТАЛОН_ПЛ="",IFERROR(INDEX(БАЗА_ЦІНИ,2,IFERROR(MATCH(ЕТАЛОН_ПЛ,ПЛ_РЯДОК,0),0)),"")="",IFERROR(INDEX(БАЗА_ЦІНИ,2,IFERROR(MATCH(ЕТАЛОН_ПЛ,ПЛ_РЯДОК,0),0)),"")=0),"",AO13/IFERROR(INDEX(БАЗА_ЦІНИ,2,IFERROR(MATCH(ЕТАЛОН_ПЛ,ПЛ_РЯДОК,0),0)),"")-1)</f>
        <v/>
      </c>
      <c r="AQ44" s="70" t="str">
        <f aca="false">IF(OR(AQ13="",ЕТАЛОН_ПЛ="",IFERROR(INDEX(БАЗА_ЦІНИ,2,IFERROR(MATCH(ЕТАЛОН_ПЛ,ПЛ_РЯДОК,0),0)),"")=""),"",AQ13-IFERROR(INDEX(БАЗА_ЦІНИ,2,IFERROR(MATCH(ЕТАЛОН_ПЛ,ПЛ_РЯДОК,0),0)),""))</f>
        <v/>
      </c>
      <c r="AR44" s="71" t="str">
        <f aca="false">IF(OR(AQ13="",ЕТАЛОН_ПЛ="",IFERROR(INDEX(БАЗА_ЦІНИ,2,IFERROR(MATCH(ЕТАЛОН_ПЛ,ПЛ_РЯДОК,0),0)),"")="",IFERROR(INDEX(БАЗА_ЦІНИ,2,IFERROR(MATCH(ЕТАЛОН_ПЛ,ПЛ_РЯДОК,0),0)),"")=0),"",AQ13/IFERROR(INDEX(БАЗА_ЦІНИ,2,IFERROR(MATCH(ЕТАЛОН_ПЛ,ПЛ_РЯДОК,0),0)),"")-1)</f>
        <v/>
      </c>
      <c r="AS44" s="70" t="str">
        <f aca="false">IF(OR(AS13="",ЕТАЛОН_ПЛ="",IFERROR(INDEX(БАЗА_ЦІНИ,2,IFERROR(MATCH(ЕТАЛОН_ПЛ,ПЛ_РЯДОК,0),0)),"")=""),"",AS13-IFERROR(INDEX(БАЗА_ЦІНИ,2,IFERROR(MATCH(ЕТАЛОН_ПЛ,ПЛ_РЯДОК,0),0)),""))</f>
        <v/>
      </c>
      <c r="AT44" s="71" t="str">
        <f aca="false">IF(OR(AS13="",ЕТАЛОН_ПЛ="",IFERROR(INDEX(БАЗА_ЦІНИ,2,IFERROR(MATCH(ЕТАЛОН_ПЛ,ПЛ_РЯДОК,0),0)),"")="",IFERROR(INDEX(БАЗА_ЦІНИ,2,IFERROR(MATCH(ЕТАЛОН_ПЛ,ПЛ_РЯДОК,0),0)),"")=0),"",AS13/IFERROR(INDEX(БАЗА_ЦІНИ,2,IFERROR(MATCH(ЕТАЛОН_ПЛ,ПЛ_РЯДОК,0),0)),"")-1)</f>
        <v/>
      </c>
      <c r="AU44" s="70" t="str">
        <f aca="false">IF(OR(AU13="",ЕТАЛОН_ПЛ="",IFERROR(INDEX(БАЗА_ЦІНИ,2,IFERROR(MATCH(ЕТАЛОН_ПЛ,ПЛ_РЯДОК,0),0)),"")=""),"",AU13-IFERROR(INDEX(БАЗА_ЦІНИ,2,IFERROR(MATCH(ЕТАЛОН_ПЛ,ПЛ_РЯДОК,0),0)),""))</f>
        <v/>
      </c>
      <c r="AV44" s="71" t="str">
        <f aca="false">IF(OR(AU13="",ЕТАЛОН_ПЛ="",IFERROR(INDEX(БАЗА_ЦІНИ,2,IFERROR(MATCH(ЕТАЛОН_ПЛ,ПЛ_РЯДОК,0),0)),"")="",IFERROR(INDEX(БАЗА_ЦІНИ,2,IFERROR(MATCH(ЕТАЛОН_ПЛ,ПЛ_РЯДОК,0),0)),"")=0),"",AU13/IFERROR(INDEX(БАЗА_ЦІНИ,2,IFERROR(MATCH(ЕТАЛОН_ПЛ,ПЛ_РЯДОК,0),0)),"")-1)</f>
        <v/>
      </c>
      <c r="AW44" s="70" t="str">
        <f aca="false">IF(OR(AW13="",ЕТАЛОН_ПЛ="",IFERROR(INDEX(БАЗА_ЦІНИ,2,IFERROR(MATCH(ЕТАЛОН_ПЛ,ПЛ_РЯДОК,0),0)),"")=""),"",AW13-IFERROR(INDEX(БАЗА_ЦІНИ,2,IFERROR(MATCH(ЕТАЛОН_ПЛ,ПЛ_РЯДОК,0),0)),""))</f>
        <v/>
      </c>
      <c r="AX44" s="71" t="str">
        <f aca="false">IF(OR(AW13="",ЕТАЛОН_ПЛ="",IFERROR(INDEX(БАЗА_ЦІНИ,2,IFERROR(MATCH(ЕТАЛОН_ПЛ,ПЛ_РЯДОК,0),0)),"")="",IFERROR(INDEX(БАЗА_ЦІНИ,2,IFERROR(MATCH(ЕТАЛОН_ПЛ,ПЛ_РЯДОК,0),0)),"")=0),"",AW13/IFERROR(INDEX(БАЗА_ЦІНИ,2,IFERROR(MATCH(ЕТАЛОН_ПЛ,ПЛ_РЯДОК,0),0)),"")-1)</f>
        <v/>
      </c>
      <c r="AY44" s="70" t="str">
        <f aca="false">IF(OR(AY13="",ЕТАЛОН_ПЛ="",IFERROR(INDEX(БАЗА_ЦІНИ,2,IFERROR(MATCH(ЕТАЛОН_ПЛ,ПЛ_РЯДОК,0),0)),"")=""),"",AY13-IFERROR(INDEX(БАЗА_ЦІНИ,2,IFERROR(MATCH(ЕТАЛОН_ПЛ,ПЛ_РЯДОК,0),0)),""))</f>
        <v/>
      </c>
      <c r="AZ44" s="71" t="str">
        <f aca="false">IF(OR(AY13="",ЕТАЛОН_ПЛ="",IFERROR(INDEX(БАЗА_ЦІНИ,2,IFERROR(MATCH(ЕТАЛОН_ПЛ,ПЛ_РЯДОК,0),0)),"")="",IFERROR(INDEX(БАЗА_ЦІНИ,2,IFERROR(MATCH(ЕТАЛОН_ПЛ,ПЛ_РЯДОК,0),0)),"")=0),"",AY13/IFERROR(INDEX(БАЗА_ЦІНИ,2,IFERROR(MATCH(ЕТАЛОН_ПЛ,ПЛ_РЯДОК,0),0)),"")-1)</f>
        <v/>
      </c>
      <c r="BA44" s="70" t="str">
        <f aca="false">IF(OR(BA13="",ЕТАЛОН_ПЛ="",IFERROR(INDEX(БАЗА_ЦІНИ,2,IFERROR(MATCH(ЕТАЛОН_ПЛ,ПЛ_РЯДОК,0),0)),"")=""),"",BA13-IFERROR(INDEX(БАЗА_ЦІНИ,2,IFERROR(MATCH(ЕТАЛОН_ПЛ,ПЛ_РЯДОК,0),0)),""))</f>
        <v/>
      </c>
      <c r="BB44" s="71" t="str">
        <f aca="false">IF(OR(BA13="",ЕТАЛОН_ПЛ="",IFERROR(INDEX(БАЗА_ЦІНИ,2,IFERROR(MATCH(ЕТАЛОН_ПЛ,ПЛ_РЯДОК,0),0)),"")="",IFERROR(INDEX(БАЗА_ЦІНИ,2,IFERROR(MATCH(ЕТАЛОН_ПЛ,ПЛ_РЯДОК,0),0)),"")=0),"",BA13/IFERROR(INDEX(БАЗА_ЦІНИ,2,IFERROR(MATCH(ЕТАЛОН_ПЛ,ПЛ_РЯДОК,0),0)),"")-1)</f>
        <v/>
      </c>
      <c r="BC44" s="70" t="str">
        <f aca="false">IF(OR(BC13="",ЕТАЛОН_ПЛ="",IFERROR(INDEX(БАЗА_ЦІНИ,2,IFERROR(MATCH(ЕТАЛОН_ПЛ,ПЛ_РЯДОК,0),0)),"")=""),"",BC13-IFERROR(INDEX(БАЗА_ЦІНИ,2,IFERROR(MATCH(ЕТАЛОН_ПЛ,ПЛ_РЯДОК,0),0)),""))</f>
        <v/>
      </c>
      <c r="BD44" s="71" t="str">
        <f aca="false">IF(OR(BC13="",ЕТАЛОН_ПЛ="",IFERROR(INDEX(БАЗА_ЦІНИ,2,IFERROR(MATCH(ЕТАЛОН_ПЛ,ПЛ_РЯДОК,0),0)),"")="",IFERROR(INDEX(БАЗА_ЦІНИ,2,IFERROR(MATCH(ЕТАЛОН_ПЛ,ПЛ_РЯДОК,0),0)),"")=0),"",BC13/IFERROR(INDEX(БАЗА_ЦІНИ,2,IFERROR(MATCH(ЕТАЛОН_ПЛ,ПЛ_РЯДОК,0),0)),"")-1)</f>
        <v/>
      </c>
      <c r="BE44" s="70" t="str">
        <f aca="false">IF(OR(BE13="",ЕТАЛОН_ПЛ="",IFERROR(INDEX(БАЗА_ЦІНИ,2,IFERROR(MATCH(ЕТАЛОН_ПЛ,ПЛ_РЯДОК,0),0)),"")=""),"",BE13-IFERROR(INDEX(БАЗА_ЦІНИ,2,IFERROR(MATCH(ЕТАЛОН_ПЛ,ПЛ_РЯДОК,0),0)),""))</f>
        <v/>
      </c>
      <c r="BF44" s="71" t="str">
        <f aca="false">IF(OR(BE13="",ЕТАЛОН_ПЛ="",IFERROR(INDEX(БАЗА_ЦІНИ,2,IFERROR(MATCH(ЕТАЛОН_ПЛ,ПЛ_РЯДОК,0),0)),"")="",IFERROR(INDEX(БАЗА_ЦІНИ,2,IFERROR(MATCH(ЕТАЛОН_ПЛ,ПЛ_РЯДОК,0),0)),"")=0),"",BE13/IFERROR(INDEX(БАЗА_ЦІНИ,2,IFERROR(MATCH(ЕТАЛОН_ПЛ,ПЛ_РЯДОК,0),0)),"")-1)</f>
        <v/>
      </c>
      <c r="BG44" s="70" t="str">
        <f aca="false">IF(OR(BG13="",ЕТАЛОН_ПЛ="",IFERROR(INDEX(БАЗА_ЦІНИ,2,IFERROR(MATCH(ЕТАЛОН_ПЛ,ПЛ_РЯДОК,0),0)),"")=""),"",BG13-IFERROR(INDEX(БАЗА_ЦІНИ,2,IFERROR(MATCH(ЕТАЛОН_ПЛ,ПЛ_РЯДОК,0),0)),""))</f>
        <v/>
      </c>
      <c r="BH44" s="71" t="str">
        <f aca="false">IF(OR(BG13="",ЕТАЛОН_ПЛ="",IFERROR(INDEX(БАЗА_ЦІНИ,2,IFERROR(MATCH(ЕТАЛОН_ПЛ,ПЛ_РЯДОК,0),0)),"")="",IFERROR(INDEX(БАЗА_ЦІНИ,2,IFERROR(MATCH(ЕТАЛОН_ПЛ,ПЛ_РЯДОК,0),0)),"")=0),"",BG13/IFERROR(INDEX(БАЗА_ЦІНИ,2,IFERROR(MATCH(ЕТАЛОН_ПЛ,ПЛ_РЯДОК,0),0)),"")-1)</f>
        <v/>
      </c>
      <c r="BI44" s="70" t="str">
        <f aca="false">IF(OR(BI13="",ЕТАЛОН_ПЛ="",IFERROR(INDEX(БАЗА_ЦІНИ,2,IFERROR(MATCH(ЕТАЛОН_ПЛ,ПЛ_РЯДОК,0),0)),"")=""),"",BI13-IFERROR(INDEX(БАЗА_ЦІНИ,2,IFERROR(MATCH(ЕТАЛОН_ПЛ,ПЛ_РЯДОК,0),0)),""))</f>
        <v/>
      </c>
      <c r="BJ44" s="71" t="str">
        <f aca="false">IF(OR(BI13="",ЕТАЛОН_ПЛ="",IFERROR(INDEX(БАЗА_ЦІНИ,2,IFERROR(MATCH(ЕТАЛОН_ПЛ,ПЛ_РЯДОК,0),0)),"")="",IFERROR(INDEX(БАЗА_ЦІНИ,2,IFERROR(MATCH(ЕТАЛОН_ПЛ,ПЛ_РЯДОК,0),0)),"")=0),"",BI13/IFERROR(INDEX(БАЗА_ЦІНИ,2,IFERROR(MATCH(ЕТАЛОН_ПЛ,ПЛ_РЯДОК,0),0)),"")-1)</f>
        <v/>
      </c>
      <c r="BK44" s="70" t="str">
        <f aca="false">IF(OR(BK13="",ЕТАЛОН_ПЛ="",IFERROR(INDEX(БАЗА_ЦІНИ,2,IFERROR(MATCH(ЕТАЛОН_ПЛ,ПЛ_РЯДОК,0),0)),"")=""),"",BK13-IFERROR(INDEX(БАЗА_ЦІНИ,2,IFERROR(MATCH(ЕТАЛОН_ПЛ,ПЛ_РЯДОК,0),0)),""))</f>
        <v/>
      </c>
      <c r="BL44" s="71" t="str">
        <f aca="false">IF(OR(BK13="",ЕТАЛОН_ПЛ="",IFERROR(INDEX(БАЗА_ЦІНИ,2,IFERROR(MATCH(ЕТАЛОН_ПЛ,ПЛ_РЯДОК,0),0)),"")="",IFERROR(INDEX(БАЗА_ЦІНИ,2,IFERROR(MATCH(ЕТАЛОН_ПЛ,ПЛ_РЯДОК,0),0)),"")=0),"",BK13/IFERROR(INDEX(БАЗА_ЦІНИ,2,IFERROR(MATCH(ЕТАЛОН_ПЛ,ПЛ_РЯДОК,0),0)),"")-1)</f>
        <v/>
      </c>
      <c r="BM44" s="70" t="str">
        <f aca="false">IF(OR(BM13="",ЕТАЛОН_ПЛ="",IFERROR(INDEX(БАЗА_ЦІНИ,2,IFERROR(MATCH(ЕТАЛОН_ПЛ,ПЛ_РЯДОК,0),0)),"")=""),"",BM13-IFERROR(INDEX(БАЗА_ЦІНИ,2,IFERROR(MATCH(ЕТАЛОН_ПЛ,ПЛ_РЯДОК,0),0)),""))</f>
        <v/>
      </c>
      <c r="BN44" s="71" t="str">
        <f aca="false">IF(OR(BM13="",ЕТАЛОН_ПЛ="",IFERROR(INDEX(БАЗА_ЦІНИ,2,IFERROR(MATCH(ЕТАЛОН_ПЛ,ПЛ_РЯДОК,0),0)),"")="",IFERROR(INDEX(БАЗА_ЦІНИ,2,IFERROR(MATCH(ЕТАЛОН_ПЛ,ПЛ_РЯДОК,0),0)),"")=0),"",BM13/IFERROR(INDEX(БАЗА_ЦІНИ,2,IFERROR(MATCH(ЕТАЛОН_ПЛ,ПЛ_РЯДОК,0),0)),"")-1)</f>
        <v/>
      </c>
      <c r="BO44" s="70" t="str">
        <f aca="false">IF(OR(BO13="",ЕТАЛОН_ПЛ="",IFERROR(INDEX(БАЗА_ЦІНИ,2,IFERROR(MATCH(ЕТАЛОН_ПЛ,ПЛ_РЯДОК,0),0)),"")=""),"",BO13-IFERROR(INDEX(БАЗА_ЦІНИ,2,IFERROR(MATCH(ЕТАЛОН_ПЛ,ПЛ_РЯДОК,0),0)),""))</f>
        <v/>
      </c>
      <c r="BP44" s="71" t="str">
        <f aca="false">IF(OR(BO13="",ЕТАЛОН_ПЛ="",IFERROR(INDEX(БАЗА_ЦІНИ,2,IFERROR(MATCH(ЕТАЛОН_ПЛ,ПЛ_РЯДОК,0),0)),"")="",IFERROR(INDEX(БАЗА_ЦІНИ,2,IFERROR(MATCH(ЕТАЛОН_ПЛ,ПЛ_РЯДОК,0),0)),"")=0),"",BO13/IFERROR(INDEX(БАЗА_ЦІНИ,2,IFERROR(MATCH(ЕТАЛОН_ПЛ,ПЛ_РЯДОК,0),0)),"")-1)</f>
        <v/>
      </c>
      <c r="BQ44" s="70" t="str">
        <f aca="false">IF(OR(BQ13="",ЕТАЛОН_ПЛ="",IFERROR(INDEX(БАЗА_ЦІНИ,2,IFERROR(MATCH(ЕТАЛОН_ПЛ,ПЛ_РЯДОК,0),0)),"")=""),"",BQ13-IFERROR(INDEX(БАЗА_ЦІНИ,2,IFERROR(MATCH(ЕТАЛОН_ПЛ,ПЛ_РЯДОК,0),0)),""))</f>
        <v/>
      </c>
      <c r="BR44" s="71" t="str">
        <f aca="false">IF(OR(BQ13="",ЕТАЛОН_ПЛ="",IFERROR(INDEX(БАЗА_ЦІНИ,2,IFERROR(MATCH(ЕТАЛОН_ПЛ,ПЛ_РЯДОК,0),0)),"")="",IFERROR(INDEX(БАЗА_ЦІНИ,2,IFERROR(MATCH(ЕТАЛОН_ПЛ,ПЛ_РЯДОК,0),0)),"")=0),"",BQ13/IFERROR(INDEX(БАЗА_ЦІНИ,2,IFERROR(MATCH(ЕТАЛОН_ПЛ,ПЛ_РЯДОК,0),0)),"")-1)</f>
        <v/>
      </c>
      <c r="BS44" s="70" t="str">
        <f aca="false">IF(OR(BS13="",ЕТАЛОН_ПЛ="",IFERROR(INDEX(БАЗА_ЦІНИ,2,IFERROR(MATCH(ЕТАЛОН_ПЛ,ПЛ_РЯДОК,0),0)),"")=""),"",BS13-IFERROR(INDEX(БАЗА_ЦІНИ,2,IFERROR(MATCH(ЕТАЛОН_ПЛ,ПЛ_РЯДОК,0),0)),""))</f>
        <v/>
      </c>
      <c r="BT44" s="71" t="str">
        <f aca="false">IF(OR(BS13="",ЕТАЛОН_ПЛ="",IFERROR(INDEX(БАЗА_ЦІНИ,2,IFERROR(MATCH(ЕТАЛОН_ПЛ,ПЛ_РЯДОК,0),0)),"")="",IFERROR(INDEX(БАЗА_ЦІНИ,2,IFERROR(MATCH(ЕТАЛОН_ПЛ,ПЛ_РЯДОК,0),0)),"")=0),"",BS13/IFERROR(INDEX(БАЗА_ЦІНИ,2,IFERROR(MATCH(ЕТАЛОН_ПЛ,ПЛ_РЯДОК,0),0)),"")-1)</f>
        <v/>
      </c>
      <c r="BU44" s="70" t="str">
        <f aca="false">IF(OR(BU13="",ЕТАЛОН_ПЛ="",IFERROR(INDEX(БАЗА_ЦІНИ,2,IFERROR(MATCH(ЕТАЛОН_ПЛ,ПЛ_РЯДОК,0),0)),"")=""),"",BU13-IFERROR(INDEX(БАЗА_ЦІНИ,2,IFERROR(MATCH(ЕТАЛОН_ПЛ,ПЛ_РЯДОК,0),0)),""))</f>
        <v/>
      </c>
      <c r="BV44" s="71" t="str">
        <f aca="false">IF(OR(BU13="",ЕТАЛОН_ПЛ="",IFERROR(INDEX(БАЗА_ЦІНИ,2,IFERROR(MATCH(ЕТАЛОН_ПЛ,ПЛ_РЯДОК,0),0)),"")="",IFERROR(INDEX(БАЗА_ЦІНИ,2,IFERROR(MATCH(ЕТАЛОН_ПЛ,ПЛ_РЯДОК,0),0)),"")=0),"",BU13/IFERROR(INDEX(БАЗА_ЦІНИ,2,IFERROR(MATCH(ЕТАЛОН_ПЛ,ПЛ_РЯДОК,0),0)),"")-1)</f>
        <v/>
      </c>
      <c r="BW44" s="70" t="str">
        <f aca="false">IF(OR(BW13="",ЕТАЛОН_ПЛ="",IFERROR(INDEX(БАЗА_ЦІНИ,2,IFERROR(MATCH(ЕТАЛОН_ПЛ,ПЛ_РЯДОК,0),0)),"")=""),"",BW13-IFERROR(INDEX(БАЗА_ЦІНИ,2,IFERROR(MATCH(ЕТАЛОН_ПЛ,ПЛ_РЯДОК,0),0)),""))</f>
        <v/>
      </c>
      <c r="BX44" s="71" t="str">
        <f aca="false">IF(OR(BW13="",ЕТАЛОН_ПЛ="",IFERROR(INDEX(БАЗА_ЦІНИ,2,IFERROR(MATCH(ЕТАЛОН_ПЛ,ПЛ_РЯДОК,0),0)),"")="",IFERROR(INDEX(БАЗА_ЦІНИ,2,IFERROR(MATCH(ЕТАЛОН_ПЛ,ПЛ_РЯДОК,0),0)),"")=0),"",BW13/IFERROR(INDEX(БАЗА_ЦІНИ,2,IFERROR(MATCH(ЕТАЛОН_ПЛ,ПЛ_РЯДОК,0),0)),"")-1)</f>
        <v/>
      </c>
      <c r="BY44" s="70" t="str">
        <f aca="false">IF(OR(BY13="",ЕТАЛОН_ПЛ="",IFERROR(INDEX(БАЗА_ЦІНИ,2,IFERROR(MATCH(ЕТАЛОН_ПЛ,ПЛ_РЯДОК,0),0)),"")=""),"",BY13-IFERROR(INDEX(БАЗА_ЦІНИ,2,IFERROR(MATCH(ЕТАЛОН_ПЛ,ПЛ_РЯДОК,0),0)),""))</f>
        <v/>
      </c>
      <c r="BZ44" s="71" t="str">
        <f aca="false">IF(OR(BY13="",ЕТАЛОН_ПЛ="",IFERROR(INDEX(БАЗА_ЦІНИ,2,IFERROR(MATCH(ЕТАЛОН_ПЛ,ПЛ_РЯДОК,0),0)),"")="",IFERROR(INDEX(БАЗА_ЦІНИ,2,IFERROR(MATCH(ЕТАЛОН_ПЛ,ПЛ_РЯДОК,0),0)),"")=0),"",BY13/IFERROR(INDEX(БАЗА_ЦІНИ,2,IFERROR(MATCH(ЕТАЛОН_ПЛ,ПЛ_РЯДОК,0),0)),"")-1)</f>
        <v/>
      </c>
      <c r="CA44" s="70" t="str">
        <f aca="false">IF(OR(CA13="",ЕТАЛОН_ПЛ="",IFERROR(INDEX(БАЗА_ЦІНИ,2,IFERROR(MATCH(ЕТАЛОН_ПЛ,ПЛ_РЯДОК,0),0)),"")=""),"",CA13-IFERROR(INDEX(БАЗА_ЦІНИ,2,IFERROR(MATCH(ЕТАЛОН_ПЛ,ПЛ_РЯДОК,0),0)),""))</f>
        <v/>
      </c>
      <c r="CB44" s="71" t="str">
        <f aca="false">IF(OR(CA13="",ЕТАЛОН_ПЛ="",IFERROR(INDEX(БАЗА_ЦІНИ,2,IFERROR(MATCH(ЕТАЛОН_ПЛ,ПЛ_РЯДОК,0),0)),"")="",IFERROR(INDEX(БАЗА_ЦІНИ,2,IFERROR(MATCH(ЕТАЛОН_ПЛ,ПЛ_РЯДОК,0),0)),"")=0),"",CA13/IFERROR(INDEX(БАЗА_ЦІНИ,2,IFERROR(MATCH(ЕТАЛОН_ПЛ,ПЛ_РЯДОК,0),0)),"")-1)</f>
        <v/>
      </c>
      <c r="CC44" s="70" t="str">
        <f aca="false">IF(OR(CC13="",ЕТАЛОН_ПЛ="",IFERROR(INDEX(БАЗА_ЦІНИ,2,IFERROR(MATCH(ЕТАЛОН_ПЛ,ПЛ_РЯДОК,0),0)),"")=""),"",CC13-IFERROR(INDEX(БАЗА_ЦІНИ,2,IFERROR(MATCH(ЕТАЛОН_ПЛ,ПЛ_РЯДОК,0),0)),""))</f>
        <v/>
      </c>
      <c r="CD44" s="71" t="str">
        <f aca="false">IF(OR(CC13="",ЕТАЛОН_ПЛ="",IFERROR(INDEX(БАЗА_ЦІНИ,2,IFERROR(MATCH(ЕТАЛОН_ПЛ,ПЛ_РЯДОК,0),0)),"")="",IFERROR(INDEX(БАЗА_ЦІНИ,2,IFERROR(MATCH(ЕТАЛОН_ПЛ,ПЛ_РЯДОК,0),0)),"")=0),"",CC13/IFERROR(INDEX(БАЗА_ЦІНИ,2,IFERROR(MATCH(ЕТАЛОН_ПЛ,ПЛ_РЯДОК,0),0)),"")-1)</f>
        <v/>
      </c>
      <c r="CE44" s="70" t="str">
        <f aca="false">IF(OR(CE13="",ЕТАЛОН_ПЛ="",IFERROR(INDEX(БАЗА_ЦІНИ,2,IFERROR(MATCH(ЕТАЛОН_ПЛ,ПЛ_РЯДОК,0),0)),"")=""),"",CE13-IFERROR(INDEX(БАЗА_ЦІНИ,2,IFERROR(MATCH(ЕТАЛОН_ПЛ,ПЛ_РЯДОК,0),0)),""))</f>
        <v/>
      </c>
      <c r="CF44" s="71" t="str">
        <f aca="false">IF(OR(CE13="",ЕТАЛОН_ПЛ="",IFERROR(INDEX(БАЗА_ЦІНИ,2,IFERROR(MATCH(ЕТАЛОН_ПЛ,ПЛ_РЯДОК,0),0)),"")="",IFERROR(INDEX(БАЗА_ЦІНИ,2,IFERROR(MATCH(ЕТАЛОН_ПЛ,ПЛ_РЯДОК,0),0)),"")=0),"",CE13/IFERROR(INDEX(БАЗА_ЦІНИ,2,IFERROR(MATCH(ЕТАЛОН_ПЛ,ПЛ_РЯДОК,0),0)),"")-1)</f>
        <v/>
      </c>
      <c r="CG44" s="70" t="str">
        <f aca="false">IF(OR(CG13="",ЕТАЛОН_ПЛ="",IFERROR(INDEX(БАЗА_ЦІНИ,2,IFERROR(MATCH(ЕТАЛОН_ПЛ,ПЛ_РЯДОК,0),0)),"")=""),"",CG13-IFERROR(INDEX(БАЗА_ЦІНИ,2,IFERROR(MATCH(ЕТАЛОН_ПЛ,ПЛ_РЯДОК,0),0)),""))</f>
        <v/>
      </c>
      <c r="CH44" s="71" t="str">
        <f aca="false">IF(OR(CG13="",ЕТАЛОН_ПЛ="",IFERROR(INDEX(БАЗА_ЦІНИ,2,IFERROR(MATCH(ЕТАЛОН_ПЛ,ПЛ_РЯДОК,0),0)),"")="",IFERROR(INDEX(БАЗА_ЦІНИ,2,IFERROR(MATCH(ЕТАЛОН_ПЛ,ПЛ_РЯДОК,0),0)),"")=0),"",CG13/IFERROR(INDEX(БАЗА_ЦІНИ,2,IFERROR(MATCH(ЕТАЛОН_ПЛ,ПЛ_РЯДОК,0),0)),"")-1)</f>
        <v/>
      </c>
      <c r="CI44" s="70" t="str">
        <f aca="false">IF(OR(CI13="",ЕТАЛОН_ПЛ="",IFERROR(INDEX(БАЗА_ЦІНИ,2,IFERROR(MATCH(ЕТАЛОН_ПЛ,ПЛ_РЯДОК,0),0)),"")=""),"",CI13-IFERROR(INDEX(БАЗА_ЦІНИ,2,IFERROR(MATCH(ЕТАЛОН_ПЛ,ПЛ_РЯДОК,0),0)),""))</f>
        <v/>
      </c>
      <c r="CJ44" s="71" t="str">
        <f aca="false">IF(OR(CI13="",ЕТАЛОН_ПЛ="",IFERROR(INDEX(БАЗА_ЦІНИ,2,IFERROR(MATCH(ЕТАЛОН_ПЛ,ПЛ_РЯДОК,0),0)),"")="",IFERROR(INDEX(БАЗА_ЦІНИ,2,IFERROR(MATCH(ЕТАЛОН_ПЛ,ПЛ_РЯДОК,0),0)),"")=0),"",CI13/IFERROR(INDEX(БАЗА_ЦІНИ,2,IFERROR(MATCH(ЕТАЛОН_ПЛ,ПЛ_РЯДОК,0),0)),"")-1)</f>
        <v/>
      </c>
      <c r="CK44" s="70" t="str">
        <f aca="false">IF(OR(CK13="",ЕТАЛОН_ПЛ="",IFERROR(INDEX(БАЗА_ЦІНИ,2,IFERROR(MATCH(ЕТАЛОН_ПЛ,ПЛ_РЯДОК,0),0)),"")=""),"",CK13-IFERROR(INDEX(БАЗА_ЦІНИ,2,IFERROR(MATCH(ЕТАЛОН_ПЛ,ПЛ_РЯДОК,0),0)),""))</f>
        <v/>
      </c>
      <c r="CL44" s="71" t="str">
        <f aca="false">IF(OR(CK13="",ЕТАЛОН_ПЛ="",IFERROR(INDEX(БАЗА_ЦІНИ,2,IFERROR(MATCH(ЕТАЛОН_ПЛ,ПЛ_РЯДОК,0),0)),"")="",IFERROR(INDEX(БАЗА_ЦІНИ,2,IFERROR(MATCH(ЕТАЛОН_ПЛ,ПЛ_РЯДОК,0),0)),"")=0),"",CK13/IFERROR(INDEX(БАЗА_ЦІНИ,2,IFERROR(MATCH(ЕТАЛОН_ПЛ,ПЛ_РЯДОК,0),0)),"")-1)</f>
        <v/>
      </c>
      <c r="CM44" s="70" t="str">
        <f aca="false">IF(OR(CM13="",ЕТАЛОН_ПЛ="",IFERROR(INDEX(БАЗА_ЦІНИ,2,IFERROR(MATCH(ЕТАЛОН_ПЛ,ПЛ_РЯДОК,0),0)),"")=""),"",CM13-IFERROR(INDEX(БАЗА_ЦІНИ,2,IFERROR(MATCH(ЕТАЛОН_ПЛ,ПЛ_РЯДОК,0),0)),""))</f>
        <v/>
      </c>
      <c r="CN44" s="71" t="str">
        <f aca="false">IF(OR(CM13="",ЕТАЛОН_ПЛ="",IFERROR(INDEX(БАЗА_ЦІНИ,2,IFERROR(MATCH(ЕТАЛОН_ПЛ,ПЛ_РЯДОК,0),0)),"")="",IFERROR(INDEX(БАЗА_ЦІНИ,2,IFERROR(MATCH(ЕТАЛОН_ПЛ,ПЛ_РЯДОК,0),0)),"")=0),"",CM13/IFERROR(INDEX(БАЗА_ЦІНИ,2,IFERROR(MATCH(ЕТАЛОН_ПЛ,ПЛ_РЯДОК,0),0)),"")-1)</f>
        <v/>
      </c>
      <c r="CO44" s="70" t="str">
        <f aca="false">IF(OR(CO13="",ЕТАЛОН_ПЛ="",IFERROR(INDEX(БАЗА_ЦІНИ,2,IFERROR(MATCH(ЕТАЛОН_ПЛ,ПЛ_РЯДОК,0),0)),"")=""),"",CO13-IFERROR(INDEX(БАЗА_ЦІНИ,2,IFERROR(MATCH(ЕТАЛОН_ПЛ,ПЛ_РЯДОК,0),0)),""))</f>
        <v/>
      </c>
      <c r="CP44" s="71" t="str">
        <f aca="false">IF(OR(CO13="",ЕТАЛОН_ПЛ="",IFERROR(INDEX(БАЗА_ЦІНИ,2,IFERROR(MATCH(ЕТАЛОН_ПЛ,ПЛ_РЯДОК,0),0)),"")="",IFERROR(INDEX(БАЗА_ЦІНИ,2,IFERROR(MATCH(ЕТАЛОН_ПЛ,ПЛ_РЯДОК,0),0)),"")=0),"",CO13/IFERROR(INDEX(БАЗА_ЦІНИ,2,IFERROR(MATCH(ЕТАЛОН_ПЛ,ПЛ_РЯДОК,0),0)),"")-1)</f>
        <v/>
      </c>
      <c r="CQ44" s="70" t="str">
        <f aca="false">IF(OR(CQ13="",ЕТАЛОН_ПЛ="",IFERROR(INDEX(БАЗА_ЦІНИ,2,IFERROR(MATCH(ЕТАЛОН_ПЛ,ПЛ_РЯДОК,0),0)),"")=""),"",CQ13-IFERROR(INDEX(БАЗА_ЦІНИ,2,IFERROR(MATCH(ЕТАЛОН_ПЛ,ПЛ_РЯДОК,0),0)),""))</f>
        <v/>
      </c>
      <c r="CR44" s="71" t="str">
        <f aca="false">IF(OR(CQ13="",ЕТАЛОН_ПЛ="",IFERROR(INDEX(БАЗА_ЦІНИ,2,IFERROR(MATCH(ЕТАЛОН_ПЛ,ПЛ_РЯДОК,0),0)),"")="",IFERROR(INDEX(БАЗА_ЦІНИ,2,IFERROR(MATCH(ЕТАЛОН_ПЛ,ПЛ_РЯДОК,0),0)),"")=0),"",CQ13/IFERROR(INDEX(БАЗА_ЦІНИ,2,IFERROR(MATCH(ЕТАЛОН_ПЛ,ПЛ_РЯДОК,0),0)),"")-1)</f>
        <v/>
      </c>
      <c r="CS44" s="70" t="str">
        <f aca="false">IF(OR(CS13="",ЕТАЛОН_ПЛ="",IFERROR(INDEX(БАЗА_ЦІНИ,2,IFERROR(MATCH(ЕТАЛОН_ПЛ,ПЛ_РЯДОК,0),0)),"")=""),"",CS13-IFERROR(INDEX(БАЗА_ЦІНИ,2,IFERROR(MATCH(ЕТАЛОН_ПЛ,ПЛ_РЯДОК,0),0)),""))</f>
        <v/>
      </c>
      <c r="CT44" s="71" t="str">
        <f aca="false">IF(OR(CS13="",ЕТАЛОН_ПЛ="",IFERROR(INDEX(БАЗА_ЦІНИ,2,IFERROR(MATCH(ЕТАЛОН_ПЛ,ПЛ_РЯДОК,0),0)),"")="",IFERROR(INDEX(БАЗА_ЦІНИ,2,IFERROR(MATCH(ЕТАЛОН_ПЛ,ПЛ_РЯДОК,0),0)),"")=0),"",CS13/IFERROR(INDEX(БАЗА_ЦІНИ,2,IFERROR(MATCH(ЕТАЛОН_ПЛ,ПЛ_РЯДОК,0),0)),"")-1)</f>
        <v/>
      </c>
      <c r="CU44" s="70" t="str">
        <f aca="false">IF(OR(CU13="",ЕТАЛОН_ПЛ="",IFERROR(INDEX(БАЗА_ЦІНИ,2,IFERROR(MATCH(ЕТАЛОН_ПЛ,ПЛ_РЯДОК,0),0)),"")=""),"",CU13-IFERROR(INDEX(БАЗА_ЦІНИ,2,IFERROR(MATCH(ЕТАЛОН_ПЛ,ПЛ_РЯДОК,0),0)),""))</f>
        <v/>
      </c>
      <c r="CV44" s="71" t="str">
        <f aca="false">IF(OR(CU13="",ЕТАЛОН_ПЛ="",IFERROR(INDEX(БАЗА_ЦІНИ,2,IFERROR(MATCH(ЕТАЛОН_ПЛ,ПЛ_РЯДОК,0),0)),"")="",IFERROR(INDEX(БАЗА_ЦІНИ,2,IFERROR(MATCH(ЕТАЛОН_ПЛ,ПЛ_РЯДОК,0),0)),"")=0),"",CU13/IFERROR(INDEX(БАЗА_ЦІНИ,2,IFERROR(MATCH(ЕТАЛОН_ПЛ,ПЛ_РЯДОК,0),0)),"")-1)</f>
        <v/>
      </c>
      <c r="CW44" s="70" t="str">
        <f aca="false">IF(OR(CW13="",ЕТАЛОН_ПЛ="",IFERROR(INDEX(БАЗА_ЦІНИ,2,IFERROR(MATCH(ЕТАЛОН_ПЛ,ПЛ_РЯДОК,0),0)),"")=""),"",CW13-IFERROR(INDEX(БАЗА_ЦІНИ,2,IFERROR(MATCH(ЕТАЛОН_ПЛ,ПЛ_РЯДОК,0),0)),""))</f>
        <v/>
      </c>
      <c r="CX44" s="71" t="str">
        <f aca="false">IF(OR(CW13="",ЕТАЛОН_ПЛ="",IFERROR(INDEX(БАЗА_ЦІНИ,2,IFERROR(MATCH(ЕТАЛОН_ПЛ,ПЛ_РЯДОК,0),0)),"")="",IFERROR(INDEX(БАЗА_ЦІНИ,2,IFERROR(MATCH(ЕТАЛОН_ПЛ,ПЛ_РЯДОК,0),0)),"")=0),"",CW13/IFERROR(INDEX(БАЗА_ЦІНИ,2,IFERROR(MATCH(ЕТАЛОН_ПЛ,ПЛ_РЯДОК,0),0)),"")-1)</f>
        <v/>
      </c>
      <c r="CY44" s="70" t="str">
        <f aca="false">IF(OR(CY13="",ЕТАЛОН_ПЛ="",IFERROR(INDEX(БАЗА_ЦІНИ,2,IFERROR(MATCH(ЕТАЛОН_ПЛ,ПЛ_РЯДОК,0),0)),"")=""),"",CY13-IFERROR(INDEX(БАЗА_ЦІНИ,2,IFERROR(MATCH(ЕТАЛОН_ПЛ,ПЛ_РЯДОК,0),0)),""))</f>
        <v/>
      </c>
      <c r="CZ44" s="71" t="str">
        <f aca="false">IF(OR(CY13="",ЕТАЛОН_ПЛ="",IFERROR(INDEX(БАЗА_ЦІНИ,2,IFERROR(MATCH(ЕТАЛОН_ПЛ,ПЛ_РЯДОК,0),0)),"")="",IFERROR(INDEX(БАЗА_ЦІНИ,2,IFERROR(MATCH(ЕТАЛОН_ПЛ,ПЛ_РЯДОК,0),0)),"")=0),"",CY13/IFERROR(INDEX(БАЗА_ЦІНИ,2,IFERROR(MATCH(ЕТАЛОН_ПЛ,ПЛ_РЯДОК,0),0)),"")-1)</f>
        <v/>
      </c>
      <c r="DA44" s="70" t="str">
        <f aca="false">IF(OR(DA13="",ЕТАЛОН_ПЛ="",IFERROR(INDEX(БАЗА_ЦІНИ,2,IFERROR(MATCH(ЕТАЛОН_ПЛ,ПЛ_РЯДОК,0),0)),"")=""),"",DA13-IFERROR(INDEX(БАЗА_ЦІНИ,2,IFERROR(MATCH(ЕТАЛОН_ПЛ,ПЛ_РЯДОК,0),0)),""))</f>
        <v/>
      </c>
      <c r="DB44" s="71" t="str">
        <f aca="false">IF(OR(DA13="",ЕТАЛОН_ПЛ="",IFERROR(INDEX(БАЗА_ЦІНИ,2,IFERROR(MATCH(ЕТАЛОН_ПЛ,ПЛ_РЯДОК,0),0)),"")="",IFERROR(INDEX(БАЗА_ЦІНИ,2,IFERROR(MATCH(ЕТАЛОН_ПЛ,ПЛ_РЯДОК,0),0)),"")=0),"",DA13/IFERROR(INDEX(БАЗА_ЦІНИ,2,IFERROR(MATCH(ЕТАЛОН_ПЛ,ПЛ_РЯДОК,0),0)),"")-1)</f>
        <v/>
      </c>
      <c r="DC44" s="70" t="str">
        <f aca="false">IF(OR(DC13="",ЕТАЛОН_ПЛ="",IFERROR(INDEX(БАЗА_ЦІНИ,2,IFERROR(MATCH(ЕТАЛОН_ПЛ,ПЛ_РЯДОК,0),0)),"")=""),"",DC13-IFERROR(INDEX(БАЗА_ЦІНИ,2,IFERROR(MATCH(ЕТАЛОН_ПЛ,ПЛ_РЯДОК,0),0)),""))</f>
        <v/>
      </c>
      <c r="DD44" s="71" t="str">
        <f aca="false">IF(OR(DC13="",ЕТАЛОН_ПЛ="",IFERROR(INDEX(БАЗА_ЦІНИ,2,IFERROR(MATCH(ЕТАЛОН_ПЛ,ПЛ_РЯДОК,0),0)),"")="",IFERROR(INDEX(БАЗА_ЦІНИ,2,IFERROR(MATCH(ЕТАЛОН_ПЛ,ПЛ_РЯДОК,0),0)),"")=0),"",DC13/IFERROR(INDEX(БАЗА_ЦІНИ,2,IFERROR(MATCH(ЕТАЛОН_ПЛ,ПЛ_РЯДОК,0),0)),"")-1)</f>
        <v/>
      </c>
      <c r="DE44" s="70" t="str">
        <f aca="false">IF(OR(DE13="",ЕТАЛОН_ПЛ="",IFERROR(INDEX(БАЗА_ЦІНИ,2,IFERROR(MATCH(ЕТАЛОН_ПЛ,ПЛ_РЯДОК,0),0)),"")=""),"",DE13-IFERROR(INDEX(БАЗА_ЦІНИ,2,IFERROR(MATCH(ЕТАЛОН_ПЛ,ПЛ_РЯДОК,0),0)),""))</f>
        <v/>
      </c>
      <c r="DF44" s="71" t="str">
        <f aca="false">IF(OR(DE13="",ЕТАЛОН_ПЛ="",IFERROR(INDEX(БАЗА_ЦІНИ,2,IFERROR(MATCH(ЕТАЛОН_ПЛ,ПЛ_РЯДОК,0),0)),"")="",IFERROR(INDEX(БАЗА_ЦІНИ,2,IFERROR(MATCH(ЕТАЛОН_ПЛ,ПЛ_РЯДОК,0),0)),"")=0),"",DE13/IFERROR(INDEX(БАЗА_ЦІНИ,2,IFERROR(MATCH(ЕТАЛОН_ПЛ,ПЛ_РЯДОК,0),0)),"")-1)</f>
        <v/>
      </c>
      <c r="DG44" s="70" t="str">
        <f aca="false">IF(OR(DG13="",ЕТАЛОН_ПЛ="",IFERROR(INDEX(БАЗА_ЦІНИ,2,IFERROR(MATCH(ЕТАЛОН_ПЛ,ПЛ_РЯДОК,0),0)),"")=""),"",DG13-IFERROR(INDEX(БАЗА_ЦІНИ,2,IFERROR(MATCH(ЕТАЛОН_ПЛ,ПЛ_РЯДОК,0),0)),""))</f>
        <v/>
      </c>
      <c r="DH44" s="71" t="str">
        <f aca="false">IF(OR(DG13="",ЕТАЛОН_ПЛ="",IFERROR(INDEX(БАЗА_ЦІНИ,2,IFERROR(MATCH(ЕТАЛОН_ПЛ,ПЛ_РЯДОК,0),0)),"")="",IFERROR(INDEX(БАЗА_ЦІНИ,2,IFERROR(MATCH(ЕТАЛОН_ПЛ,ПЛ_РЯДОК,0),0)),"")=0),"",DG13/IFERROR(INDEX(БАЗА_ЦІНИ,2,IFERROR(MATCH(ЕТАЛОН_ПЛ,ПЛ_РЯДОК,0),0)),"")-1)</f>
        <v/>
      </c>
      <c r="DI44" s="70" t="str">
        <f aca="false">IF(OR(DI13="",ЕТАЛОН_ПЛ="",IFERROR(INDEX(БАЗА_ЦІНИ,2,IFERROR(MATCH(ЕТАЛОН_ПЛ,ПЛ_РЯДОК,0),0)),"")=""),"",DI13-IFERROR(INDEX(БАЗА_ЦІНИ,2,IFERROR(MATCH(ЕТАЛОН_ПЛ,ПЛ_РЯДОК,0),0)),""))</f>
        <v/>
      </c>
      <c r="DJ44" s="71" t="str">
        <f aca="false">IF(OR(DI13="",ЕТАЛОН_ПЛ="",IFERROR(INDEX(БАЗА_ЦІНИ,2,IFERROR(MATCH(ЕТАЛОН_ПЛ,ПЛ_РЯДОК,0),0)),"")="",IFERROR(INDEX(БАЗА_ЦІНИ,2,IFERROR(MATCH(ЕТАЛОН_ПЛ,ПЛ_РЯДОК,0),0)),"")=0),"",DI13/IFERROR(INDEX(БАЗА_ЦІНИ,2,IFERROR(MATCH(ЕТАЛОН_ПЛ,ПЛ_РЯДОК,0),0)),"")-1)</f>
        <v/>
      </c>
      <c r="DK44" s="70" t="str">
        <f aca="false">IF(OR(DK13="",ЕТАЛОН_ПЛ="",IFERROR(INDEX(БАЗА_ЦІНИ,2,IFERROR(MATCH(ЕТАЛОН_ПЛ,ПЛ_РЯДОК,0),0)),"")=""),"",DK13-IFERROR(INDEX(БАЗА_ЦІНИ,2,IFERROR(MATCH(ЕТАЛОН_ПЛ,ПЛ_РЯДОК,0),0)),""))</f>
        <v/>
      </c>
      <c r="DL44" s="71" t="str">
        <f aca="false">IF(OR(DK13="",ЕТАЛОН_ПЛ="",IFERROR(INDEX(БАЗА_ЦІНИ,2,IFERROR(MATCH(ЕТАЛОН_ПЛ,ПЛ_РЯДОК,0),0)),"")="",IFERROR(INDEX(БАЗА_ЦІНИ,2,IFERROR(MATCH(ЕТАЛОН_ПЛ,ПЛ_РЯДОК,0),0)),"")=0),"",DK13/IFERROR(INDEX(БАЗА_ЦІНИ,2,IFERROR(MATCH(ЕТАЛОН_ПЛ,ПЛ_РЯДОК,0),0)),"")-1)</f>
        <v/>
      </c>
      <c r="DM44" s="70" t="str">
        <f aca="false">IF(OR(DM13="",ЕТАЛОН_ПЛ="",IFERROR(INDEX(БАЗА_ЦІНИ,2,IFERROR(MATCH(ЕТАЛОН_ПЛ,ПЛ_РЯДОК,0),0)),"")=""),"",DM13-IFERROR(INDEX(БАЗА_ЦІНИ,2,IFERROR(MATCH(ЕТАЛОН_ПЛ,ПЛ_РЯДОК,0),0)),""))</f>
        <v/>
      </c>
      <c r="DN44" s="71" t="str">
        <f aca="false">IF(OR(DM13="",ЕТАЛОН_ПЛ="",IFERROR(INDEX(БАЗА_ЦІНИ,2,IFERROR(MATCH(ЕТАЛОН_ПЛ,ПЛ_РЯДОК,0),0)),"")="",IFERROR(INDEX(БАЗА_ЦІНИ,2,IFERROR(MATCH(ЕТАЛОН_ПЛ,ПЛ_РЯДОК,0),0)),"")=0),"",DM13/IFERROR(INDEX(БАЗА_ЦІНИ,2,IFERROR(MATCH(ЕТАЛОН_ПЛ,ПЛ_РЯДОК,0),0)),"")-1)</f>
        <v/>
      </c>
      <c r="DO44" s="70" t="str">
        <f aca="false">IF(OR(DO13="",ЕТАЛОН_ПЛ="",IFERROR(INDEX(БАЗА_ЦІНИ,2,IFERROR(MATCH(ЕТАЛОН_ПЛ,ПЛ_РЯДОК,0),0)),"")=""),"",DO13-IFERROR(INDEX(БАЗА_ЦІНИ,2,IFERROR(MATCH(ЕТАЛОН_ПЛ,ПЛ_РЯДОК,0),0)),""))</f>
        <v/>
      </c>
      <c r="DP44" s="71" t="str">
        <f aca="false">IF(OR(DO13="",ЕТАЛОН_ПЛ="",IFERROR(INDEX(БАЗА_ЦІНИ,2,IFERROR(MATCH(ЕТАЛОН_ПЛ,ПЛ_РЯДОК,0),0)),"")="",IFERROR(INDEX(БАЗА_ЦІНИ,2,IFERROR(MATCH(ЕТАЛОН_ПЛ,ПЛ_РЯДОК,0),0)),"")=0),"",DO13/IFERROR(INDEX(БАЗА_ЦІНИ,2,IFERROR(MATCH(ЕТАЛОН_ПЛ,ПЛ_РЯДОК,0),0)),"")-1)</f>
        <v/>
      </c>
      <c r="DQ44" s="70" t="str">
        <f aca="false">IF(OR(DQ13="",ЕТАЛОН_ПЛ="",IFERROR(INDEX(БАЗА_ЦІНИ,2,IFERROR(MATCH(ЕТАЛОН_ПЛ,ПЛ_РЯДОК,0),0)),"")=""),"",DQ13-IFERROR(INDEX(БАЗА_ЦІНИ,2,IFERROR(MATCH(ЕТАЛОН_ПЛ,ПЛ_РЯДОК,0),0)),""))</f>
        <v/>
      </c>
      <c r="DR44" s="71" t="str">
        <f aca="false">IF(OR(DQ13="",ЕТАЛОН_ПЛ="",IFERROR(INDEX(БАЗА_ЦІНИ,2,IFERROR(MATCH(ЕТАЛОН_ПЛ,ПЛ_РЯДОК,0),0)),"")="",IFERROR(INDEX(БАЗА_ЦІНИ,2,IFERROR(MATCH(ЕТАЛОН_ПЛ,ПЛ_РЯДОК,0),0)),"")=0),"",DQ13/IFERROR(INDEX(БАЗА_ЦІНИ,2,IFERROR(MATCH(ЕТАЛОН_ПЛ,ПЛ_РЯДОК,0),0)),"")-1)</f>
        <v/>
      </c>
      <c r="DS44" s="70" t="str">
        <f aca="false">IF(OR(DS13="",ЕТАЛОН_ПЛ="",IFERROR(INDEX(БАЗА_ЦІНИ,2,IFERROR(MATCH(ЕТАЛОН_ПЛ,ПЛ_РЯДОК,0),0)),"")=""),"",DS13-IFERROR(INDEX(БАЗА_ЦІНИ,2,IFERROR(MATCH(ЕТАЛОН_ПЛ,ПЛ_РЯДОК,0),0)),""))</f>
        <v/>
      </c>
      <c r="DT44" s="71" t="str">
        <f aca="false">IF(OR(DS13="",ЕТАЛОН_ПЛ="",IFERROR(INDEX(БАЗА_ЦІНИ,2,IFERROR(MATCH(ЕТАЛОН_ПЛ,ПЛ_РЯДОК,0),0)),"")="",IFERROR(INDEX(БАЗА_ЦІНИ,2,IFERROR(MATCH(ЕТАЛОН_ПЛ,ПЛ_РЯДОК,0),0)),"")=0),"",DS13/IFERROR(INDEX(БАЗА_ЦІНИ,2,IFERROR(MATCH(ЕТАЛОН_ПЛ,ПЛ_РЯДОК,0),0)),"")-1)</f>
        <v/>
      </c>
      <c r="DU44" s="70" t="str">
        <f aca="false">IF(OR(DU13="",ЕТАЛОН_ПЛ="",IFERROR(INDEX(БАЗА_ЦІНИ,2,IFERROR(MATCH(ЕТАЛОН_ПЛ,ПЛ_РЯДОК,0),0)),"")=""),"",DU13-IFERROR(INDEX(БАЗА_ЦІНИ,2,IFERROR(MATCH(ЕТАЛОН_ПЛ,ПЛ_РЯДОК,0),0)),""))</f>
        <v/>
      </c>
      <c r="DV44" s="71" t="str">
        <f aca="false">IF(OR(DU13="",ЕТАЛОН_ПЛ="",IFERROR(INDEX(БАЗА_ЦІНИ,2,IFERROR(MATCH(ЕТАЛОН_ПЛ,ПЛ_РЯДОК,0),0)),"")="",IFERROR(INDEX(БАЗА_ЦІНИ,2,IFERROR(MATCH(ЕТАЛОН_ПЛ,ПЛ_РЯДОК,0),0)),"")=0),"",DU13/IFERROR(INDEX(БАЗА_ЦІНИ,2,IFERROR(MATCH(ЕТАЛОН_ПЛ,ПЛ_РЯДОК,0),0)),"")-1)</f>
        <v/>
      </c>
      <c r="DW44" s="70" t="str">
        <f aca="false">IF(OR(DW13="",ЕТАЛОН_ПЛ="",IFERROR(INDEX(БАЗА_ЦІНИ,2,IFERROR(MATCH(ЕТАЛОН_ПЛ,ПЛ_РЯДОК,0),0)),"")=""),"",DW13-IFERROR(INDEX(БАЗА_ЦІНИ,2,IFERROR(MATCH(ЕТАЛОН_ПЛ,ПЛ_РЯДОК,0),0)),""))</f>
        <v/>
      </c>
      <c r="DX44" s="71" t="str">
        <f aca="false">IF(OR(DW13="",ЕТАЛОН_ПЛ="",IFERROR(INDEX(БАЗА_ЦІНИ,2,IFERROR(MATCH(ЕТАЛОН_ПЛ,ПЛ_РЯДОК,0),0)),"")="",IFERROR(INDEX(БАЗА_ЦІНИ,2,IFERROR(MATCH(ЕТАЛОН_ПЛ,ПЛ_РЯДОК,0),0)),"")=0),"",DW13/IFERROR(INDEX(БАЗА_ЦІНИ,2,IFERROR(MATCH(ЕТАЛОН_ПЛ,ПЛ_РЯДОК,0),0)),"")-1)</f>
        <v/>
      </c>
      <c r="DY44" s="70" t="str">
        <f aca="false">IF(OR(DY13="",ЕТАЛОН_ПЛ="",IFERROR(INDEX(БАЗА_ЦІНИ,2,IFERROR(MATCH(ЕТАЛОН_ПЛ,ПЛ_РЯДОК,0),0)),"")=""),"",DY13-IFERROR(INDEX(БАЗА_ЦІНИ,2,IFERROR(MATCH(ЕТАЛОН_ПЛ,ПЛ_РЯДОК,0),0)),""))</f>
        <v/>
      </c>
      <c r="DZ44" s="71" t="str">
        <f aca="false">IF(OR(DY13="",ЕТАЛОН_ПЛ="",IFERROR(INDEX(БАЗА_ЦІНИ,2,IFERROR(MATCH(ЕТАЛОН_ПЛ,ПЛ_РЯДОК,0),0)),"")="",IFERROR(INDEX(БАЗА_ЦІНИ,2,IFERROR(MATCH(ЕТАЛОН_ПЛ,ПЛ_РЯДОК,0),0)),"")=0),"",DY13/IFERROR(INDEX(БАЗА_ЦІНИ,2,IFERROR(MATCH(ЕТАЛОН_ПЛ,ПЛ_РЯДОК,0),0)),"")-1)</f>
        <v/>
      </c>
      <c r="EA44" s="70" t="str">
        <f aca="false">IF(OR(EA13="",ЕТАЛОН_ПЛ="",IFERROR(INDEX(БАЗА_ЦІНИ,2,IFERROR(MATCH(ЕТАЛОН_ПЛ,ПЛ_РЯДОК,0),0)),"")=""),"",EA13-IFERROR(INDEX(БАЗА_ЦІНИ,2,IFERROR(MATCH(ЕТАЛОН_ПЛ,ПЛ_РЯДОК,0),0)),""))</f>
        <v/>
      </c>
      <c r="EB44" s="71" t="str">
        <f aca="false">IF(OR(EA13="",ЕТАЛОН_ПЛ="",IFERROR(INDEX(БАЗА_ЦІНИ,2,IFERROR(MATCH(ЕТАЛОН_ПЛ,ПЛ_РЯДОК,0),0)),"")="",IFERROR(INDEX(БАЗА_ЦІНИ,2,IFERROR(MATCH(ЕТАЛОН_ПЛ,ПЛ_РЯДОК,0),0)),"")=0),"",EA13/IFERROR(INDEX(БАЗА_ЦІНИ,2,IFERROR(MATCH(ЕТАЛОН_ПЛ,ПЛ_РЯДОК,0),0)),"")-1)</f>
        <v/>
      </c>
      <c r="EC44" s="70" t="str">
        <f aca="false">IF(OR(EC13="",ЕТАЛОН_ПЛ="",IFERROR(INDEX(БАЗА_ЦІНИ,2,IFERROR(MATCH(ЕТАЛОН_ПЛ,ПЛ_РЯДОК,0),0)),"")=""),"",EC13-IFERROR(INDEX(БАЗА_ЦІНИ,2,IFERROR(MATCH(ЕТАЛОН_ПЛ,ПЛ_РЯДОК,0),0)),""))</f>
        <v/>
      </c>
      <c r="ED44" s="71" t="str">
        <f aca="false">IF(OR(EC13="",ЕТАЛОН_ПЛ="",IFERROR(INDEX(БАЗА_ЦІНИ,2,IFERROR(MATCH(ЕТАЛОН_ПЛ,ПЛ_РЯДОК,0),0)),"")="",IFERROR(INDEX(БАЗА_ЦІНИ,2,IFERROR(MATCH(ЕТАЛОН_ПЛ,ПЛ_РЯДОК,0),0)),"")=0),"",EC13/IFERROR(INDEX(БАЗА_ЦІНИ,2,IFERROR(MATCH(ЕТАЛОН_ПЛ,ПЛ_РЯДОК,0),0)),"")-1)</f>
        <v/>
      </c>
      <c r="EE44" s="70" t="str">
        <f aca="false">IF(OR(EE13="",ЕТАЛОН_ПЛ="",IFERROR(INDEX(БАЗА_ЦІНИ,2,IFERROR(MATCH(ЕТАЛОН_ПЛ,ПЛ_РЯДОК,0),0)),"")=""),"",EE13-IFERROR(INDEX(БАЗА_ЦІНИ,2,IFERROR(MATCH(ЕТАЛОН_ПЛ,ПЛ_РЯДОК,0),0)),""))</f>
        <v/>
      </c>
      <c r="EF44" s="71" t="str">
        <f aca="false">IF(OR(EE13="",ЕТАЛОН_ПЛ="",IFERROR(INDEX(БАЗА_ЦІНИ,2,IFERROR(MATCH(ЕТАЛОН_ПЛ,ПЛ_РЯДОК,0),0)),"")="",IFERROR(INDEX(БАЗА_ЦІНИ,2,IFERROR(MATCH(ЕТАЛОН_ПЛ,ПЛ_РЯДОК,0),0)),"")=0),"",EE13/IFERROR(INDEX(БАЗА_ЦІНИ,2,IFERROR(MATCH(ЕТАЛОН_ПЛ,ПЛ_РЯДОК,0),0)),"")-1)</f>
        <v/>
      </c>
      <c r="EG44" s="70" t="str">
        <f aca="false">IF(OR(EG13="",ЕТАЛОН_ПЛ="",IFERROR(INDEX(БАЗА_ЦІНИ,2,IFERROR(MATCH(ЕТАЛОН_ПЛ,ПЛ_РЯДОК,0),0)),"")=""),"",EG13-IFERROR(INDEX(БАЗА_ЦІНИ,2,IFERROR(MATCH(ЕТАЛОН_ПЛ,ПЛ_РЯДОК,0),0)),""))</f>
        <v/>
      </c>
      <c r="EH44" s="71" t="str">
        <f aca="false">IF(OR(EG13="",ЕТАЛОН_ПЛ="",IFERROR(INDEX(БАЗА_ЦІНИ,2,IFERROR(MATCH(ЕТАЛОН_ПЛ,ПЛ_РЯДОК,0),0)),"")="",IFERROR(INDEX(БАЗА_ЦІНИ,2,IFERROR(MATCH(ЕТАЛОН_ПЛ,ПЛ_РЯДОК,0),0)),"")=0),"",EG13/IFERROR(INDEX(БАЗА_ЦІНИ,2,IFERROR(MATCH(ЕТАЛОН_ПЛ,ПЛ_РЯДОК,0),0)),"")-1)</f>
        <v/>
      </c>
      <c r="EI44" s="70" t="str">
        <f aca="false">IF(OR(EI13="",ЕТАЛОН_ПЛ="",IFERROR(INDEX(БАЗА_ЦІНИ,2,IFERROR(MATCH(ЕТАЛОН_ПЛ,ПЛ_РЯДОК,0),0)),"")=""),"",EI13-IFERROR(INDEX(БАЗА_ЦІНИ,2,IFERROR(MATCH(ЕТАЛОН_ПЛ,ПЛ_РЯДОК,0),0)),""))</f>
        <v/>
      </c>
      <c r="EJ44" s="71" t="str">
        <f aca="false">IF(OR(EI13="",ЕТАЛОН_ПЛ="",IFERROR(INDEX(БАЗА_ЦІНИ,2,IFERROR(MATCH(ЕТАЛОН_ПЛ,ПЛ_РЯДОК,0),0)),"")="",IFERROR(INDEX(БАЗА_ЦІНИ,2,IFERROR(MATCH(ЕТАЛОН_ПЛ,ПЛ_РЯДОК,0),0)),"")=0),"",EI13/IFERROR(INDEX(БАЗА_ЦІНИ,2,IFERROR(MATCH(ЕТАЛОН_ПЛ,ПЛ_РЯДОК,0),0)),"")-1)</f>
        <v/>
      </c>
      <c r="EK44" s="70" t="str">
        <f aca="false">IF(OR(EK13="",ЕТАЛОН_ПЛ="",IFERROR(INDEX(БАЗА_ЦІНИ,2,IFERROR(MATCH(ЕТАЛОН_ПЛ,ПЛ_РЯДОК,0),0)),"")=""),"",EK13-IFERROR(INDEX(БАЗА_ЦІНИ,2,IFERROR(MATCH(ЕТАЛОН_ПЛ,ПЛ_РЯДОК,0),0)),""))</f>
        <v/>
      </c>
      <c r="EL44" s="71" t="str">
        <f aca="false">IF(OR(EK13="",ЕТАЛОН_ПЛ="",IFERROR(INDEX(БАЗА_ЦІНИ,2,IFERROR(MATCH(ЕТАЛОН_ПЛ,ПЛ_РЯДОК,0),0)),"")="",IFERROR(INDEX(БАЗА_ЦІНИ,2,IFERROR(MATCH(ЕТАЛОН_ПЛ,ПЛ_РЯДОК,0),0)),"")=0),"",EK13/IFERROR(INDEX(БАЗА_ЦІНИ,2,IFERROR(MATCH(ЕТАЛОН_ПЛ,ПЛ_РЯДОК,0),0)),"")-1)</f>
        <v/>
      </c>
      <c r="EM44" s="70" t="str">
        <f aca="false">IF(OR(EM13="",ЕТАЛОН_ПЛ="",IFERROR(INDEX(БАЗА_ЦІНИ,2,IFERROR(MATCH(ЕТАЛОН_ПЛ,ПЛ_РЯДОК,0),0)),"")=""),"",EM13-IFERROR(INDEX(БАЗА_ЦІНИ,2,IFERROR(MATCH(ЕТАЛОН_ПЛ,ПЛ_РЯДОК,0),0)),""))</f>
        <v/>
      </c>
      <c r="EN44" s="71" t="str">
        <f aca="false">IF(OR(EM13="",ЕТАЛОН_ПЛ="",IFERROR(INDEX(БАЗА_ЦІНИ,2,IFERROR(MATCH(ЕТАЛОН_ПЛ,ПЛ_РЯДОК,0),0)),"")="",IFERROR(INDEX(БАЗА_ЦІНИ,2,IFERROR(MATCH(ЕТАЛОН_ПЛ,ПЛ_РЯДОК,0),0)),"")=0),"",EM13/IFERROR(INDEX(БАЗА_ЦІНИ,2,IFERROR(MATCH(ЕТАЛОН_ПЛ,ПЛ_РЯДОК,0),0)),"")-1)</f>
        <v/>
      </c>
      <c r="EO44" s="70" t="str">
        <f aca="false">IF(OR(EO13="",ЕТАЛОН_ПЛ="",IFERROR(INDEX(БАЗА_ЦІНИ,2,IFERROR(MATCH(ЕТАЛОН_ПЛ,ПЛ_РЯДОК,0),0)),"")=""),"",EO13-IFERROR(INDEX(БАЗА_ЦІНИ,2,IFERROR(MATCH(ЕТАЛОН_ПЛ,ПЛ_РЯДОК,0),0)),""))</f>
        <v/>
      </c>
      <c r="EP44" s="71" t="str">
        <f aca="false">IF(OR(EO13="",ЕТАЛОН_ПЛ="",IFERROR(INDEX(БАЗА_ЦІНИ,2,IFERROR(MATCH(ЕТАЛОН_ПЛ,ПЛ_РЯДОК,0),0)),"")="",IFERROR(INDEX(БАЗА_ЦІНИ,2,IFERROR(MATCH(ЕТАЛОН_ПЛ,ПЛ_РЯДОК,0),0)),"")=0),"",EO13/IFERROR(INDEX(БАЗА_ЦІНИ,2,IFERROR(MATCH(ЕТАЛОН_ПЛ,ПЛ_РЯДОК,0),0)),"")-1)</f>
        <v/>
      </c>
      <c r="EQ44" s="70" t="str">
        <f aca="false">IF(OR(EQ13="",ЕТАЛОН_ПЛ="",IFERROR(INDEX(БАЗА_ЦІНИ,2,IFERROR(MATCH(ЕТАЛОН_ПЛ,ПЛ_РЯДОК,0),0)),"")=""),"",EQ13-IFERROR(INDEX(БАЗА_ЦІНИ,2,IFERROR(MATCH(ЕТАЛОН_ПЛ,ПЛ_РЯДОК,0),0)),""))</f>
        <v/>
      </c>
      <c r="ER44" s="71" t="str">
        <f aca="false">IF(OR(EQ13="",ЕТАЛОН_ПЛ="",IFERROR(INDEX(БАЗА_ЦІНИ,2,IFERROR(MATCH(ЕТАЛОН_ПЛ,ПЛ_РЯДОК,0),0)),"")="",IFERROR(INDEX(БАЗА_ЦІНИ,2,IFERROR(MATCH(ЕТАЛОН_ПЛ,ПЛ_РЯДОК,0),0)),"")=0),"",EQ13/IFERROR(INDEX(БАЗА_ЦІНИ,2,IFERROR(MATCH(ЕТАЛОН_ПЛ,ПЛ_РЯДОК,0),0)),"")-1)</f>
        <v/>
      </c>
      <c r="ES44" s="70" t="str">
        <f aca="false">IF(OR(ES13="",ЕТАЛОН_ПЛ="",IFERROR(INDEX(БАЗА_ЦІНИ,2,IFERROR(MATCH(ЕТАЛОН_ПЛ,ПЛ_РЯДОК,0),0)),"")=""),"",ES13-IFERROR(INDEX(БАЗА_ЦІНИ,2,IFERROR(MATCH(ЕТАЛОН_ПЛ,ПЛ_РЯДОК,0),0)),""))</f>
        <v/>
      </c>
      <c r="ET44" s="71" t="str">
        <f aca="false">IF(OR(ES13="",ЕТАЛОН_ПЛ="",IFERROR(INDEX(БАЗА_ЦІНИ,2,IFERROR(MATCH(ЕТАЛОН_ПЛ,ПЛ_РЯДОК,0),0)),"")="",IFERROR(INDEX(БАЗА_ЦІНИ,2,IFERROR(MATCH(ЕТАЛОН_ПЛ,ПЛ_РЯДОК,0),0)),"")=0),"",ES13/IFERROR(INDEX(БАЗА_ЦІНИ,2,IFERROR(MATCH(ЕТАЛОН_ПЛ,ПЛ_РЯДОК,0),0)),"")-1)</f>
        <v/>
      </c>
      <c r="EU44" s="70" t="str">
        <f aca="false">IF(OR(EU13="",ЕТАЛОН_ПЛ="",IFERROR(INDEX(БАЗА_ЦІНИ,2,IFERROR(MATCH(ЕТАЛОН_ПЛ,ПЛ_РЯДОК,0),0)),"")=""),"",EU13-IFERROR(INDEX(БАЗА_ЦІНИ,2,IFERROR(MATCH(ЕТАЛОН_ПЛ,ПЛ_РЯДОК,0),0)),""))</f>
        <v/>
      </c>
      <c r="EV44" s="71" t="str">
        <f aca="false">IF(OR(EU13="",ЕТАЛОН_ПЛ="",IFERROR(INDEX(БАЗА_ЦІНИ,2,IFERROR(MATCH(ЕТАЛОН_ПЛ,ПЛ_РЯДОК,0),0)),"")="",IFERROR(INDEX(БАЗА_ЦІНИ,2,IFERROR(MATCH(ЕТАЛОН_ПЛ,ПЛ_РЯДОК,0),0)),"")=0),"",EU13/IFERROR(INDEX(БАЗА_ЦІНИ,2,IFERROR(MATCH(ЕТАЛОН_ПЛ,ПЛ_РЯДОК,0),0)),"")-1)</f>
        <v/>
      </c>
      <c r="EW44" s="70" t="str">
        <f aca="false">IF(OR(EW13="",ЕТАЛОН_ПЛ="",IFERROR(INDEX(БАЗА_ЦІНИ,2,IFERROR(MATCH(ЕТАЛОН_ПЛ,ПЛ_РЯДОК,0),0)),"")=""),"",EW13-IFERROR(INDEX(БАЗА_ЦІНИ,2,IFERROR(MATCH(ЕТАЛОН_ПЛ,ПЛ_РЯДОК,0),0)),""))</f>
        <v/>
      </c>
      <c r="EX44" s="71" t="str">
        <f aca="false">IF(OR(EW13="",ЕТАЛОН_ПЛ="",IFERROR(INDEX(БАЗА_ЦІНИ,2,IFERROR(MATCH(ЕТАЛОН_ПЛ,ПЛ_РЯДОК,0),0)),"")="",IFERROR(INDEX(БАЗА_ЦІНИ,2,IFERROR(MATCH(ЕТАЛОН_ПЛ,ПЛ_РЯДОК,0),0)),"")=0),"",EW13/IFERROR(INDEX(БАЗА_ЦІНИ,2,IFERROR(MATCH(ЕТАЛОН_ПЛ,ПЛ_РЯДОК,0),0)),"")-1)</f>
        <v/>
      </c>
      <c r="EY44" s="70" t="str">
        <f aca="false">IF(OR(EY13="",ЕТАЛОН_ПЛ="",IFERROR(INDEX(БАЗА_ЦІНИ,2,IFERROR(MATCH(ЕТАЛОН_ПЛ,ПЛ_РЯДОК,0),0)),"")=""),"",EY13-IFERROR(INDEX(БАЗА_ЦІНИ,2,IFERROR(MATCH(ЕТАЛОН_ПЛ,ПЛ_РЯДОК,0),0)),""))</f>
        <v/>
      </c>
      <c r="EZ44" s="71" t="str">
        <f aca="false">IF(OR(EY13="",ЕТАЛОН_ПЛ="",IFERROR(INDEX(БАЗА_ЦІНИ,2,IFERROR(MATCH(ЕТАЛОН_ПЛ,ПЛ_РЯДОК,0),0)),"")="",IFERROR(INDEX(БАЗА_ЦІНИ,2,IFERROR(MATCH(ЕТАЛОН_ПЛ,ПЛ_РЯДОК,0),0)),"")=0),"",EY13/IFERROR(INDEX(БАЗА_ЦІНИ,2,IFERROR(MATCH(ЕТАЛОН_ПЛ,ПЛ_РЯДОК,0),0)),"")-1)</f>
        <v/>
      </c>
      <c r="FA44" s="70" t="str">
        <f aca="false">IF(OR(FA13="",ЕТАЛОН_ПЛ="",IFERROR(INDEX(БАЗА_ЦІНИ,2,IFERROR(MATCH(ЕТАЛОН_ПЛ,ПЛ_РЯДОК,0),0)),"")=""),"",FA13-IFERROR(INDEX(БАЗА_ЦІНИ,2,IFERROR(MATCH(ЕТАЛОН_ПЛ,ПЛ_РЯДОК,0),0)),""))</f>
        <v/>
      </c>
      <c r="FB44" s="71" t="str">
        <f aca="false">IF(OR(FA13="",ЕТАЛОН_ПЛ="",IFERROR(INDEX(БАЗА_ЦІНИ,2,IFERROR(MATCH(ЕТАЛОН_ПЛ,ПЛ_РЯДОК,0),0)),"")="",IFERROR(INDEX(БАЗА_ЦІНИ,2,IFERROR(MATCH(ЕТАЛОН_ПЛ,ПЛ_РЯДОК,0),0)),"")=0),"",FA13/IFERROR(INDEX(БАЗА_ЦІНИ,2,IFERROR(MATCH(ЕТАЛОН_ПЛ,ПЛ_РЯДОК,0),0)),"")-1)</f>
        <v/>
      </c>
      <c r="FC44" s="70" t="str">
        <f aca="false">IF(OR(FC13="",ЕТАЛОН_ПЛ="",IFERROR(INDEX(БАЗА_ЦІНИ,2,IFERROR(MATCH(ЕТАЛОН_ПЛ,ПЛ_РЯДОК,0),0)),"")=""),"",FC13-IFERROR(INDEX(БАЗА_ЦІНИ,2,IFERROR(MATCH(ЕТАЛОН_ПЛ,ПЛ_РЯДОК,0),0)),""))</f>
        <v/>
      </c>
      <c r="FD44" s="71" t="str">
        <f aca="false">IF(OR(FC13="",ЕТАЛОН_ПЛ="",IFERROR(INDEX(БАЗА_ЦІНИ,2,IFERROR(MATCH(ЕТАЛОН_ПЛ,ПЛ_РЯДОК,0),0)),"")="",IFERROR(INDEX(БАЗА_ЦІНИ,2,IFERROR(MATCH(ЕТАЛОН_ПЛ,ПЛ_РЯДОК,0),0)),"")=0),"",FC13/IFERROR(INDEX(БАЗА_ЦІНИ,2,IFERROR(MATCH(ЕТАЛОН_ПЛ,ПЛ_РЯДОК,0),0)),"")-1)</f>
        <v/>
      </c>
      <c r="FE44" s="70" t="str">
        <f aca="false">IF(OR(FE13="",ЕТАЛОН_ПЛ="",IFERROR(INDEX(БАЗА_ЦІНИ,2,IFERROR(MATCH(ЕТАЛОН_ПЛ,ПЛ_РЯДОК,0),0)),"")=""),"",FE13-IFERROR(INDEX(БАЗА_ЦІНИ,2,IFERROR(MATCH(ЕТАЛОН_ПЛ,ПЛ_РЯДОК,0),0)),""))</f>
        <v/>
      </c>
      <c r="FF44" s="71" t="str">
        <f aca="false">IF(OR(FE13="",ЕТАЛОН_ПЛ="",IFERROR(INDEX(БАЗА_ЦІНИ,2,IFERROR(MATCH(ЕТАЛОН_ПЛ,ПЛ_РЯДОК,0),0)),"")="",IFERROR(INDEX(БАЗА_ЦІНИ,2,IFERROR(MATCH(ЕТАЛОН_ПЛ,ПЛ_РЯДОК,0),0)),"")=0),"",FE13/IFERROR(INDEX(БАЗА_ЦІНИ,2,IFERROR(MATCH(ЕТАЛОН_ПЛ,ПЛ_РЯДОК,0),0)),"")-1)</f>
        <v/>
      </c>
      <c r="FG44" s="70" t="str">
        <f aca="false">IF(OR(FG13="",ЕТАЛОН_ПЛ="",IFERROR(INDEX(БАЗА_ЦІНИ,2,IFERROR(MATCH(ЕТАЛОН_ПЛ,ПЛ_РЯДОК,0),0)),"")=""),"",FG13-IFERROR(INDEX(БАЗА_ЦІНИ,2,IFERROR(MATCH(ЕТАЛОН_ПЛ,ПЛ_РЯДОК,0),0)),""))</f>
        <v/>
      </c>
      <c r="FH44" s="71" t="str">
        <f aca="false">IF(OR(FG13="",ЕТАЛОН_ПЛ="",IFERROR(INDEX(БАЗА_ЦІНИ,2,IFERROR(MATCH(ЕТАЛОН_ПЛ,ПЛ_РЯДОК,0),0)),"")="",IFERROR(INDEX(БАЗА_ЦІНИ,2,IFERROR(MATCH(ЕТАЛОН_ПЛ,ПЛ_РЯДОК,0),0)),"")=0),"",FG13/IFERROR(INDEX(БАЗА_ЦІНИ,2,IFERROR(MATCH(ЕТАЛОН_ПЛ,ПЛ_РЯДОК,0),0)),"")-1)</f>
        <v/>
      </c>
      <c r="FI44" s="70" t="str">
        <f aca="false">IF(OR(FI13="",ЕТАЛОН_ПЛ="",IFERROR(INDEX(БАЗА_ЦІНИ,2,IFERROR(MATCH(ЕТАЛОН_ПЛ,ПЛ_РЯДОК,0),0)),"")=""),"",FI13-IFERROR(INDEX(БАЗА_ЦІНИ,2,IFERROR(MATCH(ЕТАЛОН_ПЛ,ПЛ_РЯДОК,0),0)),""))</f>
        <v/>
      </c>
      <c r="FJ44" s="71" t="str">
        <f aca="false">IF(OR(FI13="",ЕТАЛОН_ПЛ="",IFERROR(INDEX(БАЗА_ЦІНИ,2,IFERROR(MATCH(ЕТАЛОН_ПЛ,ПЛ_РЯДОК,0),0)),"")="",IFERROR(INDEX(БАЗА_ЦІНИ,2,IFERROR(MATCH(ЕТАЛОН_ПЛ,ПЛ_РЯДОК,0),0)),"")=0),"",FI13/IFERROR(INDEX(БАЗА_ЦІНИ,2,IFERROR(MATCH(ЕТАЛОН_ПЛ,ПЛ_РЯДОК,0),0)),"")-1)</f>
        <v/>
      </c>
      <c r="FK44" s="70" t="str">
        <f aca="false">IF(OR(FK13="",ЕТАЛОН_ПЛ="",IFERROR(INDEX(БАЗА_ЦІНИ,2,IFERROR(MATCH(ЕТАЛОН_ПЛ,ПЛ_РЯДОК,0),0)),"")=""),"",FK13-IFERROR(INDEX(БАЗА_ЦІНИ,2,IFERROR(MATCH(ЕТАЛОН_ПЛ,ПЛ_РЯДОК,0),0)),""))</f>
        <v/>
      </c>
      <c r="FL44" s="71" t="str">
        <f aca="false">IF(OR(FK13="",ЕТАЛОН_ПЛ="",IFERROR(INDEX(БАЗА_ЦІНИ,2,IFERROR(MATCH(ЕТАЛОН_ПЛ,ПЛ_РЯДОК,0),0)),"")="",IFERROR(INDEX(БАЗА_ЦІНИ,2,IFERROR(MATCH(ЕТАЛОН_ПЛ,ПЛ_РЯДОК,0),0)),"")=0),"",FK13/IFERROR(INDEX(БАЗА_ЦІНИ,2,IFERROR(MATCH(ЕТАЛОН_ПЛ,ПЛ_РЯДОК,0),0)),"")-1)</f>
        <v/>
      </c>
      <c r="FM44" s="70" t="str">
        <f aca="false">IF(OR(FM13="",ЕТАЛОН_ПЛ="",IFERROR(INDEX(БАЗА_ЦІНИ,2,IFERROR(MATCH(ЕТАЛОН_ПЛ,ПЛ_РЯДОК,0),0)),"")=""),"",FM13-IFERROR(INDEX(БАЗА_ЦІНИ,2,IFERROR(MATCH(ЕТАЛОН_ПЛ,ПЛ_РЯДОК,0),0)),""))</f>
        <v/>
      </c>
      <c r="FN44" s="71" t="str">
        <f aca="false">IF(OR(FM13="",ЕТАЛОН_ПЛ="",IFERROR(INDEX(БАЗА_ЦІНИ,2,IFERROR(MATCH(ЕТАЛОН_ПЛ,ПЛ_РЯДОК,0),0)),"")="",IFERROR(INDEX(БАЗА_ЦІНИ,2,IFERROR(MATCH(ЕТАЛОН_ПЛ,ПЛ_РЯДОК,0),0)),"")=0),"",FM13/IFERROR(INDEX(БАЗА_ЦІНИ,2,IFERROR(MATCH(ЕТАЛОН_ПЛ,ПЛ_РЯДОК,0),0)),"")-1)</f>
        <v/>
      </c>
      <c r="FO44" s="70" t="str">
        <f aca="false">IF(OR(FO13="",ЕТАЛОН_ПЛ="",IFERROR(INDEX(БАЗА_ЦІНИ,2,IFERROR(MATCH(ЕТАЛОН_ПЛ,ПЛ_РЯДОК,0),0)),"")=""),"",FO13-IFERROR(INDEX(БАЗА_ЦІНИ,2,IFERROR(MATCH(ЕТАЛОН_ПЛ,ПЛ_РЯДОК,0),0)),""))</f>
        <v/>
      </c>
      <c r="FP44" s="71" t="str">
        <f aca="false">IF(OR(FO13="",ЕТАЛОН_ПЛ="",IFERROR(INDEX(БАЗА_ЦІНИ,2,IFERROR(MATCH(ЕТАЛОН_ПЛ,ПЛ_РЯДОК,0),0)),"")="",IFERROR(INDEX(БАЗА_ЦІНИ,2,IFERROR(MATCH(ЕТАЛОН_ПЛ,ПЛ_РЯДОК,0),0)),"")=0),"",FO13/IFERROR(INDEX(БАЗА_ЦІНИ,2,IFERROR(MATCH(ЕТАЛОН_ПЛ,ПЛ_РЯДОК,0),0)),"")-1)</f>
        <v/>
      </c>
      <c r="FQ44" s="70" t="str">
        <f aca="false">IF(OR(FQ13="",ЕТАЛОН_ПЛ="",IFERROR(INDEX(БАЗА_ЦІНИ,2,IFERROR(MATCH(ЕТАЛОН_ПЛ,ПЛ_РЯДОК,0),0)),"")=""),"",FQ13-IFERROR(INDEX(БАЗА_ЦІНИ,2,IFERROR(MATCH(ЕТАЛОН_ПЛ,ПЛ_РЯДОК,0),0)),""))</f>
        <v/>
      </c>
      <c r="FR44" s="71" t="str">
        <f aca="false">IF(OR(FQ13="",ЕТАЛОН_ПЛ="",IFERROR(INDEX(БАЗА_ЦІНИ,2,IFERROR(MATCH(ЕТАЛОН_ПЛ,ПЛ_РЯДОК,0),0)),"")="",IFERROR(INDEX(БАЗА_ЦІНИ,2,IFERROR(MATCH(ЕТАЛОН_ПЛ,ПЛ_РЯДОК,0),0)),"")=0),"",FQ13/IFERROR(INDEX(БАЗА_ЦІНИ,2,IFERROR(MATCH(ЕТАЛОН_ПЛ,ПЛ_РЯДОК,0),0)),"")-1)</f>
        <v/>
      </c>
      <c r="FS44" s="70" t="str">
        <f aca="false">IF(OR(FS13="",ЕТАЛОН_ПЛ="",IFERROR(INDEX(БАЗА_ЦІНИ,2,IFERROR(MATCH(ЕТАЛОН_ПЛ,ПЛ_РЯДОК,0),0)),"")=""),"",FS13-IFERROR(INDEX(БАЗА_ЦІНИ,2,IFERROR(MATCH(ЕТАЛОН_ПЛ,ПЛ_РЯДОК,0),0)),""))</f>
        <v/>
      </c>
      <c r="FT44" s="71" t="str">
        <f aca="false">IF(OR(FS13="",ЕТАЛОН_ПЛ="",IFERROR(INDEX(БАЗА_ЦІНИ,2,IFERROR(MATCH(ЕТАЛОН_ПЛ,ПЛ_РЯДОК,0),0)),"")="",IFERROR(INDEX(БАЗА_ЦІНИ,2,IFERROR(MATCH(ЕТАЛОН_ПЛ,ПЛ_РЯДОК,0),0)),"")=0),"",FS13/IFERROR(INDEX(БАЗА_ЦІНИ,2,IFERROR(MATCH(ЕТАЛОН_ПЛ,ПЛ_РЯДОК,0),0)),"")-1)</f>
        <v/>
      </c>
      <c r="FU44" s="70" t="str">
        <f aca="false">IF(OR(FU13="",ЕТАЛОН_ПЛ="",IFERROR(INDEX(БАЗА_ЦІНИ,2,IFERROR(MATCH(ЕТАЛОН_ПЛ,ПЛ_РЯДОК,0),0)),"")=""),"",FU13-IFERROR(INDEX(БАЗА_ЦІНИ,2,IFERROR(MATCH(ЕТАЛОН_ПЛ,ПЛ_РЯДОК,0),0)),""))</f>
        <v/>
      </c>
      <c r="FV44" s="71" t="str">
        <f aca="false">IF(OR(FU13="",ЕТАЛОН_ПЛ="",IFERROR(INDEX(БАЗА_ЦІНИ,2,IFERROR(MATCH(ЕТАЛОН_ПЛ,ПЛ_РЯДОК,0),0)),"")="",IFERROR(INDEX(БАЗА_ЦІНИ,2,IFERROR(MATCH(ЕТАЛОН_ПЛ,ПЛ_РЯДОК,0),0)),"")=0),"",FU13/IFERROR(INDEX(БАЗА_ЦІНИ,2,IFERROR(MATCH(ЕТАЛОН_ПЛ,ПЛ_РЯДОК,0),0)),"")-1)</f>
        <v/>
      </c>
      <c r="FW44" s="70" t="str">
        <f aca="false">IF(OR(FW13="",ЕТАЛОН_ПЛ="",IFERROR(INDEX(БАЗА_ЦІНИ,2,IFERROR(MATCH(ЕТАЛОН_ПЛ,ПЛ_РЯДОК,0),0)),"")=""),"",FW13-IFERROR(INDEX(БАЗА_ЦІНИ,2,IFERROR(MATCH(ЕТАЛОН_ПЛ,ПЛ_РЯДОК,0),0)),""))</f>
        <v/>
      </c>
      <c r="FX44" s="71" t="str">
        <f aca="false">IF(OR(FW13="",ЕТАЛОН_ПЛ="",IFERROR(INDEX(БАЗА_ЦІНИ,2,IFERROR(MATCH(ЕТАЛОН_ПЛ,ПЛ_РЯДОК,0),0)),"")="",IFERROR(INDEX(БАЗА_ЦІНИ,2,IFERROR(MATCH(ЕТАЛОН_ПЛ,ПЛ_РЯДОК,0),0)),"")=0),"",FW13/IFERROR(INDEX(БАЗА_ЦІНИ,2,IFERROR(MATCH(ЕТАЛОН_ПЛ,ПЛ_РЯДОК,0),0)),"")-1)</f>
        <v/>
      </c>
      <c r="FY44" s="70" t="str">
        <f aca="false">IF(OR(FY13="",ЕТАЛОН_ПЛ="",IFERROR(INDEX(БАЗА_ЦІНИ,2,IFERROR(MATCH(ЕТАЛОН_ПЛ,ПЛ_РЯДОК,0),0)),"")=""),"",FY13-IFERROR(INDEX(БАЗА_ЦІНИ,2,IFERROR(MATCH(ЕТАЛОН_ПЛ,ПЛ_РЯДОК,0),0)),""))</f>
        <v/>
      </c>
      <c r="FZ44" s="71" t="str">
        <f aca="false">IF(OR(FY13="",ЕТАЛОН_ПЛ="",IFERROR(INDEX(БАЗА_ЦІНИ,2,IFERROR(MATCH(ЕТАЛОН_ПЛ,ПЛ_РЯДОК,0),0)),"")="",IFERROR(INDEX(БАЗА_ЦІНИ,2,IFERROR(MATCH(ЕТАЛОН_ПЛ,ПЛ_РЯДОК,0),0)),"")=0),"",FY13/IFERROR(INDEX(БАЗА_ЦІНИ,2,IFERROR(MATCH(ЕТАЛОН_ПЛ,ПЛ_РЯДОК,0),0)),"")-1)</f>
        <v/>
      </c>
      <c r="GA44" s="70" t="str">
        <f aca="false">IF(OR(GA13="",ЕТАЛОН_ПЛ="",IFERROR(INDEX(БАЗА_ЦІНИ,2,IFERROR(MATCH(ЕТАЛОН_ПЛ,ПЛ_РЯДОК,0),0)),"")=""),"",GA13-IFERROR(INDEX(БАЗА_ЦІНИ,2,IFERROR(MATCH(ЕТАЛОН_ПЛ,ПЛ_РЯДОК,0),0)),""))</f>
        <v/>
      </c>
      <c r="GB44" s="71" t="str">
        <f aca="false">IF(OR(GA13="",ЕТАЛОН_ПЛ="",IFERROR(INDEX(БАЗА_ЦІНИ,2,IFERROR(MATCH(ЕТАЛОН_ПЛ,ПЛ_РЯДОК,0),0)),"")="",IFERROR(INDEX(БАЗА_ЦІНИ,2,IFERROR(MATCH(ЕТАЛОН_ПЛ,ПЛ_РЯДОК,0),0)),"")=0),"",GA13/IFERROR(INDEX(БАЗА_ЦІНИ,2,IFERROR(MATCH(ЕТАЛОН_ПЛ,ПЛ_РЯДОК,0),0)),"")-1)</f>
        <v/>
      </c>
      <c r="GC44" s="70" t="str">
        <f aca="false">IF(OR(GC13="",ЕТАЛОН_ПЛ="",IFERROR(INDEX(БАЗА_ЦІНИ,2,IFERROR(MATCH(ЕТАЛОН_ПЛ,ПЛ_РЯДОК,0),0)),"")=""),"",GC13-IFERROR(INDEX(БАЗА_ЦІНИ,2,IFERROR(MATCH(ЕТАЛОН_ПЛ,ПЛ_РЯДОК,0),0)),""))</f>
        <v/>
      </c>
      <c r="GD44" s="71" t="str">
        <f aca="false">IF(OR(GC13="",ЕТАЛОН_ПЛ="",IFERROR(INDEX(БАЗА_ЦІНИ,2,IFERROR(MATCH(ЕТАЛОН_ПЛ,ПЛ_РЯДОК,0),0)),"")="",IFERROR(INDEX(БАЗА_ЦІНИ,2,IFERROR(MATCH(ЕТАЛОН_ПЛ,ПЛ_РЯДОК,0),0)),"")=0),"",GC13/IFERROR(INDEX(БАЗА_ЦІНИ,2,IFERROR(MATCH(ЕТАЛОН_ПЛ,ПЛ_РЯДОК,0),0)),"")-1)</f>
        <v/>
      </c>
      <c r="GE44" s="70" t="str">
        <f aca="false">IF(OR(GE13="",ЕТАЛОН_ПЛ="",IFERROR(INDEX(БАЗА_ЦІНИ,2,IFERROR(MATCH(ЕТАЛОН_ПЛ,ПЛ_РЯДОК,0),0)),"")=""),"",GE13-IFERROR(INDEX(БАЗА_ЦІНИ,2,IFERROR(MATCH(ЕТАЛОН_ПЛ,ПЛ_РЯДОК,0),0)),""))</f>
        <v/>
      </c>
      <c r="GF44" s="71" t="str">
        <f aca="false">IF(OR(GE13="",ЕТАЛОН_ПЛ="",IFERROR(INDEX(БАЗА_ЦІНИ,2,IFERROR(MATCH(ЕТАЛОН_ПЛ,ПЛ_РЯДОК,0),0)),"")="",IFERROR(INDEX(БАЗА_ЦІНИ,2,IFERROR(MATCH(ЕТАЛОН_ПЛ,ПЛ_РЯДОК,0),0)),"")=0),"",GE13/IFERROR(INDEX(БАЗА_ЦІНИ,2,IFERROR(MATCH(ЕТАЛОН_ПЛ,ПЛ_РЯДОК,0),0)),"")-1)</f>
        <v/>
      </c>
      <c r="GG44" s="70" t="str">
        <f aca="false">IF(OR(GG13="",ЕТАЛОН_ПЛ="",IFERROR(INDEX(БАЗА_ЦІНИ,2,IFERROR(MATCH(ЕТАЛОН_ПЛ,ПЛ_РЯДОК,0),0)),"")=""),"",GG13-IFERROR(INDEX(БАЗА_ЦІНИ,2,IFERROR(MATCH(ЕТАЛОН_ПЛ,ПЛ_РЯДОК,0),0)),""))</f>
        <v/>
      </c>
      <c r="GH44" s="71" t="str">
        <f aca="false">IF(OR(GG13="",ЕТАЛОН_ПЛ="",IFERROR(INDEX(БАЗА_ЦІНИ,2,IFERROR(MATCH(ЕТАЛОН_ПЛ,ПЛ_РЯДОК,0),0)),"")="",IFERROR(INDEX(БАЗА_ЦІНИ,2,IFERROR(MATCH(ЕТАЛОН_ПЛ,ПЛ_РЯДОК,0),0)),"")=0),"",GG13/IFERROR(INDEX(БАЗА_ЦІНИ,2,IFERROR(MATCH(ЕТАЛОН_ПЛ,ПЛ_РЯДОК,0),0)),"")-1)</f>
        <v/>
      </c>
      <c r="GI44" s="70" t="str">
        <f aca="false">IF(OR(GI13="",ЕТАЛОН_ПЛ="",IFERROR(INDEX(БАЗА_ЦІНИ,2,IFERROR(MATCH(ЕТАЛОН_ПЛ,ПЛ_РЯДОК,0),0)),"")=""),"",GI13-IFERROR(INDEX(БАЗА_ЦІНИ,2,IFERROR(MATCH(ЕТАЛОН_ПЛ,ПЛ_РЯДОК,0),0)),""))</f>
        <v/>
      </c>
      <c r="GJ44" s="71" t="str">
        <f aca="false">IF(OR(GI13="",ЕТАЛОН_ПЛ="",IFERROR(INDEX(БАЗА_ЦІНИ,2,IFERROR(MATCH(ЕТАЛОН_ПЛ,ПЛ_РЯДОК,0),0)),"")="",IFERROR(INDEX(БАЗА_ЦІНИ,2,IFERROR(MATCH(ЕТАЛОН_ПЛ,ПЛ_РЯДОК,0),0)),"")=0),"",GI13/IFERROR(INDEX(БАЗА_ЦІНИ,2,IFERROR(MATCH(ЕТАЛОН_ПЛ,ПЛ_РЯДОК,0),0)),"")-1)</f>
        <v/>
      </c>
      <c r="GK44" s="70" t="str">
        <f aca="false">IF(OR(GK13="",ЕТАЛОН_ПЛ="",IFERROR(INDEX(БАЗА_ЦІНИ,2,IFERROR(MATCH(ЕТАЛОН_ПЛ,ПЛ_РЯДОК,0),0)),"")=""),"",GK13-IFERROR(INDEX(БАЗА_ЦІНИ,2,IFERROR(MATCH(ЕТАЛОН_ПЛ,ПЛ_РЯДОК,0),0)),""))</f>
        <v/>
      </c>
      <c r="GL44" s="71" t="str">
        <f aca="false">IF(OR(GK13="",ЕТАЛОН_ПЛ="",IFERROR(INDEX(БАЗА_ЦІНИ,2,IFERROR(MATCH(ЕТАЛОН_ПЛ,ПЛ_РЯДОК,0),0)),"")="",IFERROR(INDEX(БАЗА_ЦІНИ,2,IFERROR(MATCH(ЕТАЛОН_ПЛ,ПЛ_РЯДОК,0),0)),"")=0),"",GK13/IFERROR(INDEX(БАЗА_ЦІНИ,2,IFERROR(MATCH(ЕТАЛОН_ПЛ,ПЛ_РЯДОК,0),0)),"")-1)</f>
        <v/>
      </c>
      <c r="GM44" s="70" t="str">
        <f aca="false">IF(OR(GM13="",ЕТАЛОН_ПЛ="",IFERROR(INDEX(БАЗА_ЦІНИ,2,IFERROR(MATCH(ЕТАЛОН_ПЛ,ПЛ_РЯДОК,0),0)),"")=""),"",GM13-IFERROR(INDEX(БАЗА_ЦІНИ,2,IFERROR(MATCH(ЕТАЛОН_ПЛ,ПЛ_РЯДОК,0),0)),""))</f>
        <v/>
      </c>
      <c r="GN44" s="71" t="str">
        <f aca="false">IF(OR(GM13="",ЕТАЛОН_ПЛ="",IFERROR(INDEX(БАЗА_ЦІНИ,2,IFERROR(MATCH(ЕТАЛОН_ПЛ,ПЛ_РЯДОК,0),0)),"")="",IFERROR(INDEX(БАЗА_ЦІНИ,2,IFERROR(MATCH(ЕТАЛОН_ПЛ,ПЛ_РЯДОК,0),0)),"")=0),"",GM13/IFERROR(INDEX(БАЗА_ЦІНИ,2,IFERROR(MATCH(ЕТАЛОН_ПЛ,ПЛ_РЯДОК,0),0)),"")-1)</f>
        <v/>
      </c>
      <c r="GO44" s="70" t="str">
        <f aca="false">IF(OR(GO13="",ЕТАЛОН_ПЛ="",IFERROR(INDEX(БАЗА_ЦІНИ,2,IFERROR(MATCH(ЕТАЛОН_ПЛ,ПЛ_РЯДОК,0),0)),"")=""),"",GO13-IFERROR(INDEX(БАЗА_ЦІНИ,2,IFERROR(MATCH(ЕТАЛОН_ПЛ,ПЛ_РЯДОК,0),0)),""))</f>
        <v/>
      </c>
      <c r="GP44" s="71" t="str">
        <f aca="false">IF(OR(GO13="",ЕТАЛОН_ПЛ="",IFERROR(INDEX(БАЗА_ЦІНИ,2,IFERROR(MATCH(ЕТАЛОН_ПЛ,ПЛ_РЯДОК,0),0)),"")="",IFERROR(INDEX(БАЗА_ЦІНИ,2,IFERROR(MATCH(ЕТАЛОН_ПЛ,ПЛ_РЯДОК,0),0)),"")=0),"",GO13/IFERROR(INDEX(БАЗА_ЦІНИ,2,IFERROR(MATCH(ЕТАЛОН_ПЛ,ПЛ_РЯДОК,0),0)),"")-1)</f>
        <v/>
      </c>
      <c r="GQ44" s="70" t="str">
        <f aca="false">IF(OR(GQ13="",ЕТАЛОН_ПЛ="",IFERROR(INDEX(БАЗА_ЦІНИ,2,IFERROR(MATCH(ЕТАЛОН_ПЛ,ПЛ_РЯДОК,0),0)),"")=""),"",GQ13-IFERROR(INDEX(БАЗА_ЦІНИ,2,IFERROR(MATCH(ЕТАЛОН_ПЛ,ПЛ_РЯДОК,0),0)),""))</f>
        <v/>
      </c>
      <c r="GR44" s="71" t="str">
        <f aca="false">IF(OR(GQ13="",ЕТАЛОН_ПЛ="",IFERROR(INDEX(БАЗА_ЦІНИ,2,IFERROR(MATCH(ЕТАЛОН_ПЛ,ПЛ_РЯДОК,0),0)),"")="",IFERROR(INDEX(БАЗА_ЦІНИ,2,IFERROR(MATCH(ЕТАЛОН_ПЛ,ПЛ_РЯДОК,0),0)),"")=0),"",GQ13/IFERROR(INDEX(БАЗА_ЦІНИ,2,IFERROR(MATCH(ЕТАЛОН_ПЛ,ПЛ_РЯДОК,0),0)),"")-1)</f>
        <v/>
      </c>
      <c r="GS44" s="70" t="str">
        <f aca="false">IF(OR(GS13="",ЕТАЛОН_ПЛ="",IFERROR(INDEX(БАЗА_ЦІНИ,2,IFERROR(MATCH(ЕТАЛОН_ПЛ,ПЛ_РЯДОК,0),0)),"")=""),"",GS13-IFERROR(INDEX(БАЗА_ЦІНИ,2,IFERROR(MATCH(ЕТАЛОН_ПЛ,ПЛ_РЯДОК,0),0)),""))</f>
        <v/>
      </c>
      <c r="GT44" s="71" t="str">
        <f aca="false">IF(OR(GS13="",ЕТАЛОН_ПЛ="",IFERROR(INDEX(БАЗА_ЦІНИ,2,IFERROR(MATCH(ЕТАЛОН_ПЛ,ПЛ_РЯДОК,0),0)),"")="",IFERROR(INDEX(БАЗА_ЦІНИ,2,IFERROR(MATCH(ЕТАЛОН_ПЛ,ПЛ_РЯДОК,0),0)),"")=0),"",GS13/IFERROR(INDEX(БАЗА_ЦІНИ,2,IFERROR(MATCH(ЕТАЛОН_ПЛ,ПЛ_РЯДОК,0),0)),"")-1)</f>
        <v/>
      </c>
      <c r="GU44" s="70" t="str">
        <f aca="false">IF(OR(GU13="",ЕТАЛОН_ПЛ="",IFERROR(INDEX(БАЗА_ЦІНИ,2,IFERROR(MATCH(ЕТАЛОН_ПЛ,ПЛ_РЯДОК,0),0)),"")=""),"",GU13-IFERROR(INDEX(БАЗА_ЦІНИ,2,IFERROR(MATCH(ЕТАЛОН_ПЛ,ПЛ_РЯДОК,0),0)),""))</f>
        <v/>
      </c>
      <c r="GV44" s="71" t="str">
        <f aca="false">IF(OR(GU13="",ЕТАЛОН_ПЛ="",IFERROR(INDEX(БАЗА_ЦІНИ,2,IFERROR(MATCH(ЕТАЛОН_ПЛ,ПЛ_РЯДОК,0),0)),"")="",IFERROR(INDEX(БАЗА_ЦІНИ,2,IFERROR(MATCH(ЕТАЛОН_ПЛ,ПЛ_РЯДОК,0),0)),"")=0),"",GU13/IFERROR(INDEX(БАЗА_ЦІНИ,2,IFERROR(MATCH(ЕТАЛОН_ПЛ,ПЛ_РЯДОК,0),0)),"")-1)</f>
        <v/>
      </c>
      <c r="GW44" s="70" t="str">
        <f aca="false">IF(OR(GW13="",ЕТАЛОН_ПЛ="",IFERROR(INDEX(БАЗА_ЦІНИ,2,IFERROR(MATCH(ЕТАЛОН_ПЛ,ПЛ_РЯДОК,0),0)),"")=""),"",GW13-IFERROR(INDEX(БАЗА_ЦІНИ,2,IFERROR(MATCH(ЕТАЛОН_ПЛ,ПЛ_РЯДОК,0),0)),""))</f>
        <v/>
      </c>
      <c r="GX44" s="71" t="str">
        <f aca="false">IF(OR(GW13="",ЕТАЛОН_ПЛ="",IFERROR(INDEX(БАЗА_ЦІНИ,2,IFERROR(MATCH(ЕТАЛОН_ПЛ,ПЛ_РЯДОК,0),0)),"")="",IFERROR(INDEX(БАЗА_ЦІНИ,2,IFERROR(MATCH(ЕТАЛОН_ПЛ,ПЛ_РЯДОК,0),0)),"")=0),"",GW13/IFERROR(INDEX(БАЗА_ЦІНИ,2,IFERROR(MATCH(ЕТАЛОН_ПЛ,ПЛ_РЯДОК,0),0)),"")-1)</f>
        <v/>
      </c>
      <c r="GY44" s="70" t="str">
        <f aca="false">IF(OR(GY13="",ЕТАЛОН_ПЛ="",IFERROR(INDEX(БАЗА_ЦІНИ,2,IFERROR(MATCH(ЕТАЛОН_ПЛ,ПЛ_РЯДОК,0),0)),"")=""),"",GY13-IFERROR(INDEX(БАЗА_ЦІНИ,2,IFERROR(MATCH(ЕТАЛОН_ПЛ,ПЛ_РЯДОК,0),0)),""))</f>
        <v/>
      </c>
      <c r="GZ44" s="71" t="str">
        <f aca="false">IF(OR(GY13="",ЕТАЛОН_ПЛ="",IFERROR(INDEX(БАЗА_ЦІНИ,2,IFERROR(MATCH(ЕТАЛОН_ПЛ,ПЛ_РЯДОК,0),0)),"")="",IFERROR(INDEX(БАЗА_ЦІНИ,2,IFERROR(MATCH(ЕТАЛОН_ПЛ,ПЛ_РЯДОК,0),0)),"")=0),"",GY13/IFERROR(INDEX(БАЗА_ЦІНИ,2,IFERROR(MATCH(ЕТАЛОН_ПЛ,ПЛ_РЯДОК,0),0)),"")-1)</f>
        <v/>
      </c>
    </row>
    <row r="45" customFormat="false" ht="15" hidden="false" customHeight="false" outlineLevel="0" collapsed="false">
      <c r="A45" s="64"/>
      <c r="B45" s="65"/>
      <c r="C45" s="65"/>
      <c r="D45" s="66"/>
      <c r="E45" s="67"/>
      <c r="H45" s="16" t="str">
        <f aca="false">IF('Довідник категорій'!B7="","",'Довідник категорій'!B7)</f>
        <v>Premium Chalet</v>
      </c>
      <c r="I45" s="70" t="n">
        <f aca="false">IF(OR(I14="",ЕТАЛОН_ПЛ="",IFERROR(INDEX(БАЗА_ЦІНИ,3,IFERROR(MATCH(ЕТАЛОН_ПЛ,ПЛ_РЯДОК,0),0)),"")=""),"",I14-IFERROR(INDEX(БАЗА_ЦІНИ,3,IFERROR(MATCH(ЕТАЛОН_ПЛ,ПЛ_РЯДОК,0),0)),""))</f>
        <v>-4100</v>
      </c>
      <c r="J45" s="71" t="n">
        <f aca="false">IF(OR(I14="",ЕТАЛОН_ПЛ="",IFERROR(INDEX(БАЗА_ЦІНИ,3,IFERROR(MATCH(ЕТАЛОН_ПЛ,ПЛ_РЯДОК,0),0)),"")="",IFERROR(INDEX(БАЗА_ЦІНИ,3,IFERROR(MATCH(ЕТАЛОН_ПЛ,ПЛ_РЯДОК,0),0)),"")=0),"",I14/IFERROR(INDEX(БАЗА_ЦІНИ,3,IFERROR(MATCH(ЕТАЛОН_ПЛ,ПЛ_РЯДОК,0),0)),"")-1)</f>
        <v>-0.369369369369369</v>
      </c>
      <c r="K45" s="70" t="n">
        <f aca="false">IF(OR(K14="",ЕТАЛОН_ПЛ="",IFERROR(INDEX(БАЗА_ЦІНИ,3,IFERROR(MATCH(ЕТАЛОН_ПЛ,ПЛ_РЯДОК,0),0)),"")=""),"",K14-IFERROR(INDEX(БАЗА_ЦІНИ,3,IFERROR(MATCH(ЕТАЛОН_ПЛ,ПЛ_РЯДОК,0),0)),""))</f>
        <v>0</v>
      </c>
      <c r="L45" s="71" t="n">
        <f aca="false">IF(OR(K14="",ЕТАЛОН_ПЛ="",IFERROR(INDEX(БАЗА_ЦІНИ,3,IFERROR(MATCH(ЕТАЛОН_ПЛ,ПЛ_РЯДОК,0),0)),"")="",IFERROR(INDEX(БАЗА_ЦІНИ,3,IFERROR(MATCH(ЕТАЛОН_ПЛ,ПЛ_РЯДОК,0),0)),"")=0),"",K14/IFERROR(INDEX(БАЗА_ЦІНИ,3,IFERROR(MATCH(ЕТАЛОН_ПЛ,ПЛ_РЯДОК,0),0)),"")-1)</f>
        <v>0</v>
      </c>
      <c r="M45" s="70" t="n">
        <f aca="false">IF(OR(M14="",ЕТАЛОН_ПЛ="",IFERROR(INDEX(БАЗА_ЦІНИ,3,IFERROR(MATCH(ЕТАЛОН_ПЛ,ПЛ_РЯДОК,0),0)),"")=""),"",M14-IFERROR(INDEX(БАЗА_ЦІНИ,3,IFERROR(MATCH(ЕТАЛОН_ПЛ,ПЛ_РЯДОК,0),0)),""))</f>
        <v>-3330</v>
      </c>
      <c r="N45" s="71" t="n">
        <f aca="false">IF(OR(M14="",ЕТАЛОН_ПЛ="",IFERROR(INDEX(БАЗА_ЦІНИ,3,IFERROR(MATCH(ЕТАЛОН_ПЛ,ПЛ_РЯДОК,0),0)),"")="",IFERROR(INDEX(БАЗА_ЦІНИ,3,IFERROR(MATCH(ЕТАЛОН_ПЛ,ПЛ_РЯДОК,0),0)),"")=0),"",M14/IFERROR(INDEX(БАЗА_ЦІНИ,3,IFERROR(MATCH(ЕТАЛОН_ПЛ,ПЛ_РЯДОК,0),0)),"")-1)</f>
        <v>-0.3</v>
      </c>
      <c r="O45" s="70" t="n">
        <f aca="false">IF(OR(O14="",ЕТАЛОН_ПЛ="",IFERROR(INDEX(БАЗА_ЦІНИ,3,IFERROR(MATCH(ЕТАЛОН_ПЛ,ПЛ_РЯДОК,0),0)),"")=""),"",O14-IFERROR(INDEX(БАЗА_ЦІНИ,3,IFERROR(MATCH(ЕТАЛОН_ПЛ,ПЛ_РЯДОК,0),0)),""))</f>
        <v>-1665</v>
      </c>
      <c r="P45" s="71" t="n">
        <f aca="false">IF(OR(O14="",ЕТАЛОН_ПЛ="",IFERROR(INDEX(БАЗА_ЦІНИ,3,IFERROR(MATCH(ЕТАЛОН_ПЛ,ПЛ_РЯДОК,0),0)),"")="",IFERROR(INDEX(БАЗА_ЦІНИ,3,IFERROR(MATCH(ЕТАЛОН_ПЛ,ПЛ_РЯДОК,0),0)),"")=0),"",O14/IFERROR(INDEX(БАЗА_ЦІНИ,3,IFERROR(MATCH(ЕТАЛОН_ПЛ,ПЛ_РЯДОК,0),0)),"")-1)</f>
        <v>-0.15</v>
      </c>
      <c r="Q45" s="70" t="n">
        <f aca="false">IF(OR(Q14="",ЕТАЛОН_ПЛ="",IFERROR(INDEX(БАЗА_ЦІНИ,3,IFERROR(MATCH(ЕТАЛОН_ПЛ,ПЛ_РЯДОК,0),0)),"")=""),"",Q14-IFERROR(INDEX(БАЗА_ЦІНИ,3,IFERROR(MATCH(ЕТАЛОН_ПЛ,ПЛ_РЯДОК,0),0)),""))</f>
        <v>-2775.222</v>
      </c>
      <c r="R45" s="71" t="n">
        <f aca="false">IF(OR(Q14="",ЕТАЛОН_ПЛ="",IFERROR(INDEX(БАЗА_ЦІНИ,3,IFERROR(MATCH(ЕТАЛОН_ПЛ,ПЛ_РЯДОК,0),0)),"")="",IFERROR(INDEX(БАЗА_ЦІНИ,3,IFERROR(MATCH(ЕТАЛОН_ПЛ,ПЛ_РЯДОК,0),0)),"")=0),"",Q14/IFERROR(INDEX(БАЗА_ЦІНИ,3,IFERROR(MATCH(ЕТАЛОН_ПЛ,ПЛ_РЯДОК,0),0)),"")-1)</f>
        <v>-0.25002</v>
      </c>
      <c r="S45" s="70" t="n">
        <f aca="false">IF(OR(S14="",ЕТАЛОН_ПЛ="",IFERROR(INDEX(БАЗА_ЦІНИ,3,IFERROR(MATCH(ЕТАЛОН_ПЛ,ПЛ_РЯДОК,0),0)),"")=""),"",S14-IFERROR(INDEX(БАЗА_ЦІНИ,3,IFERROR(MATCH(ЕТАЛОН_ПЛ,ПЛ_РЯДОК,0),0)),""))</f>
        <v>-991.341</v>
      </c>
      <c r="T45" s="71" t="n">
        <f aca="false">IF(OR(S14="",ЕТАЛОН_ПЛ="",IFERROR(INDEX(БАЗА_ЦІНИ,3,IFERROR(MATCH(ЕТАЛОН_ПЛ,ПЛ_РЯДОК,0),0)),"")="",IFERROR(INDEX(БАЗА_ЦІНИ,3,IFERROR(MATCH(ЕТАЛОН_ПЛ,ПЛ_РЯДОК,0),0)),"")=0),"",S14/IFERROR(INDEX(БАЗА_ЦІНИ,3,IFERROR(MATCH(ЕТАЛОН_ПЛ,ПЛ_РЯДОК,0),0)),"")-1)</f>
        <v>-0.08931</v>
      </c>
      <c r="U45" s="70" t="n">
        <f aca="false">IF(OR(U14="",ЕТАЛОН_ПЛ="",IFERROR(INDEX(БАЗА_ЦІНИ,3,IFERROR(MATCH(ЕТАЛОН_ПЛ,ПЛ_РЯДОК,0),0)),"")=""),"",U14-IFERROR(INDEX(БАЗА_ЦІНИ,3,IFERROR(MATCH(ЕТАЛОН_ПЛ,ПЛ_РЯДОК,0),0)),""))</f>
        <v>-2180.832851</v>
      </c>
      <c r="V45" s="71" t="n">
        <f aca="false">IF(OR(U14="",ЕТАЛОН_ПЛ="",IFERROR(INDEX(БАЗА_ЦІНИ,3,IFERROR(MATCH(ЕТАЛОН_ПЛ,ПЛ_РЯДОК,0),0)),"")="",IFERROR(INDEX(БАЗА_ЦІНИ,3,IFERROR(MATCH(ЕТАЛОН_ПЛ,ПЛ_РЯДОК,0),0)),"")=0),"",U14/IFERROR(INDEX(БАЗА_ЦІНИ,3,IFERROR(MATCH(ЕТАЛОН_ПЛ,ПЛ_РЯДОК,0),0)),"")-1)</f>
        <v>-0.196471428018018</v>
      </c>
      <c r="W45" s="70" t="n">
        <f aca="false">IF(OR(W14="",ЕТАЛОН_ПЛ="",IFERROR(INDEX(БАЗА_ЦІНИ,3,IFERROR(MATCH(ЕТАЛОН_ПЛ,ПЛ_РЯДОК,0),0)),"")=""),"",W14-IFERROR(INDEX(БАЗА_ЦІНИ,3,IFERROR(MATCH(ЕТАЛОН_ПЛ,ПЛ_РЯДОК,0),0)),""))</f>
        <v>-269.58275</v>
      </c>
      <c r="X45" s="71" t="n">
        <f aca="false">IF(OR(W14="",ЕТАЛОН_ПЛ="",IFERROR(INDEX(БАЗА_ЦІНИ,3,IFERROR(MATCH(ЕТАЛОН_ПЛ,ПЛ_РЯДОК,0),0)),"")="",IFERROR(INDEX(БАЗА_ЦІНИ,3,IFERROR(MATCH(ЕТАЛОН_ПЛ,ПЛ_РЯДОК,0),0)),"")=0),"",W14/IFERROR(INDEX(БАЗА_ЦІНИ,3,IFERROR(MATCH(ЕТАЛОН_ПЛ,ПЛ_РЯДОК,0),0)),"")-1)</f>
        <v>-0.0242867342342342</v>
      </c>
      <c r="Y45" s="70" t="n">
        <f aca="false">IF(OR(Y14="",ЕТАЛОН_ПЛ="",IFERROR(INDEX(БАЗА_ЦІНИ,3,IFERROR(MATCH(ЕТАЛОН_ПЛ,ПЛ_РЯДОК,0),0)),"")=""),"",Y14-IFERROR(INDEX(БАЗА_ЦІНИ,3,IFERROR(MATCH(ЕТАЛОН_ПЛ,ПЛ_РЯДОК,0),0)),""))</f>
        <v>-1544.004316</v>
      </c>
      <c r="Z45" s="71" t="n">
        <f aca="false">IF(OR(Y14="",ЕТАЛОН_ПЛ="",IFERROR(INDEX(БАЗА_ЦІНИ,3,IFERROR(MATCH(ЕТАЛОН_ПЛ,ПЛ_РЯДОК,0),0)),"")="",IFERROR(INDEX(БАЗА_ЦІНИ,3,IFERROR(MATCH(ЕТАЛОН_ПЛ,ПЛ_РЯДОК,0),0)),"")=0),"",Y14/IFERROR(INDEX(БАЗА_ЦІНИ,3,IFERROR(MATCH(ЕТАЛОН_ПЛ,ПЛ_РЯДОК,0),0)),"")-1)</f>
        <v>-0.139099487927928</v>
      </c>
      <c r="AA45" s="70" t="n">
        <f aca="false">IF(OR(AA14="",ЕТАЛОН_ПЛ="",IFERROR(INDEX(БАЗА_ЦІНИ,3,IFERROR(MATCH(ЕТАЛОН_ПЛ,ПЛ_РЯДОК,0),0)),"")=""),"",AA14-IFERROR(INDEX(БАЗА_ЦІНИ,3,IFERROR(MATCH(ЕТАЛОН_ПЛ,ПЛ_РЯДОК,0),0)),""))</f>
        <v>503.70904</v>
      </c>
      <c r="AB45" s="71" t="n">
        <f aca="false">IF(OR(AA14="",ЕТАЛОН_ПЛ="",IFERROR(INDEX(БАЗА_ЦІНИ,3,IFERROR(MATCH(ЕТАЛОН_ПЛ,ПЛ_РЯДОК,0),0)),"")="",IFERROR(INDEX(БАЗА_ЦІНИ,3,IFERROR(MATCH(ЕТАЛОН_ПЛ,ПЛ_РЯДОК,0),0)),"")=0),"",AA14/IFERROR(INDEX(БАЗА_ЦІНИ,3,IFERROR(MATCH(ЕТАЛОН_ПЛ,ПЛ_РЯДОК,0),0)),"")-1)</f>
        <v>0.0453791927927927</v>
      </c>
      <c r="AC45" s="70" t="n">
        <f aca="false">IF(OR(AC14="",ЕТАЛОН_ПЛ="",IFERROR(INDEX(БАЗА_ЦІНИ,3,IFERROR(MATCH(ЕТАЛОН_ПЛ,ПЛ_РЯДОК,0),0)),"")=""),"",AC14-IFERROR(INDEX(БАЗА_ЦІНИ,3,IFERROR(MATCH(ЕТАЛОН_ПЛ,ПЛ_РЯДОК,0),0)),""))</f>
        <v>-861.70622</v>
      </c>
      <c r="AD45" s="71" t="n">
        <f aca="false">IF(OR(AC14="",ЕТАЛОН_ПЛ="",IFERROR(INDEX(БАЗА_ЦІНИ,3,IFERROR(MATCH(ЕТАЛОН_ПЛ,ПЛ_РЯДОК,0),0)),"")="",IFERROR(INDEX(БАЗА_ЦІНИ,3,IFERROR(MATCH(ЕТАЛОН_ПЛ,ПЛ_РЯДОК,0),0)),"")=0),"",AC14/IFERROR(INDEX(БАЗА_ЦІНИ,3,IFERROR(MATCH(ЕТАЛОН_ПЛ,ПЛ_РЯДОК,0),0)),"")-1)</f>
        <v>-0.077631190990991</v>
      </c>
      <c r="AE45" s="70" t="n">
        <f aca="false">IF(OR(AE14="",ЕТАЛОН_ПЛ="",IFERROR(INDEX(БАЗА_ЦІНИ,3,IFERROR(MATCH(ЕТАЛОН_ПЛ,ПЛ_РЯДОК,0),0)),"")=""),"",AE14-IFERROR(INDEX(БАЗА_ЦІНИ,3,IFERROR(MATCH(ЕТАЛОН_ПЛ,ПЛ_РЯДОК,0),0)),""))</f>
        <v>1332.21387</v>
      </c>
      <c r="AF45" s="71" t="n">
        <f aca="false">IF(OR(AE14="",ЕТАЛОН_ПЛ="",IFERROR(INDEX(БАЗА_ЦІНИ,3,IFERROR(MATCH(ЕТАЛОН_ПЛ,ПЛ_РЯДОК,0),0)),"")="",IFERROR(INDEX(БАЗА_ЦІНИ,3,IFERROR(MATCH(ЕТАЛОН_ПЛ,ПЛ_РЯДОК,0),0)),"")=0),"",AE14/IFERROR(INDEX(БАЗА_ЦІНИ,3,IFERROR(MATCH(ЕТАЛОН_ПЛ,ПЛ_РЯДОК,0),0)),"")-1)</f>
        <v>0.120019267567568</v>
      </c>
      <c r="AG45" s="70" t="str">
        <f aca="false">IF(OR(AG14="",ЕТАЛОН_ПЛ="",IFERROR(INDEX(БАЗА_ЦІНИ,3,IFERROR(MATCH(ЕТАЛОН_ПЛ,ПЛ_РЯДОК,0),0)),"")=""),"",AG14-IFERROR(INDEX(БАЗА_ЦІНИ,3,IFERROR(MATCH(ЕТАЛОН_ПЛ,ПЛ_РЯДОК,0),0)),""))</f>
        <v/>
      </c>
      <c r="AH45" s="71" t="str">
        <f aca="false">IF(OR(AG14="",ЕТАЛОН_ПЛ="",IFERROR(INDEX(БАЗА_ЦІНИ,3,IFERROR(MATCH(ЕТАЛОН_ПЛ,ПЛ_РЯДОК,0),0)),"")="",IFERROR(INDEX(БАЗА_ЦІНИ,3,IFERROR(MATCH(ЕТАЛОН_ПЛ,ПЛ_РЯДОК,0),0)),"")=0),"",AG14/IFERROR(INDEX(БАЗА_ЦІНИ,3,IFERROR(MATCH(ЕТАЛОН_ПЛ,ПЛ_РЯДОК,0),0)),"")-1)</f>
        <v/>
      </c>
      <c r="AI45" s="70" t="str">
        <f aca="false">IF(OR(AI14="",ЕТАЛОН_ПЛ="",IFERROR(INDEX(БАЗА_ЦІНИ,3,IFERROR(MATCH(ЕТАЛОН_ПЛ,ПЛ_РЯДОК,0),0)),"")=""),"",AI14-IFERROR(INDEX(БАЗА_ЦІНИ,3,IFERROR(MATCH(ЕТАЛОН_ПЛ,ПЛ_РЯДОК,0),0)),""))</f>
        <v/>
      </c>
      <c r="AJ45" s="71" t="str">
        <f aca="false">IF(OR(AI14="",ЕТАЛОН_ПЛ="",IFERROR(INDEX(БАЗА_ЦІНИ,3,IFERROR(MATCH(ЕТАЛОН_ПЛ,ПЛ_РЯДОК,0),0)),"")="",IFERROR(INDEX(БАЗА_ЦІНИ,3,IFERROR(MATCH(ЕТАЛОН_ПЛ,ПЛ_РЯДОК,0),0)),"")=0),"",AI14/IFERROR(INDEX(БАЗА_ЦІНИ,3,IFERROR(MATCH(ЕТАЛОН_ПЛ,ПЛ_РЯДОК,0),0)),"")-1)</f>
        <v/>
      </c>
      <c r="AK45" s="70" t="str">
        <f aca="false">IF(OR(AK14="",ЕТАЛОН_ПЛ="",IFERROR(INDEX(БАЗА_ЦІНИ,3,IFERROR(MATCH(ЕТАЛОН_ПЛ,ПЛ_РЯДОК,0),0)),"")=""),"",AK14-IFERROR(INDEX(БАЗА_ЦІНИ,3,IFERROR(MATCH(ЕТАЛОН_ПЛ,ПЛ_РЯДОК,0),0)),""))</f>
        <v/>
      </c>
      <c r="AL45" s="71" t="str">
        <f aca="false">IF(OR(AK14="",ЕТАЛОН_ПЛ="",IFERROR(INDEX(БАЗА_ЦІНИ,3,IFERROR(MATCH(ЕТАЛОН_ПЛ,ПЛ_РЯДОК,0),0)),"")="",IFERROR(INDEX(БАЗА_ЦІНИ,3,IFERROR(MATCH(ЕТАЛОН_ПЛ,ПЛ_РЯДОК,0),0)),"")=0),"",AK14/IFERROR(INDEX(БАЗА_ЦІНИ,3,IFERROR(MATCH(ЕТАЛОН_ПЛ,ПЛ_РЯДОК,0),0)),"")-1)</f>
        <v/>
      </c>
      <c r="AM45" s="70" t="str">
        <f aca="false">IF(OR(AM14="",ЕТАЛОН_ПЛ="",IFERROR(INDEX(БАЗА_ЦІНИ,3,IFERROR(MATCH(ЕТАЛОН_ПЛ,ПЛ_РЯДОК,0),0)),"")=""),"",AM14-IFERROR(INDEX(БАЗА_ЦІНИ,3,IFERROR(MATCH(ЕТАЛОН_ПЛ,ПЛ_РЯДОК,0),0)),""))</f>
        <v/>
      </c>
      <c r="AN45" s="71" t="str">
        <f aca="false">IF(OR(AM14="",ЕТАЛОН_ПЛ="",IFERROR(INDEX(БАЗА_ЦІНИ,3,IFERROR(MATCH(ЕТАЛОН_ПЛ,ПЛ_РЯДОК,0),0)),"")="",IFERROR(INDEX(БАЗА_ЦІНИ,3,IFERROR(MATCH(ЕТАЛОН_ПЛ,ПЛ_РЯДОК,0),0)),"")=0),"",AM14/IFERROR(INDEX(БАЗА_ЦІНИ,3,IFERROR(MATCH(ЕТАЛОН_ПЛ,ПЛ_РЯДОК,0),0)),"")-1)</f>
        <v/>
      </c>
      <c r="AO45" s="70" t="str">
        <f aca="false">IF(OR(AO14="",ЕТАЛОН_ПЛ="",IFERROR(INDEX(БАЗА_ЦІНИ,3,IFERROR(MATCH(ЕТАЛОН_ПЛ,ПЛ_РЯДОК,0),0)),"")=""),"",AO14-IFERROR(INDEX(БАЗА_ЦІНИ,3,IFERROR(MATCH(ЕТАЛОН_ПЛ,ПЛ_РЯДОК,0),0)),""))</f>
        <v/>
      </c>
      <c r="AP45" s="71" t="str">
        <f aca="false">IF(OR(AO14="",ЕТАЛОН_ПЛ="",IFERROR(INDEX(БАЗА_ЦІНИ,3,IFERROR(MATCH(ЕТАЛОН_ПЛ,ПЛ_РЯДОК,0),0)),"")="",IFERROR(INDEX(БАЗА_ЦІНИ,3,IFERROR(MATCH(ЕТАЛОН_ПЛ,ПЛ_РЯДОК,0),0)),"")=0),"",AO14/IFERROR(INDEX(БАЗА_ЦІНИ,3,IFERROR(MATCH(ЕТАЛОН_ПЛ,ПЛ_РЯДОК,0),0)),"")-1)</f>
        <v/>
      </c>
      <c r="AQ45" s="70" t="str">
        <f aca="false">IF(OR(AQ14="",ЕТАЛОН_ПЛ="",IFERROR(INDEX(БАЗА_ЦІНИ,3,IFERROR(MATCH(ЕТАЛОН_ПЛ,ПЛ_РЯДОК,0),0)),"")=""),"",AQ14-IFERROR(INDEX(БАЗА_ЦІНИ,3,IFERROR(MATCH(ЕТАЛОН_ПЛ,ПЛ_РЯДОК,0),0)),""))</f>
        <v/>
      </c>
      <c r="AR45" s="71" t="str">
        <f aca="false">IF(OR(AQ14="",ЕТАЛОН_ПЛ="",IFERROR(INDEX(БАЗА_ЦІНИ,3,IFERROR(MATCH(ЕТАЛОН_ПЛ,ПЛ_РЯДОК,0),0)),"")="",IFERROR(INDEX(БАЗА_ЦІНИ,3,IFERROR(MATCH(ЕТАЛОН_ПЛ,ПЛ_РЯДОК,0),0)),"")=0),"",AQ14/IFERROR(INDEX(БАЗА_ЦІНИ,3,IFERROR(MATCH(ЕТАЛОН_ПЛ,ПЛ_РЯДОК,0),0)),"")-1)</f>
        <v/>
      </c>
      <c r="AS45" s="70" t="str">
        <f aca="false">IF(OR(AS14="",ЕТАЛОН_ПЛ="",IFERROR(INDEX(БАЗА_ЦІНИ,3,IFERROR(MATCH(ЕТАЛОН_ПЛ,ПЛ_РЯДОК,0),0)),"")=""),"",AS14-IFERROR(INDEX(БАЗА_ЦІНИ,3,IFERROR(MATCH(ЕТАЛОН_ПЛ,ПЛ_РЯДОК,0),0)),""))</f>
        <v/>
      </c>
      <c r="AT45" s="71" t="str">
        <f aca="false">IF(OR(AS14="",ЕТАЛОН_ПЛ="",IFERROR(INDEX(БАЗА_ЦІНИ,3,IFERROR(MATCH(ЕТАЛОН_ПЛ,ПЛ_РЯДОК,0),0)),"")="",IFERROR(INDEX(БАЗА_ЦІНИ,3,IFERROR(MATCH(ЕТАЛОН_ПЛ,ПЛ_РЯДОК,0),0)),"")=0),"",AS14/IFERROR(INDEX(БАЗА_ЦІНИ,3,IFERROR(MATCH(ЕТАЛОН_ПЛ,ПЛ_РЯДОК,0),0)),"")-1)</f>
        <v/>
      </c>
      <c r="AU45" s="70" t="str">
        <f aca="false">IF(OR(AU14="",ЕТАЛОН_ПЛ="",IFERROR(INDEX(БАЗА_ЦІНИ,3,IFERROR(MATCH(ЕТАЛОН_ПЛ,ПЛ_РЯДОК,0),0)),"")=""),"",AU14-IFERROR(INDEX(БАЗА_ЦІНИ,3,IFERROR(MATCH(ЕТАЛОН_ПЛ,ПЛ_РЯДОК,0),0)),""))</f>
        <v/>
      </c>
      <c r="AV45" s="71" t="str">
        <f aca="false">IF(OR(AU14="",ЕТАЛОН_ПЛ="",IFERROR(INDEX(БАЗА_ЦІНИ,3,IFERROR(MATCH(ЕТАЛОН_ПЛ,ПЛ_РЯДОК,0),0)),"")="",IFERROR(INDEX(БАЗА_ЦІНИ,3,IFERROR(MATCH(ЕТАЛОН_ПЛ,ПЛ_РЯДОК,0),0)),"")=0),"",AU14/IFERROR(INDEX(БАЗА_ЦІНИ,3,IFERROR(MATCH(ЕТАЛОН_ПЛ,ПЛ_РЯДОК,0),0)),"")-1)</f>
        <v/>
      </c>
      <c r="AW45" s="70" t="str">
        <f aca="false">IF(OR(AW14="",ЕТАЛОН_ПЛ="",IFERROR(INDEX(БАЗА_ЦІНИ,3,IFERROR(MATCH(ЕТАЛОН_ПЛ,ПЛ_РЯДОК,0),0)),"")=""),"",AW14-IFERROR(INDEX(БАЗА_ЦІНИ,3,IFERROR(MATCH(ЕТАЛОН_ПЛ,ПЛ_РЯДОК,0),0)),""))</f>
        <v/>
      </c>
      <c r="AX45" s="71" t="str">
        <f aca="false">IF(OR(AW14="",ЕТАЛОН_ПЛ="",IFERROR(INDEX(БАЗА_ЦІНИ,3,IFERROR(MATCH(ЕТАЛОН_ПЛ,ПЛ_РЯДОК,0),0)),"")="",IFERROR(INDEX(БАЗА_ЦІНИ,3,IFERROR(MATCH(ЕТАЛОН_ПЛ,ПЛ_РЯДОК,0),0)),"")=0),"",AW14/IFERROR(INDEX(БАЗА_ЦІНИ,3,IFERROR(MATCH(ЕТАЛОН_ПЛ,ПЛ_РЯДОК,0),0)),"")-1)</f>
        <v/>
      </c>
      <c r="AY45" s="70" t="str">
        <f aca="false">IF(OR(AY14="",ЕТАЛОН_ПЛ="",IFERROR(INDEX(БАЗА_ЦІНИ,3,IFERROR(MATCH(ЕТАЛОН_ПЛ,ПЛ_РЯДОК,0),0)),"")=""),"",AY14-IFERROR(INDEX(БАЗА_ЦІНИ,3,IFERROR(MATCH(ЕТАЛОН_ПЛ,ПЛ_РЯДОК,0),0)),""))</f>
        <v/>
      </c>
      <c r="AZ45" s="71" t="str">
        <f aca="false">IF(OR(AY14="",ЕТАЛОН_ПЛ="",IFERROR(INDEX(БАЗА_ЦІНИ,3,IFERROR(MATCH(ЕТАЛОН_ПЛ,ПЛ_РЯДОК,0),0)),"")="",IFERROR(INDEX(БАЗА_ЦІНИ,3,IFERROR(MATCH(ЕТАЛОН_ПЛ,ПЛ_РЯДОК,0),0)),"")=0),"",AY14/IFERROR(INDEX(БАЗА_ЦІНИ,3,IFERROR(MATCH(ЕТАЛОН_ПЛ,ПЛ_РЯДОК,0),0)),"")-1)</f>
        <v/>
      </c>
      <c r="BA45" s="70" t="str">
        <f aca="false">IF(OR(BA14="",ЕТАЛОН_ПЛ="",IFERROR(INDEX(БАЗА_ЦІНИ,3,IFERROR(MATCH(ЕТАЛОН_ПЛ,ПЛ_РЯДОК,0),0)),"")=""),"",BA14-IFERROR(INDEX(БАЗА_ЦІНИ,3,IFERROR(MATCH(ЕТАЛОН_ПЛ,ПЛ_РЯДОК,0),0)),""))</f>
        <v/>
      </c>
      <c r="BB45" s="71" t="str">
        <f aca="false">IF(OR(BA14="",ЕТАЛОН_ПЛ="",IFERROR(INDEX(БАЗА_ЦІНИ,3,IFERROR(MATCH(ЕТАЛОН_ПЛ,ПЛ_РЯДОК,0),0)),"")="",IFERROR(INDEX(БАЗА_ЦІНИ,3,IFERROR(MATCH(ЕТАЛОН_ПЛ,ПЛ_РЯДОК,0),0)),"")=0),"",BA14/IFERROR(INDEX(БАЗА_ЦІНИ,3,IFERROR(MATCH(ЕТАЛОН_ПЛ,ПЛ_РЯДОК,0),0)),"")-1)</f>
        <v/>
      </c>
      <c r="BC45" s="70" t="str">
        <f aca="false">IF(OR(BC14="",ЕТАЛОН_ПЛ="",IFERROR(INDEX(БАЗА_ЦІНИ,3,IFERROR(MATCH(ЕТАЛОН_ПЛ,ПЛ_РЯДОК,0),0)),"")=""),"",BC14-IFERROR(INDEX(БАЗА_ЦІНИ,3,IFERROR(MATCH(ЕТАЛОН_ПЛ,ПЛ_РЯДОК,0),0)),""))</f>
        <v/>
      </c>
      <c r="BD45" s="71" t="str">
        <f aca="false">IF(OR(BC14="",ЕТАЛОН_ПЛ="",IFERROR(INDEX(БАЗА_ЦІНИ,3,IFERROR(MATCH(ЕТАЛОН_ПЛ,ПЛ_РЯДОК,0),0)),"")="",IFERROR(INDEX(БАЗА_ЦІНИ,3,IFERROR(MATCH(ЕТАЛОН_ПЛ,ПЛ_РЯДОК,0),0)),"")=0),"",BC14/IFERROR(INDEX(БАЗА_ЦІНИ,3,IFERROR(MATCH(ЕТАЛОН_ПЛ,ПЛ_РЯДОК,0),0)),"")-1)</f>
        <v/>
      </c>
      <c r="BE45" s="70" t="str">
        <f aca="false">IF(OR(BE14="",ЕТАЛОН_ПЛ="",IFERROR(INDEX(БАЗА_ЦІНИ,3,IFERROR(MATCH(ЕТАЛОН_ПЛ,ПЛ_РЯДОК,0),0)),"")=""),"",BE14-IFERROR(INDEX(БАЗА_ЦІНИ,3,IFERROR(MATCH(ЕТАЛОН_ПЛ,ПЛ_РЯДОК,0),0)),""))</f>
        <v/>
      </c>
      <c r="BF45" s="71" t="str">
        <f aca="false">IF(OR(BE14="",ЕТАЛОН_ПЛ="",IFERROR(INDEX(БАЗА_ЦІНИ,3,IFERROR(MATCH(ЕТАЛОН_ПЛ,ПЛ_РЯДОК,0),0)),"")="",IFERROR(INDEX(БАЗА_ЦІНИ,3,IFERROR(MATCH(ЕТАЛОН_ПЛ,ПЛ_РЯДОК,0),0)),"")=0),"",BE14/IFERROR(INDEX(БАЗА_ЦІНИ,3,IFERROR(MATCH(ЕТАЛОН_ПЛ,ПЛ_РЯДОК,0),0)),"")-1)</f>
        <v/>
      </c>
      <c r="BG45" s="70" t="str">
        <f aca="false">IF(OR(BG14="",ЕТАЛОН_ПЛ="",IFERROR(INDEX(БАЗА_ЦІНИ,3,IFERROR(MATCH(ЕТАЛОН_ПЛ,ПЛ_РЯДОК,0),0)),"")=""),"",BG14-IFERROR(INDEX(БАЗА_ЦІНИ,3,IFERROR(MATCH(ЕТАЛОН_ПЛ,ПЛ_РЯДОК,0),0)),""))</f>
        <v/>
      </c>
      <c r="BH45" s="71" t="str">
        <f aca="false">IF(OR(BG14="",ЕТАЛОН_ПЛ="",IFERROR(INDEX(БАЗА_ЦІНИ,3,IFERROR(MATCH(ЕТАЛОН_ПЛ,ПЛ_РЯДОК,0),0)),"")="",IFERROR(INDEX(БАЗА_ЦІНИ,3,IFERROR(MATCH(ЕТАЛОН_ПЛ,ПЛ_РЯДОК,0),0)),"")=0),"",BG14/IFERROR(INDEX(БАЗА_ЦІНИ,3,IFERROR(MATCH(ЕТАЛОН_ПЛ,ПЛ_РЯДОК,0),0)),"")-1)</f>
        <v/>
      </c>
      <c r="BI45" s="70" t="str">
        <f aca="false">IF(OR(BI14="",ЕТАЛОН_ПЛ="",IFERROR(INDEX(БАЗА_ЦІНИ,3,IFERROR(MATCH(ЕТАЛОН_ПЛ,ПЛ_РЯДОК,0),0)),"")=""),"",BI14-IFERROR(INDEX(БАЗА_ЦІНИ,3,IFERROR(MATCH(ЕТАЛОН_ПЛ,ПЛ_РЯДОК,0),0)),""))</f>
        <v/>
      </c>
      <c r="BJ45" s="71" t="str">
        <f aca="false">IF(OR(BI14="",ЕТАЛОН_ПЛ="",IFERROR(INDEX(БАЗА_ЦІНИ,3,IFERROR(MATCH(ЕТАЛОН_ПЛ,ПЛ_РЯДОК,0),0)),"")="",IFERROR(INDEX(БАЗА_ЦІНИ,3,IFERROR(MATCH(ЕТАЛОН_ПЛ,ПЛ_РЯДОК,0),0)),"")=0),"",BI14/IFERROR(INDEX(БАЗА_ЦІНИ,3,IFERROR(MATCH(ЕТАЛОН_ПЛ,ПЛ_РЯДОК,0),0)),"")-1)</f>
        <v/>
      </c>
      <c r="BK45" s="70" t="str">
        <f aca="false">IF(OR(BK14="",ЕТАЛОН_ПЛ="",IFERROR(INDEX(БАЗА_ЦІНИ,3,IFERROR(MATCH(ЕТАЛОН_ПЛ,ПЛ_РЯДОК,0),0)),"")=""),"",BK14-IFERROR(INDEX(БАЗА_ЦІНИ,3,IFERROR(MATCH(ЕТАЛОН_ПЛ,ПЛ_РЯДОК,0),0)),""))</f>
        <v/>
      </c>
      <c r="BL45" s="71" t="str">
        <f aca="false">IF(OR(BK14="",ЕТАЛОН_ПЛ="",IFERROR(INDEX(БАЗА_ЦІНИ,3,IFERROR(MATCH(ЕТАЛОН_ПЛ,ПЛ_РЯДОК,0),0)),"")="",IFERROR(INDEX(БАЗА_ЦІНИ,3,IFERROR(MATCH(ЕТАЛОН_ПЛ,ПЛ_РЯДОК,0),0)),"")=0),"",BK14/IFERROR(INDEX(БАЗА_ЦІНИ,3,IFERROR(MATCH(ЕТАЛОН_ПЛ,ПЛ_РЯДОК,0),0)),"")-1)</f>
        <v/>
      </c>
      <c r="BM45" s="70" t="str">
        <f aca="false">IF(OR(BM14="",ЕТАЛОН_ПЛ="",IFERROR(INDEX(БАЗА_ЦІНИ,3,IFERROR(MATCH(ЕТАЛОН_ПЛ,ПЛ_РЯДОК,0),0)),"")=""),"",BM14-IFERROR(INDEX(БАЗА_ЦІНИ,3,IFERROR(MATCH(ЕТАЛОН_ПЛ,ПЛ_РЯДОК,0),0)),""))</f>
        <v/>
      </c>
      <c r="BN45" s="71" t="str">
        <f aca="false">IF(OR(BM14="",ЕТАЛОН_ПЛ="",IFERROR(INDEX(БАЗА_ЦІНИ,3,IFERROR(MATCH(ЕТАЛОН_ПЛ,ПЛ_РЯДОК,0),0)),"")="",IFERROR(INDEX(БАЗА_ЦІНИ,3,IFERROR(MATCH(ЕТАЛОН_ПЛ,ПЛ_РЯДОК,0),0)),"")=0),"",BM14/IFERROR(INDEX(БАЗА_ЦІНИ,3,IFERROR(MATCH(ЕТАЛОН_ПЛ,ПЛ_РЯДОК,0),0)),"")-1)</f>
        <v/>
      </c>
      <c r="BO45" s="70" t="str">
        <f aca="false">IF(OR(BO14="",ЕТАЛОН_ПЛ="",IFERROR(INDEX(БАЗА_ЦІНИ,3,IFERROR(MATCH(ЕТАЛОН_ПЛ,ПЛ_РЯДОК,0),0)),"")=""),"",BO14-IFERROR(INDEX(БАЗА_ЦІНИ,3,IFERROR(MATCH(ЕТАЛОН_ПЛ,ПЛ_РЯДОК,0),0)),""))</f>
        <v/>
      </c>
      <c r="BP45" s="71" t="str">
        <f aca="false">IF(OR(BO14="",ЕТАЛОН_ПЛ="",IFERROR(INDEX(БАЗА_ЦІНИ,3,IFERROR(MATCH(ЕТАЛОН_ПЛ,ПЛ_РЯДОК,0),0)),"")="",IFERROR(INDEX(БАЗА_ЦІНИ,3,IFERROR(MATCH(ЕТАЛОН_ПЛ,ПЛ_РЯДОК,0),0)),"")=0),"",BO14/IFERROR(INDEX(БАЗА_ЦІНИ,3,IFERROR(MATCH(ЕТАЛОН_ПЛ,ПЛ_РЯДОК,0),0)),"")-1)</f>
        <v/>
      </c>
      <c r="BQ45" s="70" t="str">
        <f aca="false">IF(OR(BQ14="",ЕТАЛОН_ПЛ="",IFERROR(INDEX(БАЗА_ЦІНИ,3,IFERROR(MATCH(ЕТАЛОН_ПЛ,ПЛ_РЯДОК,0),0)),"")=""),"",BQ14-IFERROR(INDEX(БАЗА_ЦІНИ,3,IFERROR(MATCH(ЕТАЛОН_ПЛ,ПЛ_РЯДОК,0),0)),""))</f>
        <v/>
      </c>
      <c r="BR45" s="71" t="str">
        <f aca="false">IF(OR(BQ14="",ЕТАЛОН_ПЛ="",IFERROR(INDEX(БАЗА_ЦІНИ,3,IFERROR(MATCH(ЕТАЛОН_ПЛ,ПЛ_РЯДОК,0),0)),"")="",IFERROR(INDEX(БАЗА_ЦІНИ,3,IFERROR(MATCH(ЕТАЛОН_ПЛ,ПЛ_РЯДОК,0),0)),"")=0),"",BQ14/IFERROR(INDEX(БАЗА_ЦІНИ,3,IFERROR(MATCH(ЕТАЛОН_ПЛ,ПЛ_РЯДОК,0),0)),"")-1)</f>
        <v/>
      </c>
      <c r="BS45" s="70" t="str">
        <f aca="false">IF(OR(BS14="",ЕТАЛОН_ПЛ="",IFERROR(INDEX(БАЗА_ЦІНИ,3,IFERROR(MATCH(ЕТАЛОН_ПЛ,ПЛ_РЯДОК,0),0)),"")=""),"",BS14-IFERROR(INDEX(БАЗА_ЦІНИ,3,IFERROR(MATCH(ЕТАЛОН_ПЛ,ПЛ_РЯДОК,0),0)),""))</f>
        <v/>
      </c>
      <c r="BT45" s="71" t="str">
        <f aca="false">IF(OR(BS14="",ЕТАЛОН_ПЛ="",IFERROR(INDEX(БАЗА_ЦІНИ,3,IFERROR(MATCH(ЕТАЛОН_ПЛ,ПЛ_РЯДОК,0),0)),"")="",IFERROR(INDEX(БАЗА_ЦІНИ,3,IFERROR(MATCH(ЕТАЛОН_ПЛ,ПЛ_РЯДОК,0),0)),"")=0),"",BS14/IFERROR(INDEX(БАЗА_ЦІНИ,3,IFERROR(MATCH(ЕТАЛОН_ПЛ,ПЛ_РЯДОК,0),0)),"")-1)</f>
        <v/>
      </c>
      <c r="BU45" s="70" t="str">
        <f aca="false">IF(OR(BU14="",ЕТАЛОН_ПЛ="",IFERROR(INDEX(БАЗА_ЦІНИ,3,IFERROR(MATCH(ЕТАЛОН_ПЛ,ПЛ_РЯДОК,0),0)),"")=""),"",BU14-IFERROR(INDEX(БАЗА_ЦІНИ,3,IFERROR(MATCH(ЕТАЛОН_ПЛ,ПЛ_РЯДОК,0),0)),""))</f>
        <v/>
      </c>
      <c r="BV45" s="71" t="str">
        <f aca="false">IF(OR(BU14="",ЕТАЛОН_ПЛ="",IFERROR(INDEX(БАЗА_ЦІНИ,3,IFERROR(MATCH(ЕТАЛОН_ПЛ,ПЛ_РЯДОК,0),0)),"")="",IFERROR(INDEX(БАЗА_ЦІНИ,3,IFERROR(MATCH(ЕТАЛОН_ПЛ,ПЛ_РЯДОК,0),0)),"")=0),"",BU14/IFERROR(INDEX(БАЗА_ЦІНИ,3,IFERROR(MATCH(ЕТАЛОН_ПЛ,ПЛ_РЯДОК,0),0)),"")-1)</f>
        <v/>
      </c>
      <c r="BW45" s="70" t="str">
        <f aca="false">IF(OR(BW14="",ЕТАЛОН_ПЛ="",IFERROR(INDEX(БАЗА_ЦІНИ,3,IFERROR(MATCH(ЕТАЛОН_ПЛ,ПЛ_РЯДОК,0),0)),"")=""),"",BW14-IFERROR(INDEX(БАЗА_ЦІНИ,3,IFERROR(MATCH(ЕТАЛОН_ПЛ,ПЛ_РЯДОК,0),0)),""))</f>
        <v/>
      </c>
      <c r="BX45" s="71" t="str">
        <f aca="false">IF(OR(BW14="",ЕТАЛОН_ПЛ="",IFERROR(INDEX(БАЗА_ЦІНИ,3,IFERROR(MATCH(ЕТАЛОН_ПЛ,ПЛ_РЯДОК,0),0)),"")="",IFERROR(INDEX(БАЗА_ЦІНИ,3,IFERROR(MATCH(ЕТАЛОН_ПЛ,ПЛ_РЯДОК,0),0)),"")=0),"",BW14/IFERROR(INDEX(БАЗА_ЦІНИ,3,IFERROR(MATCH(ЕТАЛОН_ПЛ,ПЛ_РЯДОК,0),0)),"")-1)</f>
        <v/>
      </c>
      <c r="BY45" s="70" t="str">
        <f aca="false">IF(OR(BY14="",ЕТАЛОН_ПЛ="",IFERROR(INDEX(БАЗА_ЦІНИ,3,IFERROR(MATCH(ЕТАЛОН_ПЛ,ПЛ_РЯДОК,0),0)),"")=""),"",BY14-IFERROR(INDEX(БАЗА_ЦІНИ,3,IFERROR(MATCH(ЕТАЛОН_ПЛ,ПЛ_РЯДОК,0),0)),""))</f>
        <v/>
      </c>
      <c r="BZ45" s="71" t="str">
        <f aca="false">IF(OR(BY14="",ЕТАЛОН_ПЛ="",IFERROR(INDEX(БАЗА_ЦІНИ,3,IFERROR(MATCH(ЕТАЛОН_ПЛ,ПЛ_РЯДОК,0),0)),"")="",IFERROR(INDEX(БАЗА_ЦІНИ,3,IFERROR(MATCH(ЕТАЛОН_ПЛ,ПЛ_РЯДОК,0),0)),"")=0),"",BY14/IFERROR(INDEX(БАЗА_ЦІНИ,3,IFERROR(MATCH(ЕТАЛОН_ПЛ,ПЛ_РЯДОК,0),0)),"")-1)</f>
        <v/>
      </c>
      <c r="CA45" s="70" t="str">
        <f aca="false">IF(OR(CA14="",ЕТАЛОН_ПЛ="",IFERROR(INDEX(БАЗА_ЦІНИ,3,IFERROR(MATCH(ЕТАЛОН_ПЛ,ПЛ_РЯДОК,0),0)),"")=""),"",CA14-IFERROR(INDEX(БАЗА_ЦІНИ,3,IFERROR(MATCH(ЕТАЛОН_ПЛ,ПЛ_РЯДОК,0),0)),""))</f>
        <v/>
      </c>
      <c r="CB45" s="71" t="str">
        <f aca="false">IF(OR(CA14="",ЕТАЛОН_ПЛ="",IFERROR(INDEX(БАЗА_ЦІНИ,3,IFERROR(MATCH(ЕТАЛОН_ПЛ,ПЛ_РЯДОК,0),0)),"")="",IFERROR(INDEX(БАЗА_ЦІНИ,3,IFERROR(MATCH(ЕТАЛОН_ПЛ,ПЛ_РЯДОК,0),0)),"")=0),"",CA14/IFERROR(INDEX(БАЗА_ЦІНИ,3,IFERROR(MATCH(ЕТАЛОН_ПЛ,ПЛ_РЯДОК,0),0)),"")-1)</f>
        <v/>
      </c>
      <c r="CC45" s="70" t="str">
        <f aca="false">IF(OR(CC14="",ЕТАЛОН_ПЛ="",IFERROR(INDEX(БАЗА_ЦІНИ,3,IFERROR(MATCH(ЕТАЛОН_ПЛ,ПЛ_РЯДОК,0),0)),"")=""),"",CC14-IFERROR(INDEX(БАЗА_ЦІНИ,3,IFERROR(MATCH(ЕТАЛОН_ПЛ,ПЛ_РЯДОК,0),0)),""))</f>
        <v/>
      </c>
      <c r="CD45" s="71" t="str">
        <f aca="false">IF(OR(CC14="",ЕТАЛОН_ПЛ="",IFERROR(INDEX(БАЗА_ЦІНИ,3,IFERROR(MATCH(ЕТАЛОН_ПЛ,ПЛ_РЯДОК,0),0)),"")="",IFERROR(INDEX(БАЗА_ЦІНИ,3,IFERROR(MATCH(ЕТАЛОН_ПЛ,ПЛ_РЯДОК,0),0)),"")=0),"",CC14/IFERROR(INDEX(БАЗА_ЦІНИ,3,IFERROR(MATCH(ЕТАЛОН_ПЛ,ПЛ_РЯДОК,0),0)),"")-1)</f>
        <v/>
      </c>
      <c r="CE45" s="70" t="str">
        <f aca="false">IF(OR(CE14="",ЕТАЛОН_ПЛ="",IFERROR(INDEX(БАЗА_ЦІНИ,3,IFERROR(MATCH(ЕТАЛОН_ПЛ,ПЛ_РЯДОК,0),0)),"")=""),"",CE14-IFERROR(INDEX(БАЗА_ЦІНИ,3,IFERROR(MATCH(ЕТАЛОН_ПЛ,ПЛ_РЯДОК,0),0)),""))</f>
        <v/>
      </c>
      <c r="CF45" s="71" t="str">
        <f aca="false">IF(OR(CE14="",ЕТАЛОН_ПЛ="",IFERROR(INDEX(БАЗА_ЦІНИ,3,IFERROR(MATCH(ЕТАЛОН_ПЛ,ПЛ_РЯДОК,0),0)),"")="",IFERROR(INDEX(БАЗА_ЦІНИ,3,IFERROR(MATCH(ЕТАЛОН_ПЛ,ПЛ_РЯДОК,0),0)),"")=0),"",CE14/IFERROR(INDEX(БАЗА_ЦІНИ,3,IFERROR(MATCH(ЕТАЛОН_ПЛ,ПЛ_РЯДОК,0),0)),"")-1)</f>
        <v/>
      </c>
      <c r="CG45" s="70" t="str">
        <f aca="false">IF(OR(CG14="",ЕТАЛОН_ПЛ="",IFERROR(INDEX(БАЗА_ЦІНИ,3,IFERROR(MATCH(ЕТАЛОН_ПЛ,ПЛ_РЯДОК,0),0)),"")=""),"",CG14-IFERROR(INDEX(БАЗА_ЦІНИ,3,IFERROR(MATCH(ЕТАЛОН_ПЛ,ПЛ_РЯДОК,0),0)),""))</f>
        <v/>
      </c>
      <c r="CH45" s="71" t="str">
        <f aca="false">IF(OR(CG14="",ЕТАЛОН_ПЛ="",IFERROR(INDEX(БАЗА_ЦІНИ,3,IFERROR(MATCH(ЕТАЛОН_ПЛ,ПЛ_РЯДОК,0),0)),"")="",IFERROR(INDEX(БАЗА_ЦІНИ,3,IFERROR(MATCH(ЕТАЛОН_ПЛ,ПЛ_РЯДОК,0),0)),"")=0),"",CG14/IFERROR(INDEX(БАЗА_ЦІНИ,3,IFERROR(MATCH(ЕТАЛОН_ПЛ,ПЛ_РЯДОК,0),0)),"")-1)</f>
        <v/>
      </c>
      <c r="CI45" s="70" t="str">
        <f aca="false">IF(OR(CI14="",ЕТАЛОН_ПЛ="",IFERROR(INDEX(БАЗА_ЦІНИ,3,IFERROR(MATCH(ЕТАЛОН_ПЛ,ПЛ_РЯДОК,0),0)),"")=""),"",CI14-IFERROR(INDEX(БАЗА_ЦІНИ,3,IFERROR(MATCH(ЕТАЛОН_ПЛ,ПЛ_РЯДОК,0),0)),""))</f>
        <v/>
      </c>
      <c r="CJ45" s="71" t="str">
        <f aca="false">IF(OR(CI14="",ЕТАЛОН_ПЛ="",IFERROR(INDEX(БАЗА_ЦІНИ,3,IFERROR(MATCH(ЕТАЛОН_ПЛ,ПЛ_РЯДОК,0),0)),"")="",IFERROR(INDEX(БАЗА_ЦІНИ,3,IFERROR(MATCH(ЕТАЛОН_ПЛ,ПЛ_РЯДОК,0),0)),"")=0),"",CI14/IFERROR(INDEX(БАЗА_ЦІНИ,3,IFERROR(MATCH(ЕТАЛОН_ПЛ,ПЛ_РЯДОК,0),0)),"")-1)</f>
        <v/>
      </c>
      <c r="CK45" s="70" t="str">
        <f aca="false">IF(OR(CK14="",ЕТАЛОН_ПЛ="",IFERROR(INDEX(БАЗА_ЦІНИ,3,IFERROR(MATCH(ЕТАЛОН_ПЛ,ПЛ_РЯДОК,0),0)),"")=""),"",CK14-IFERROR(INDEX(БАЗА_ЦІНИ,3,IFERROR(MATCH(ЕТАЛОН_ПЛ,ПЛ_РЯДОК,0),0)),""))</f>
        <v/>
      </c>
      <c r="CL45" s="71" t="str">
        <f aca="false">IF(OR(CK14="",ЕТАЛОН_ПЛ="",IFERROR(INDEX(БАЗА_ЦІНИ,3,IFERROR(MATCH(ЕТАЛОН_ПЛ,ПЛ_РЯДОК,0),0)),"")="",IFERROR(INDEX(БАЗА_ЦІНИ,3,IFERROR(MATCH(ЕТАЛОН_ПЛ,ПЛ_РЯДОК,0),0)),"")=0),"",CK14/IFERROR(INDEX(БАЗА_ЦІНИ,3,IFERROR(MATCH(ЕТАЛОН_ПЛ,ПЛ_РЯДОК,0),0)),"")-1)</f>
        <v/>
      </c>
      <c r="CM45" s="70" t="str">
        <f aca="false">IF(OR(CM14="",ЕТАЛОН_ПЛ="",IFERROR(INDEX(БАЗА_ЦІНИ,3,IFERROR(MATCH(ЕТАЛОН_ПЛ,ПЛ_РЯДОК,0),0)),"")=""),"",CM14-IFERROR(INDEX(БАЗА_ЦІНИ,3,IFERROR(MATCH(ЕТАЛОН_ПЛ,ПЛ_РЯДОК,0),0)),""))</f>
        <v/>
      </c>
      <c r="CN45" s="71" t="str">
        <f aca="false">IF(OR(CM14="",ЕТАЛОН_ПЛ="",IFERROR(INDEX(БАЗА_ЦІНИ,3,IFERROR(MATCH(ЕТАЛОН_ПЛ,ПЛ_РЯДОК,0),0)),"")="",IFERROR(INDEX(БАЗА_ЦІНИ,3,IFERROR(MATCH(ЕТАЛОН_ПЛ,ПЛ_РЯДОК,0),0)),"")=0),"",CM14/IFERROR(INDEX(БАЗА_ЦІНИ,3,IFERROR(MATCH(ЕТАЛОН_ПЛ,ПЛ_РЯДОК,0),0)),"")-1)</f>
        <v/>
      </c>
      <c r="CO45" s="70" t="str">
        <f aca="false">IF(OR(CO14="",ЕТАЛОН_ПЛ="",IFERROR(INDEX(БАЗА_ЦІНИ,3,IFERROR(MATCH(ЕТАЛОН_ПЛ,ПЛ_РЯДОК,0),0)),"")=""),"",CO14-IFERROR(INDEX(БАЗА_ЦІНИ,3,IFERROR(MATCH(ЕТАЛОН_ПЛ,ПЛ_РЯДОК,0),0)),""))</f>
        <v/>
      </c>
      <c r="CP45" s="71" t="str">
        <f aca="false">IF(OR(CO14="",ЕТАЛОН_ПЛ="",IFERROR(INDEX(БАЗА_ЦІНИ,3,IFERROR(MATCH(ЕТАЛОН_ПЛ,ПЛ_РЯДОК,0),0)),"")="",IFERROR(INDEX(БАЗА_ЦІНИ,3,IFERROR(MATCH(ЕТАЛОН_ПЛ,ПЛ_РЯДОК,0),0)),"")=0),"",CO14/IFERROR(INDEX(БАЗА_ЦІНИ,3,IFERROR(MATCH(ЕТАЛОН_ПЛ,ПЛ_РЯДОК,0),0)),"")-1)</f>
        <v/>
      </c>
      <c r="CQ45" s="70" t="str">
        <f aca="false">IF(OR(CQ14="",ЕТАЛОН_ПЛ="",IFERROR(INDEX(БАЗА_ЦІНИ,3,IFERROR(MATCH(ЕТАЛОН_ПЛ,ПЛ_РЯДОК,0),0)),"")=""),"",CQ14-IFERROR(INDEX(БАЗА_ЦІНИ,3,IFERROR(MATCH(ЕТАЛОН_ПЛ,ПЛ_РЯДОК,0),0)),""))</f>
        <v/>
      </c>
      <c r="CR45" s="71" t="str">
        <f aca="false">IF(OR(CQ14="",ЕТАЛОН_ПЛ="",IFERROR(INDEX(БАЗА_ЦІНИ,3,IFERROR(MATCH(ЕТАЛОН_ПЛ,ПЛ_РЯДОК,0),0)),"")="",IFERROR(INDEX(БАЗА_ЦІНИ,3,IFERROR(MATCH(ЕТАЛОН_ПЛ,ПЛ_РЯДОК,0),0)),"")=0),"",CQ14/IFERROR(INDEX(БАЗА_ЦІНИ,3,IFERROR(MATCH(ЕТАЛОН_ПЛ,ПЛ_РЯДОК,0),0)),"")-1)</f>
        <v/>
      </c>
      <c r="CS45" s="70" t="str">
        <f aca="false">IF(OR(CS14="",ЕТАЛОН_ПЛ="",IFERROR(INDEX(БАЗА_ЦІНИ,3,IFERROR(MATCH(ЕТАЛОН_ПЛ,ПЛ_РЯДОК,0),0)),"")=""),"",CS14-IFERROR(INDEX(БАЗА_ЦІНИ,3,IFERROR(MATCH(ЕТАЛОН_ПЛ,ПЛ_РЯДОК,0),0)),""))</f>
        <v/>
      </c>
      <c r="CT45" s="71" t="str">
        <f aca="false">IF(OR(CS14="",ЕТАЛОН_ПЛ="",IFERROR(INDEX(БАЗА_ЦІНИ,3,IFERROR(MATCH(ЕТАЛОН_ПЛ,ПЛ_РЯДОК,0),0)),"")="",IFERROR(INDEX(БАЗА_ЦІНИ,3,IFERROR(MATCH(ЕТАЛОН_ПЛ,ПЛ_РЯДОК,0),0)),"")=0),"",CS14/IFERROR(INDEX(БАЗА_ЦІНИ,3,IFERROR(MATCH(ЕТАЛОН_ПЛ,ПЛ_РЯДОК,0),0)),"")-1)</f>
        <v/>
      </c>
      <c r="CU45" s="70" t="str">
        <f aca="false">IF(OR(CU14="",ЕТАЛОН_ПЛ="",IFERROR(INDEX(БАЗА_ЦІНИ,3,IFERROR(MATCH(ЕТАЛОН_ПЛ,ПЛ_РЯДОК,0),0)),"")=""),"",CU14-IFERROR(INDEX(БАЗА_ЦІНИ,3,IFERROR(MATCH(ЕТАЛОН_ПЛ,ПЛ_РЯДОК,0),0)),""))</f>
        <v/>
      </c>
      <c r="CV45" s="71" t="str">
        <f aca="false">IF(OR(CU14="",ЕТАЛОН_ПЛ="",IFERROR(INDEX(БАЗА_ЦІНИ,3,IFERROR(MATCH(ЕТАЛОН_ПЛ,ПЛ_РЯДОК,0),0)),"")="",IFERROR(INDEX(БАЗА_ЦІНИ,3,IFERROR(MATCH(ЕТАЛОН_ПЛ,ПЛ_РЯДОК,0),0)),"")=0),"",CU14/IFERROR(INDEX(БАЗА_ЦІНИ,3,IFERROR(MATCH(ЕТАЛОН_ПЛ,ПЛ_РЯДОК,0),0)),"")-1)</f>
        <v/>
      </c>
      <c r="CW45" s="70" t="str">
        <f aca="false">IF(OR(CW14="",ЕТАЛОН_ПЛ="",IFERROR(INDEX(БАЗА_ЦІНИ,3,IFERROR(MATCH(ЕТАЛОН_ПЛ,ПЛ_РЯДОК,0),0)),"")=""),"",CW14-IFERROR(INDEX(БАЗА_ЦІНИ,3,IFERROR(MATCH(ЕТАЛОН_ПЛ,ПЛ_РЯДОК,0),0)),""))</f>
        <v/>
      </c>
      <c r="CX45" s="71" t="str">
        <f aca="false">IF(OR(CW14="",ЕТАЛОН_ПЛ="",IFERROR(INDEX(БАЗА_ЦІНИ,3,IFERROR(MATCH(ЕТАЛОН_ПЛ,ПЛ_РЯДОК,0),0)),"")="",IFERROR(INDEX(БАЗА_ЦІНИ,3,IFERROR(MATCH(ЕТАЛОН_ПЛ,ПЛ_РЯДОК,0),0)),"")=0),"",CW14/IFERROR(INDEX(БАЗА_ЦІНИ,3,IFERROR(MATCH(ЕТАЛОН_ПЛ,ПЛ_РЯДОК,0),0)),"")-1)</f>
        <v/>
      </c>
      <c r="CY45" s="70" t="str">
        <f aca="false">IF(OR(CY14="",ЕТАЛОН_ПЛ="",IFERROR(INDEX(БАЗА_ЦІНИ,3,IFERROR(MATCH(ЕТАЛОН_ПЛ,ПЛ_РЯДОК,0),0)),"")=""),"",CY14-IFERROR(INDEX(БАЗА_ЦІНИ,3,IFERROR(MATCH(ЕТАЛОН_ПЛ,ПЛ_РЯДОК,0),0)),""))</f>
        <v/>
      </c>
      <c r="CZ45" s="71" t="str">
        <f aca="false">IF(OR(CY14="",ЕТАЛОН_ПЛ="",IFERROR(INDEX(БАЗА_ЦІНИ,3,IFERROR(MATCH(ЕТАЛОН_ПЛ,ПЛ_РЯДОК,0),0)),"")="",IFERROR(INDEX(БАЗА_ЦІНИ,3,IFERROR(MATCH(ЕТАЛОН_ПЛ,ПЛ_РЯДОК,0),0)),"")=0),"",CY14/IFERROR(INDEX(БАЗА_ЦІНИ,3,IFERROR(MATCH(ЕТАЛОН_ПЛ,ПЛ_РЯДОК,0),0)),"")-1)</f>
        <v/>
      </c>
      <c r="DA45" s="70" t="str">
        <f aca="false">IF(OR(DA14="",ЕТАЛОН_ПЛ="",IFERROR(INDEX(БАЗА_ЦІНИ,3,IFERROR(MATCH(ЕТАЛОН_ПЛ,ПЛ_РЯДОК,0),0)),"")=""),"",DA14-IFERROR(INDEX(БАЗА_ЦІНИ,3,IFERROR(MATCH(ЕТАЛОН_ПЛ,ПЛ_РЯДОК,0),0)),""))</f>
        <v/>
      </c>
      <c r="DB45" s="71" t="str">
        <f aca="false">IF(OR(DA14="",ЕТАЛОН_ПЛ="",IFERROR(INDEX(БАЗА_ЦІНИ,3,IFERROR(MATCH(ЕТАЛОН_ПЛ,ПЛ_РЯДОК,0),0)),"")="",IFERROR(INDEX(БАЗА_ЦІНИ,3,IFERROR(MATCH(ЕТАЛОН_ПЛ,ПЛ_РЯДОК,0),0)),"")=0),"",DA14/IFERROR(INDEX(БАЗА_ЦІНИ,3,IFERROR(MATCH(ЕТАЛОН_ПЛ,ПЛ_РЯДОК,0),0)),"")-1)</f>
        <v/>
      </c>
      <c r="DC45" s="70" t="str">
        <f aca="false">IF(OR(DC14="",ЕТАЛОН_ПЛ="",IFERROR(INDEX(БАЗА_ЦІНИ,3,IFERROR(MATCH(ЕТАЛОН_ПЛ,ПЛ_РЯДОК,0),0)),"")=""),"",DC14-IFERROR(INDEX(БАЗА_ЦІНИ,3,IFERROR(MATCH(ЕТАЛОН_ПЛ,ПЛ_РЯДОК,0),0)),""))</f>
        <v/>
      </c>
      <c r="DD45" s="71" t="str">
        <f aca="false">IF(OR(DC14="",ЕТАЛОН_ПЛ="",IFERROR(INDEX(БАЗА_ЦІНИ,3,IFERROR(MATCH(ЕТАЛОН_ПЛ,ПЛ_РЯДОК,0),0)),"")="",IFERROR(INDEX(БАЗА_ЦІНИ,3,IFERROR(MATCH(ЕТАЛОН_ПЛ,ПЛ_РЯДОК,0),0)),"")=0),"",DC14/IFERROR(INDEX(БАЗА_ЦІНИ,3,IFERROR(MATCH(ЕТАЛОН_ПЛ,ПЛ_РЯДОК,0),0)),"")-1)</f>
        <v/>
      </c>
      <c r="DE45" s="70" t="str">
        <f aca="false">IF(OR(DE14="",ЕТАЛОН_ПЛ="",IFERROR(INDEX(БАЗА_ЦІНИ,3,IFERROR(MATCH(ЕТАЛОН_ПЛ,ПЛ_РЯДОК,0),0)),"")=""),"",DE14-IFERROR(INDEX(БАЗА_ЦІНИ,3,IFERROR(MATCH(ЕТАЛОН_ПЛ,ПЛ_РЯДОК,0),0)),""))</f>
        <v/>
      </c>
      <c r="DF45" s="71" t="str">
        <f aca="false">IF(OR(DE14="",ЕТАЛОН_ПЛ="",IFERROR(INDEX(БАЗА_ЦІНИ,3,IFERROR(MATCH(ЕТАЛОН_ПЛ,ПЛ_РЯДОК,0),0)),"")="",IFERROR(INDEX(БАЗА_ЦІНИ,3,IFERROR(MATCH(ЕТАЛОН_ПЛ,ПЛ_РЯДОК,0),0)),"")=0),"",DE14/IFERROR(INDEX(БАЗА_ЦІНИ,3,IFERROR(MATCH(ЕТАЛОН_ПЛ,ПЛ_РЯДОК,0),0)),"")-1)</f>
        <v/>
      </c>
      <c r="DG45" s="70" t="str">
        <f aca="false">IF(OR(DG14="",ЕТАЛОН_ПЛ="",IFERROR(INDEX(БАЗА_ЦІНИ,3,IFERROR(MATCH(ЕТАЛОН_ПЛ,ПЛ_РЯДОК,0),0)),"")=""),"",DG14-IFERROR(INDEX(БАЗА_ЦІНИ,3,IFERROR(MATCH(ЕТАЛОН_ПЛ,ПЛ_РЯДОК,0),0)),""))</f>
        <v/>
      </c>
      <c r="DH45" s="71" t="str">
        <f aca="false">IF(OR(DG14="",ЕТАЛОН_ПЛ="",IFERROR(INDEX(БАЗА_ЦІНИ,3,IFERROR(MATCH(ЕТАЛОН_ПЛ,ПЛ_РЯДОК,0),0)),"")="",IFERROR(INDEX(БАЗА_ЦІНИ,3,IFERROR(MATCH(ЕТАЛОН_ПЛ,ПЛ_РЯДОК,0),0)),"")=0),"",DG14/IFERROR(INDEX(БАЗА_ЦІНИ,3,IFERROR(MATCH(ЕТАЛОН_ПЛ,ПЛ_РЯДОК,0),0)),"")-1)</f>
        <v/>
      </c>
      <c r="DI45" s="70" t="str">
        <f aca="false">IF(OR(DI14="",ЕТАЛОН_ПЛ="",IFERROR(INDEX(БАЗА_ЦІНИ,3,IFERROR(MATCH(ЕТАЛОН_ПЛ,ПЛ_РЯДОК,0),0)),"")=""),"",DI14-IFERROR(INDEX(БАЗА_ЦІНИ,3,IFERROR(MATCH(ЕТАЛОН_ПЛ,ПЛ_РЯДОК,0),0)),""))</f>
        <v/>
      </c>
      <c r="DJ45" s="71" t="str">
        <f aca="false">IF(OR(DI14="",ЕТАЛОН_ПЛ="",IFERROR(INDEX(БАЗА_ЦІНИ,3,IFERROR(MATCH(ЕТАЛОН_ПЛ,ПЛ_РЯДОК,0),0)),"")="",IFERROR(INDEX(БАЗА_ЦІНИ,3,IFERROR(MATCH(ЕТАЛОН_ПЛ,ПЛ_РЯДОК,0),0)),"")=0),"",DI14/IFERROR(INDEX(БАЗА_ЦІНИ,3,IFERROR(MATCH(ЕТАЛОН_ПЛ,ПЛ_РЯДОК,0),0)),"")-1)</f>
        <v/>
      </c>
      <c r="DK45" s="70" t="str">
        <f aca="false">IF(OR(DK14="",ЕТАЛОН_ПЛ="",IFERROR(INDEX(БАЗА_ЦІНИ,3,IFERROR(MATCH(ЕТАЛОН_ПЛ,ПЛ_РЯДОК,0),0)),"")=""),"",DK14-IFERROR(INDEX(БАЗА_ЦІНИ,3,IFERROR(MATCH(ЕТАЛОН_ПЛ,ПЛ_РЯДОК,0),0)),""))</f>
        <v/>
      </c>
      <c r="DL45" s="71" t="str">
        <f aca="false">IF(OR(DK14="",ЕТАЛОН_ПЛ="",IFERROR(INDEX(БАЗА_ЦІНИ,3,IFERROR(MATCH(ЕТАЛОН_ПЛ,ПЛ_РЯДОК,0),0)),"")="",IFERROR(INDEX(БАЗА_ЦІНИ,3,IFERROR(MATCH(ЕТАЛОН_ПЛ,ПЛ_РЯДОК,0),0)),"")=0),"",DK14/IFERROR(INDEX(БАЗА_ЦІНИ,3,IFERROR(MATCH(ЕТАЛОН_ПЛ,ПЛ_РЯДОК,0),0)),"")-1)</f>
        <v/>
      </c>
      <c r="DM45" s="70" t="str">
        <f aca="false">IF(OR(DM14="",ЕТАЛОН_ПЛ="",IFERROR(INDEX(БАЗА_ЦІНИ,3,IFERROR(MATCH(ЕТАЛОН_ПЛ,ПЛ_РЯДОК,0),0)),"")=""),"",DM14-IFERROR(INDEX(БАЗА_ЦІНИ,3,IFERROR(MATCH(ЕТАЛОН_ПЛ,ПЛ_РЯДОК,0),0)),""))</f>
        <v/>
      </c>
      <c r="DN45" s="71" t="str">
        <f aca="false">IF(OR(DM14="",ЕТАЛОН_ПЛ="",IFERROR(INDEX(БАЗА_ЦІНИ,3,IFERROR(MATCH(ЕТАЛОН_ПЛ,ПЛ_РЯДОК,0),0)),"")="",IFERROR(INDEX(БАЗА_ЦІНИ,3,IFERROR(MATCH(ЕТАЛОН_ПЛ,ПЛ_РЯДОК,0),0)),"")=0),"",DM14/IFERROR(INDEX(БАЗА_ЦІНИ,3,IFERROR(MATCH(ЕТАЛОН_ПЛ,ПЛ_РЯДОК,0),0)),"")-1)</f>
        <v/>
      </c>
      <c r="DO45" s="70" t="str">
        <f aca="false">IF(OR(DO14="",ЕТАЛОН_ПЛ="",IFERROR(INDEX(БАЗА_ЦІНИ,3,IFERROR(MATCH(ЕТАЛОН_ПЛ,ПЛ_РЯДОК,0),0)),"")=""),"",DO14-IFERROR(INDEX(БАЗА_ЦІНИ,3,IFERROR(MATCH(ЕТАЛОН_ПЛ,ПЛ_РЯДОК,0),0)),""))</f>
        <v/>
      </c>
      <c r="DP45" s="71" t="str">
        <f aca="false">IF(OR(DO14="",ЕТАЛОН_ПЛ="",IFERROR(INDEX(БАЗА_ЦІНИ,3,IFERROR(MATCH(ЕТАЛОН_ПЛ,ПЛ_РЯДОК,0),0)),"")="",IFERROR(INDEX(БАЗА_ЦІНИ,3,IFERROR(MATCH(ЕТАЛОН_ПЛ,ПЛ_РЯДОК,0),0)),"")=0),"",DO14/IFERROR(INDEX(БАЗА_ЦІНИ,3,IFERROR(MATCH(ЕТАЛОН_ПЛ,ПЛ_РЯДОК,0),0)),"")-1)</f>
        <v/>
      </c>
      <c r="DQ45" s="70" t="str">
        <f aca="false">IF(OR(DQ14="",ЕТАЛОН_ПЛ="",IFERROR(INDEX(БАЗА_ЦІНИ,3,IFERROR(MATCH(ЕТАЛОН_ПЛ,ПЛ_РЯДОК,0),0)),"")=""),"",DQ14-IFERROR(INDEX(БАЗА_ЦІНИ,3,IFERROR(MATCH(ЕТАЛОН_ПЛ,ПЛ_РЯДОК,0),0)),""))</f>
        <v/>
      </c>
      <c r="DR45" s="71" t="str">
        <f aca="false">IF(OR(DQ14="",ЕТАЛОН_ПЛ="",IFERROR(INDEX(БАЗА_ЦІНИ,3,IFERROR(MATCH(ЕТАЛОН_ПЛ,ПЛ_РЯДОК,0),0)),"")="",IFERROR(INDEX(БАЗА_ЦІНИ,3,IFERROR(MATCH(ЕТАЛОН_ПЛ,ПЛ_РЯДОК,0),0)),"")=0),"",DQ14/IFERROR(INDEX(БАЗА_ЦІНИ,3,IFERROR(MATCH(ЕТАЛОН_ПЛ,ПЛ_РЯДОК,0),0)),"")-1)</f>
        <v/>
      </c>
      <c r="DS45" s="70" t="str">
        <f aca="false">IF(OR(DS14="",ЕТАЛОН_ПЛ="",IFERROR(INDEX(БАЗА_ЦІНИ,3,IFERROR(MATCH(ЕТАЛОН_ПЛ,ПЛ_РЯДОК,0),0)),"")=""),"",DS14-IFERROR(INDEX(БАЗА_ЦІНИ,3,IFERROR(MATCH(ЕТАЛОН_ПЛ,ПЛ_РЯДОК,0),0)),""))</f>
        <v/>
      </c>
      <c r="DT45" s="71" t="str">
        <f aca="false">IF(OR(DS14="",ЕТАЛОН_ПЛ="",IFERROR(INDEX(БАЗА_ЦІНИ,3,IFERROR(MATCH(ЕТАЛОН_ПЛ,ПЛ_РЯДОК,0),0)),"")="",IFERROR(INDEX(БАЗА_ЦІНИ,3,IFERROR(MATCH(ЕТАЛОН_ПЛ,ПЛ_РЯДОК,0),0)),"")=0),"",DS14/IFERROR(INDEX(БАЗА_ЦІНИ,3,IFERROR(MATCH(ЕТАЛОН_ПЛ,ПЛ_РЯДОК,0),0)),"")-1)</f>
        <v/>
      </c>
      <c r="DU45" s="70" t="str">
        <f aca="false">IF(OR(DU14="",ЕТАЛОН_ПЛ="",IFERROR(INDEX(БАЗА_ЦІНИ,3,IFERROR(MATCH(ЕТАЛОН_ПЛ,ПЛ_РЯДОК,0),0)),"")=""),"",DU14-IFERROR(INDEX(БАЗА_ЦІНИ,3,IFERROR(MATCH(ЕТАЛОН_ПЛ,ПЛ_РЯДОК,0),0)),""))</f>
        <v/>
      </c>
      <c r="DV45" s="71" t="str">
        <f aca="false">IF(OR(DU14="",ЕТАЛОН_ПЛ="",IFERROR(INDEX(БАЗА_ЦІНИ,3,IFERROR(MATCH(ЕТАЛОН_ПЛ,ПЛ_РЯДОК,0),0)),"")="",IFERROR(INDEX(БАЗА_ЦІНИ,3,IFERROR(MATCH(ЕТАЛОН_ПЛ,ПЛ_РЯДОК,0),0)),"")=0),"",DU14/IFERROR(INDEX(БАЗА_ЦІНИ,3,IFERROR(MATCH(ЕТАЛОН_ПЛ,ПЛ_РЯДОК,0),0)),"")-1)</f>
        <v/>
      </c>
      <c r="DW45" s="70" t="str">
        <f aca="false">IF(OR(DW14="",ЕТАЛОН_ПЛ="",IFERROR(INDEX(БАЗА_ЦІНИ,3,IFERROR(MATCH(ЕТАЛОН_ПЛ,ПЛ_РЯДОК,0),0)),"")=""),"",DW14-IFERROR(INDEX(БАЗА_ЦІНИ,3,IFERROR(MATCH(ЕТАЛОН_ПЛ,ПЛ_РЯДОК,0),0)),""))</f>
        <v/>
      </c>
      <c r="DX45" s="71" t="str">
        <f aca="false">IF(OR(DW14="",ЕТАЛОН_ПЛ="",IFERROR(INDEX(БАЗА_ЦІНИ,3,IFERROR(MATCH(ЕТАЛОН_ПЛ,ПЛ_РЯДОК,0),0)),"")="",IFERROR(INDEX(БАЗА_ЦІНИ,3,IFERROR(MATCH(ЕТАЛОН_ПЛ,ПЛ_РЯДОК,0),0)),"")=0),"",DW14/IFERROR(INDEX(БАЗА_ЦІНИ,3,IFERROR(MATCH(ЕТАЛОН_ПЛ,ПЛ_РЯДОК,0),0)),"")-1)</f>
        <v/>
      </c>
      <c r="DY45" s="70" t="str">
        <f aca="false">IF(OR(DY14="",ЕТАЛОН_ПЛ="",IFERROR(INDEX(БАЗА_ЦІНИ,3,IFERROR(MATCH(ЕТАЛОН_ПЛ,ПЛ_РЯДОК,0),0)),"")=""),"",DY14-IFERROR(INDEX(БАЗА_ЦІНИ,3,IFERROR(MATCH(ЕТАЛОН_ПЛ,ПЛ_РЯДОК,0),0)),""))</f>
        <v/>
      </c>
      <c r="DZ45" s="71" t="str">
        <f aca="false">IF(OR(DY14="",ЕТАЛОН_ПЛ="",IFERROR(INDEX(БАЗА_ЦІНИ,3,IFERROR(MATCH(ЕТАЛОН_ПЛ,ПЛ_РЯДОК,0),0)),"")="",IFERROR(INDEX(БАЗА_ЦІНИ,3,IFERROR(MATCH(ЕТАЛОН_ПЛ,ПЛ_РЯДОК,0),0)),"")=0),"",DY14/IFERROR(INDEX(БАЗА_ЦІНИ,3,IFERROR(MATCH(ЕТАЛОН_ПЛ,ПЛ_РЯДОК,0),0)),"")-1)</f>
        <v/>
      </c>
      <c r="EA45" s="70" t="str">
        <f aca="false">IF(OR(EA14="",ЕТАЛОН_ПЛ="",IFERROR(INDEX(БАЗА_ЦІНИ,3,IFERROR(MATCH(ЕТАЛОН_ПЛ,ПЛ_РЯДОК,0),0)),"")=""),"",EA14-IFERROR(INDEX(БАЗА_ЦІНИ,3,IFERROR(MATCH(ЕТАЛОН_ПЛ,ПЛ_РЯДОК,0),0)),""))</f>
        <v/>
      </c>
      <c r="EB45" s="71" t="str">
        <f aca="false">IF(OR(EA14="",ЕТАЛОН_ПЛ="",IFERROR(INDEX(БАЗА_ЦІНИ,3,IFERROR(MATCH(ЕТАЛОН_ПЛ,ПЛ_РЯДОК,0),0)),"")="",IFERROR(INDEX(БАЗА_ЦІНИ,3,IFERROR(MATCH(ЕТАЛОН_ПЛ,ПЛ_РЯДОК,0),0)),"")=0),"",EA14/IFERROR(INDEX(БАЗА_ЦІНИ,3,IFERROR(MATCH(ЕТАЛОН_ПЛ,ПЛ_РЯДОК,0),0)),"")-1)</f>
        <v/>
      </c>
      <c r="EC45" s="70" t="str">
        <f aca="false">IF(OR(EC14="",ЕТАЛОН_ПЛ="",IFERROR(INDEX(БАЗА_ЦІНИ,3,IFERROR(MATCH(ЕТАЛОН_ПЛ,ПЛ_РЯДОК,0),0)),"")=""),"",EC14-IFERROR(INDEX(БАЗА_ЦІНИ,3,IFERROR(MATCH(ЕТАЛОН_ПЛ,ПЛ_РЯДОК,0),0)),""))</f>
        <v/>
      </c>
      <c r="ED45" s="71" t="str">
        <f aca="false">IF(OR(EC14="",ЕТАЛОН_ПЛ="",IFERROR(INDEX(БАЗА_ЦІНИ,3,IFERROR(MATCH(ЕТАЛОН_ПЛ,ПЛ_РЯДОК,0),0)),"")="",IFERROR(INDEX(БАЗА_ЦІНИ,3,IFERROR(MATCH(ЕТАЛОН_ПЛ,ПЛ_РЯДОК,0),0)),"")=0),"",EC14/IFERROR(INDEX(БАЗА_ЦІНИ,3,IFERROR(MATCH(ЕТАЛОН_ПЛ,ПЛ_РЯДОК,0),0)),"")-1)</f>
        <v/>
      </c>
      <c r="EE45" s="70" t="str">
        <f aca="false">IF(OR(EE14="",ЕТАЛОН_ПЛ="",IFERROR(INDEX(БАЗА_ЦІНИ,3,IFERROR(MATCH(ЕТАЛОН_ПЛ,ПЛ_РЯДОК,0),0)),"")=""),"",EE14-IFERROR(INDEX(БАЗА_ЦІНИ,3,IFERROR(MATCH(ЕТАЛОН_ПЛ,ПЛ_РЯДОК,0),0)),""))</f>
        <v/>
      </c>
      <c r="EF45" s="71" t="str">
        <f aca="false">IF(OR(EE14="",ЕТАЛОН_ПЛ="",IFERROR(INDEX(БАЗА_ЦІНИ,3,IFERROR(MATCH(ЕТАЛОН_ПЛ,ПЛ_РЯДОК,0),0)),"")="",IFERROR(INDEX(БАЗА_ЦІНИ,3,IFERROR(MATCH(ЕТАЛОН_ПЛ,ПЛ_РЯДОК,0),0)),"")=0),"",EE14/IFERROR(INDEX(БАЗА_ЦІНИ,3,IFERROR(MATCH(ЕТАЛОН_ПЛ,ПЛ_РЯДОК,0),0)),"")-1)</f>
        <v/>
      </c>
      <c r="EG45" s="70" t="str">
        <f aca="false">IF(OR(EG14="",ЕТАЛОН_ПЛ="",IFERROR(INDEX(БАЗА_ЦІНИ,3,IFERROR(MATCH(ЕТАЛОН_ПЛ,ПЛ_РЯДОК,0),0)),"")=""),"",EG14-IFERROR(INDEX(БАЗА_ЦІНИ,3,IFERROR(MATCH(ЕТАЛОН_ПЛ,ПЛ_РЯДОК,0),0)),""))</f>
        <v/>
      </c>
      <c r="EH45" s="71" t="str">
        <f aca="false">IF(OR(EG14="",ЕТАЛОН_ПЛ="",IFERROR(INDEX(БАЗА_ЦІНИ,3,IFERROR(MATCH(ЕТАЛОН_ПЛ,ПЛ_РЯДОК,0),0)),"")="",IFERROR(INDEX(БАЗА_ЦІНИ,3,IFERROR(MATCH(ЕТАЛОН_ПЛ,ПЛ_РЯДОК,0),0)),"")=0),"",EG14/IFERROR(INDEX(БАЗА_ЦІНИ,3,IFERROR(MATCH(ЕТАЛОН_ПЛ,ПЛ_РЯДОК,0),0)),"")-1)</f>
        <v/>
      </c>
      <c r="EI45" s="70" t="str">
        <f aca="false">IF(OR(EI14="",ЕТАЛОН_ПЛ="",IFERROR(INDEX(БАЗА_ЦІНИ,3,IFERROR(MATCH(ЕТАЛОН_ПЛ,ПЛ_РЯДОК,0),0)),"")=""),"",EI14-IFERROR(INDEX(БАЗА_ЦІНИ,3,IFERROR(MATCH(ЕТАЛОН_ПЛ,ПЛ_РЯДОК,0),0)),""))</f>
        <v/>
      </c>
      <c r="EJ45" s="71" t="str">
        <f aca="false">IF(OR(EI14="",ЕТАЛОН_ПЛ="",IFERROR(INDEX(БАЗА_ЦІНИ,3,IFERROR(MATCH(ЕТАЛОН_ПЛ,ПЛ_РЯДОК,0),0)),"")="",IFERROR(INDEX(БАЗА_ЦІНИ,3,IFERROR(MATCH(ЕТАЛОН_ПЛ,ПЛ_РЯДОК,0),0)),"")=0),"",EI14/IFERROR(INDEX(БАЗА_ЦІНИ,3,IFERROR(MATCH(ЕТАЛОН_ПЛ,ПЛ_РЯДОК,0),0)),"")-1)</f>
        <v/>
      </c>
      <c r="EK45" s="70" t="str">
        <f aca="false">IF(OR(EK14="",ЕТАЛОН_ПЛ="",IFERROR(INDEX(БАЗА_ЦІНИ,3,IFERROR(MATCH(ЕТАЛОН_ПЛ,ПЛ_РЯДОК,0),0)),"")=""),"",EK14-IFERROR(INDEX(БАЗА_ЦІНИ,3,IFERROR(MATCH(ЕТАЛОН_ПЛ,ПЛ_РЯДОК,0),0)),""))</f>
        <v/>
      </c>
      <c r="EL45" s="71" t="str">
        <f aca="false">IF(OR(EK14="",ЕТАЛОН_ПЛ="",IFERROR(INDEX(БАЗА_ЦІНИ,3,IFERROR(MATCH(ЕТАЛОН_ПЛ,ПЛ_РЯДОК,0),0)),"")="",IFERROR(INDEX(БАЗА_ЦІНИ,3,IFERROR(MATCH(ЕТАЛОН_ПЛ,ПЛ_РЯДОК,0),0)),"")=0),"",EK14/IFERROR(INDEX(БАЗА_ЦІНИ,3,IFERROR(MATCH(ЕТАЛОН_ПЛ,ПЛ_РЯДОК,0),0)),"")-1)</f>
        <v/>
      </c>
      <c r="EM45" s="70" t="str">
        <f aca="false">IF(OR(EM14="",ЕТАЛОН_ПЛ="",IFERROR(INDEX(БАЗА_ЦІНИ,3,IFERROR(MATCH(ЕТАЛОН_ПЛ,ПЛ_РЯДОК,0),0)),"")=""),"",EM14-IFERROR(INDEX(БАЗА_ЦІНИ,3,IFERROR(MATCH(ЕТАЛОН_ПЛ,ПЛ_РЯДОК,0),0)),""))</f>
        <v/>
      </c>
      <c r="EN45" s="71" t="str">
        <f aca="false">IF(OR(EM14="",ЕТАЛОН_ПЛ="",IFERROR(INDEX(БАЗА_ЦІНИ,3,IFERROR(MATCH(ЕТАЛОН_ПЛ,ПЛ_РЯДОК,0),0)),"")="",IFERROR(INDEX(БАЗА_ЦІНИ,3,IFERROR(MATCH(ЕТАЛОН_ПЛ,ПЛ_РЯДОК,0),0)),"")=0),"",EM14/IFERROR(INDEX(БАЗА_ЦІНИ,3,IFERROR(MATCH(ЕТАЛОН_ПЛ,ПЛ_РЯДОК,0),0)),"")-1)</f>
        <v/>
      </c>
      <c r="EO45" s="70" t="str">
        <f aca="false">IF(OR(EO14="",ЕТАЛОН_ПЛ="",IFERROR(INDEX(БАЗА_ЦІНИ,3,IFERROR(MATCH(ЕТАЛОН_ПЛ,ПЛ_РЯДОК,0),0)),"")=""),"",EO14-IFERROR(INDEX(БАЗА_ЦІНИ,3,IFERROR(MATCH(ЕТАЛОН_ПЛ,ПЛ_РЯДОК,0),0)),""))</f>
        <v/>
      </c>
      <c r="EP45" s="71" t="str">
        <f aca="false">IF(OR(EO14="",ЕТАЛОН_ПЛ="",IFERROR(INDEX(БАЗА_ЦІНИ,3,IFERROR(MATCH(ЕТАЛОН_ПЛ,ПЛ_РЯДОК,0),0)),"")="",IFERROR(INDEX(БАЗА_ЦІНИ,3,IFERROR(MATCH(ЕТАЛОН_ПЛ,ПЛ_РЯДОК,0),0)),"")=0),"",EO14/IFERROR(INDEX(БАЗА_ЦІНИ,3,IFERROR(MATCH(ЕТАЛОН_ПЛ,ПЛ_РЯДОК,0),0)),"")-1)</f>
        <v/>
      </c>
      <c r="EQ45" s="70" t="str">
        <f aca="false">IF(OR(EQ14="",ЕТАЛОН_ПЛ="",IFERROR(INDEX(БАЗА_ЦІНИ,3,IFERROR(MATCH(ЕТАЛОН_ПЛ,ПЛ_РЯДОК,0),0)),"")=""),"",EQ14-IFERROR(INDEX(БАЗА_ЦІНИ,3,IFERROR(MATCH(ЕТАЛОН_ПЛ,ПЛ_РЯДОК,0),0)),""))</f>
        <v/>
      </c>
      <c r="ER45" s="71" t="str">
        <f aca="false">IF(OR(EQ14="",ЕТАЛОН_ПЛ="",IFERROR(INDEX(БАЗА_ЦІНИ,3,IFERROR(MATCH(ЕТАЛОН_ПЛ,ПЛ_РЯДОК,0),0)),"")="",IFERROR(INDEX(БАЗА_ЦІНИ,3,IFERROR(MATCH(ЕТАЛОН_ПЛ,ПЛ_РЯДОК,0),0)),"")=0),"",EQ14/IFERROR(INDEX(БАЗА_ЦІНИ,3,IFERROR(MATCH(ЕТАЛОН_ПЛ,ПЛ_РЯДОК,0),0)),"")-1)</f>
        <v/>
      </c>
      <c r="ES45" s="70" t="str">
        <f aca="false">IF(OR(ES14="",ЕТАЛОН_ПЛ="",IFERROR(INDEX(БАЗА_ЦІНИ,3,IFERROR(MATCH(ЕТАЛОН_ПЛ,ПЛ_РЯДОК,0),0)),"")=""),"",ES14-IFERROR(INDEX(БАЗА_ЦІНИ,3,IFERROR(MATCH(ЕТАЛОН_ПЛ,ПЛ_РЯДОК,0),0)),""))</f>
        <v/>
      </c>
      <c r="ET45" s="71" t="str">
        <f aca="false">IF(OR(ES14="",ЕТАЛОН_ПЛ="",IFERROR(INDEX(БАЗА_ЦІНИ,3,IFERROR(MATCH(ЕТАЛОН_ПЛ,ПЛ_РЯДОК,0),0)),"")="",IFERROR(INDEX(БАЗА_ЦІНИ,3,IFERROR(MATCH(ЕТАЛОН_ПЛ,ПЛ_РЯДОК,0),0)),"")=0),"",ES14/IFERROR(INDEX(БАЗА_ЦІНИ,3,IFERROR(MATCH(ЕТАЛОН_ПЛ,ПЛ_РЯДОК,0),0)),"")-1)</f>
        <v/>
      </c>
      <c r="EU45" s="70" t="str">
        <f aca="false">IF(OR(EU14="",ЕТАЛОН_ПЛ="",IFERROR(INDEX(БАЗА_ЦІНИ,3,IFERROR(MATCH(ЕТАЛОН_ПЛ,ПЛ_РЯДОК,0),0)),"")=""),"",EU14-IFERROR(INDEX(БАЗА_ЦІНИ,3,IFERROR(MATCH(ЕТАЛОН_ПЛ,ПЛ_РЯДОК,0),0)),""))</f>
        <v/>
      </c>
      <c r="EV45" s="71" t="str">
        <f aca="false">IF(OR(EU14="",ЕТАЛОН_ПЛ="",IFERROR(INDEX(БАЗА_ЦІНИ,3,IFERROR(MATCH(ЕТАЛОН_ПЛ,ПЛ_РЯДОК,0),0)),"")="",IFERROR(INDEX(БАЗА_ЦІНИ,3,IFERROR(MATCH(ЕТАЛОН_ПЛ,ПЛ_РЯДОК,0),0)),"")=0),"",EU14/IFERROR(INDEX(БАЗА_ЦІНИ,3,IFERROR(MATCH(ЕТАЛОН_ПЛ,ПЛ_РЯДОК,0),0)),"")-1)</f>
        <v/>
      </c>
      <c r="EW45" s="70" t="str">
        <f aca="false">IF(OR(EW14="",ЕТАЛОН_ПЛ="",IFERROR(INDEX(БАЗА_ЦІНИ,3,IFERROR(MATCH(ЕТАЛОН_ПЛ,ПЛ_РЯДОК,0),0)),"")=""),"",EW14-IFERROR(INDEX(БАЗА_ЦІНИ,3,IFERROR(MATCH(ЕТАЛОН_ПЛ,ПЛ_РЯДОК,0),0)),""))</f>
        <v/>
      </c>
      <c r="EX45" s="71" t="str">
        <f aca="false">IF(OR(EW14="",ЕТАЛОН_ПЛ="",IFERROR(INDEX(БАЗА_ЦІНИ,3,IFERROR(MATCH(ЕТАЛОН_ПЛ,ПЛ_РЯДОК,0),0)),"")="",IFERROR(INDEX(БАЗА_ЦІНИ,3,IFERROR(MATCH(ЕТАЛОН_ПЛ,ПЛ_РЯДОК,0),0)),"")=0),"",EW14/IFERROR(INDEX(БАЗА_ЦІНИ,3,IFERROR(MATCH(ЕТАЛОН_ПЛ,ПЛ_РЯДОК,0),0)),"")-1)</f>
        <v/>
      </c>
      <c r="EY45" s="70" t="str">
        <f aca="false">IF(OR(EY14="",ЕТАЛОН_ПЛ="",IFERROR(INDEX(БАЗА_ЦІНИ,3,IFERROR(MATCH(ЕТАЛОН_ПЛ,ПЛ_РЯДОК,0),0)),"")=""),"",EY14-IFERROR(INDEX(БАЗА_ЦІНИ,3,IFERROR(MATCH(ЕТАЛОН_ПЛ,ПЛ_РЯДОК,0),0)),""))</f>
        <v/>
      </c>
      <c r="EZ45" s="71" t="str">
        <f aca="false">IF(OR(EY14="",ЕТАЛОН_ПЛ="",IFERROR(INDEX(БАЗА_ЦІНИ,3,IFERROR(MATCH(ЕТАЛОН_ПЛ,ПЛ_РЯДОК,0),0)),"")="",IFERROR(INDEX(БАЗА_ЦІНИ,3,IFERROR(MATCH(ЕТАЛОН_ПЛ,ПЛ_РЯДОК,0),0)),"")=0),"",EY14/IFERROR(INDEX(БАЗА_ЦІНИ,3,IFERROR(MATCH(ЕТАЛОН_ПЛ,ПЛ_РЯДОК,0),0)),"")-1)</f>
        <v/>
      </c>
      <c r="FA45" s="70" t="str">
        <f aca="false">IF(OR(FA14="",ЕТАЛОН_ПЛ="",IFERROR(INDEX(БАЗА_ЦІНИ,3,IFERROR(MATCH(ЕТАЛОН_ПЛ,ПЛ_РЯДОК,0),0)),"")=""),"",FA14-IFERROR(INDEX(БАЗА_ЦІНИ,3,IFERROR(MATCH(ЕТАЛОН_ПЛ,ПЛ_РЯДОК,0),0)),""))</f>
        <v/>
      </c>
      <c r="FB45" s="71" t="str">
        <f aca="false">IF(OR(FA14="",ЕТАЛОН_ПЛ="",IFERROR(INDEX(БАЗА_ЦІНИ,3,IFERROR(MATCH(ЕТАЛОН_ПЛ,ПЛ_РЯДОК,0),0)),"")="",IFERROR(INDEX(БАЗА_ЦІНИ,3,IFERROR(MATCH(ЕТАЛОН_ПЛ,ПЛ_РЯДОК,0),0)),"")=0),"",FA14/IFERROR(INDEX(БАЗА_ЦІНИ,3,IFERROR(MATCH(ЕТАЛОН_ПЛ,ПЛ_РЯДОК,0),0)),"")-1)</f>
        <v/>
      </c>
      <c r="FC45" s="70" t="str">
        <f aca="false">IF(OR(FC14="",ЕТАЛОН_ПЛ="",IFERROR(INDEX(БАЗА_ЦІНИ,3,IFERROR(MATCH(ЕТАЛОН_ПЛ,ПЛ_РЯДОК,0),0)),"")=""),"",FC14-IFERROR(INDEX(БАЗА_ЦІНИ,3,IFERROR(MATCH(ЕТАЛОН_ПЛ,ПЛ_РЯДОК,0),0)),""))</f>
        <v/>
      </c>
      <c r="FD45" s="71" t="str">
        <f aca="false">IF(OR(FC14="",ЕТАЛОН_ПЛ="",IFERROR(INDEX(БАЗА_ЦІНИ,3,IFERROR(MATCH(ЕТАЛОН_ПЛ,ПЛ_РЯДОК,0),0)),"")="",IFERROR(INDEX(БАЗА_ЦІНИ,3,IFERROR(MATCH(ЕТАЛОН_ПЛ,ПЛ_РЯДОК,0),0)),"")=0),"",FC14/IFERROR(INDEX(БАЗА_ЦІНИ,3,IFERROR(MATCH(ЕТАЛОН_ПЛ,ПЛ_РЯДОК,0),0)),"")-1)</f>
        <v/>
      </c>
      <c r="FE45" s="70" t="str">
        <f aca="false">IF(OR(FE14="",ЕТАЛОН_ПЛ="",IFERROR(INDEX(БАЗА_ЦІНИ,3,IFERROR(MATCH(ЕТАЛОН_ПЛ,ПЛ_РЯДОК,0),0)),"")=""),"",FE14-IFERROR(INDEX(БАЗА_ЦІНИ,3,IFERROR(MATCH(ЕТАЛОН_ПЛ,ПЛ_РЯДОК,0),0)),""))</f>
        <v/>
      </c>
      <c r="FF45" s="71" t="str">
        <f aca="false">IF(OR(FE14="",ЕТАЛОН_ПЛ="",IFERROR(INDEX(БАЗА_ЦІНИ,3,IFERROR(MATCH(ЕТАЛОН_ПЛ,ПЛ_РЯДОК,0),0)),"")="",IFERROR(INDEX(БАЗА_ЦІНИ,3,IFERROR(MATCH(ЕТАЛОН_ПЛ,ПЛ_РЯДОК,0),0)),"")=0),"",FE14/IFERROR(INDEX(БАЗА_ЦІНИ,3,IFERROR(MATCH(ЕТАЛОН_ПЛ,ПЛ_РЯДОК,0),0)),"")-1)</f>
        <v/>
      </c>
      <c r="FG45" s="70" t="str">
        <f aca="false">IF(OR(FG14="",ЕТАЛОН_ПЛ="",IFERROR(INDEX(БАЗА_ЦІНИ,3,IFERROR(MATCH(ЕТАЛОН_ПЛ,ПЛ_РЯДОК,0),0)),"")=""),"",FG14-IFERROR(INDEX(БАЗА_ЦІНИ,3,IFERROR(MATCH(ЕТАЛОН_ПЛ,ПЛ_РЯДОК,0),0)),""))</f>
        <v/>
      </c>
      <c r="FH45" s="71" t="str">
        <f aca="false">IF(OR(FG14="",ЕТАЛОН_ПЛ="",IFERROR(INDEX(БАЗА_ЦІНИ,3,IFERROR(MATCH(ЕТАЛОН_ПЛ,ПЛ_РЯДОК,0),0)),"")="",IFERROR(INDEX(БАЗА_ЦІНИ,3,IFERROR(MATCH(ЕТАЛОН_ПЛ,ПЛ_РЯДОК,0),0)),"")=0),"",FG14/IFERROR(INDEX(БАЗА_ЦІНИ,3,IFERROR(MATCH(ЕТАЛОН_ПЛ,ПЛ_РЯДОК,0),0)),"")-1)</f>
        <v/>
      </c>
      <c r="FI45" s="70" t="str">
        <f aca="false">IF(OR(FI14="",ЕТАЛОН_ПЛ="",IFERROR(INDEX(БАЗА_ЦІНИ,3,IFERROR(MATCH(ЕТАЛОН_ПЛ,ПЛ_РЯДОК,0),0)),"")=""),"",FI14-IFERROR(INDEX(БАЗА_ЦІНИ,3,IFERROR(MATCH(ЕТАЛОН_ПЛ,ПЛ_РЯДОК,0),0)),""))</f>
        <v/>
      </c>
      <c r="FJ45" s="71" t="str">
        <f aca="false">IF(OR(FI14="",ЕТАЛОН_ПЛ="",IFERROR(INDEX(БАЗА_ЦІНИ,3,IFERROR(MATCH(ЕТАЛОН_ПЛ,ПЛ_РЯДОК,0),0)),"")="",IFERROR(INDEX(БАЗА_ЦІНИ,3,IFERROR(MATCH(ЕТАЛОН_ПЛ,ПЛ_РЯДОК,0),0)),"")=0),"",FI14/IFERROR(INDEX(БАЗА_ЦІНИ,3,IFERROR(MATCH(ЕТАЛОН_ПЛ,ПЛ_РЯДОК,0),0)),"")-1)</f>
        <v/>
      </c>
      <c r="FK45" s="70" t="str">
        <f aca="false">IF(OR(FK14="",ЕТАЛОН_ПЛ="",IFERROR(INDEX(БАЗА_ЦІНИ,3,IFERROR(MATCH(ЕТАЛОН_ПЛ,ПЛ_РЯДОК,0),0)),"")=""),"",FK14-IFERROR(INDEX(БАЗА_ЦІНИ,3,IFERROR(MATCH(ЕТАЛОН_ПЛ,ПЛ_РЯДОК,0),0)),""))</f>
        <v/>
      </c>
      <c r="FL45" s="71" t="str">
        <f aca="false">IF(OR(FK14="",ЕТАЛОН_ПЛ="",IFERROR(INDEX(БАЗА_ЦІНИ,3,IFERROR(MATCH(ЕТАЛОН_ПЛ,ПЛ_РЯДОК,0),0)),"")="",IFERROR(INDEX(БАЗА_ЦІНИ,3,IFERROR(MATCH(ЕТАЛОН_ПЛ,ПЛ_РЯДОК,0),0)),"")=0),"",FK14/IFERROR(INDEX(БАЗА_ЦІНИ,3,IFERROR(MATCH(ЕТАЛОН_ПЛ,ПЛ_РЯДОК,0),0)),"")-1)</f>
        <v/>
      </c>
      <c r="FM45" s="70" t="str">
        <f aca="false">IF(OR(FM14="",ЕТАЛОН_ПЛ="",IFERROR(INDEX(БАЗА_ЦІНИ,3,IFERROR(MATCH(ЕТАЛОН_ПЛ,ПЛ_РЯДОК,0),0)),"")=""),"",FM14-IFERROR(INDEX(БАЗА_ЦІНИ,3,IFERROR(MATCH(ЕТАЛОН_ПЛ,ПЛ_РЯДОК,0),0)),""))</f>
        <v/>
      </c>
      <c r="FN45" s="71" t="str">
        <f aca="false">IF(OR(FM14="",ЕТАЛОН_ПЛ="",IFERROR(INDEX(БАЗА_ЦІНИ,3,IFERROR(MATCH(ЕТАЛОН_ПЛ,ПЛ_РЯДОК,0),0)),"")="",IFERROR(INDEX(БАЗА_ЦІНИ,3,IFERROR(MATCH(ЕТАЛОН_ПЛ,ПЛ_РЯДОК,0),0)),"")=0),"",FM14/IFERROR(INDEX(БАЗА_ЦІНИ,3,IFERROR(MATCH(ЕТАЛОН_ПЛ,ПЛ_РЯДОК,0),0)),"")-1)</f>
        <v/>
      </c>
      <c r="FO45" s="70" t="str">
        <f aca="false">IF(OR(FO14="",ЕТАЛОН_ПЛ="",IFERROR(INDEX(БАЗА_ЦІНИ,3,IFERROR(MATCH(ЕТАЛОН_ПЛ,ПЛ_РЯДОК,0),0)),"")=""),"",FO14-IFERROR(INDEX(БАЗА_ЦІНИ,3,IFERROR(MATCH(ЕТАЛОН_ПЛ,ПЛ_РЯДОК,0),0)),""))</f>
        <v/>
      </c>
      <c r="FP45" s="71" t="str">
        <f aca="false">IF(OR(FO14="",ЕТАЛОН_ПЛ="",IFERROR(INDEX(БАЗА_ЦІНИ,3,IFERROR(MATCH(ЕТАЛОН_ПЛ,ПЛ_РЯДОК,0),0)),"")="",IFERROR(INDEX(БАЗА_ЦІНИ,3,IFERROR(MATCH(ЕТАЛОН_ПЛ,ПЛ_РЯДОК,0),0)),"")=0),"",FO14/IFERROR(INDEX(БАЗА_ЦІНИ,3,IFERROR(MATCH(ЕТАЛОН_ПЛ,ПЛ_РЯДОК,0),0)),"")-1)</f>
        <v/>
      </c>
      <c r="FQ45" s="70" t="str">
        <f aca="false">IF(OR(FQ14="",ЕТАЛОН_ПЛ="",IFERROR(INDEX(БАЗА_ЦІНИ,3,IFERROR(MATCH(ЕТАЛОН_ПЛ,ПЛ_РЯДОК,0),0)),"")=""),"",FQ14-IFERROR(INDEX(БАЗА_ЦІНИ,3,IFERROR(MATCH(ЕТАЛОН_ПЛ,ПЛ_РЯДОК,0),0)),""))</f>
        <v/>
      </c>
      <c r="FR45" s="71" t="str">
        <f aca="false">IF(OR(FQ14="",ЕТАЛОН_ПЛ="",IFERROR(INDEX(БАЗА_ЦІНИ,3,IFERROR(MATCH(ЕТАЛОН_ПЛ,ПЛ_РЯДОК,0),0)),"")="",IFERROR(INDEX(БАЗА_ЦІНИ,3,IFERROR(MATCH(ЕТАЛОН_ПЛ,ПЛ_РЯДОК,0),0)),"")=0),"",FQ14/IFERROR(INDEX(БАЗА_ЦІНИ,3,IFERROR(MATCH(ЕТАЛОН_ПЛ,ПЛ_РЯДОК,0),0)),"")-1)</f>
        <v/>
      </c>
      <c r="FS45" s="70" t="str">
        <f aca="false">IF(OR(FS14="",ЕТАЛОН_ПЛ="",IFERROR(INDEX(БАЗА_ЦІНИ,3,IFERROR(MATCH(ЕТАЛОН_ПЛ,ПЛ_РЯДОК,0),0)),"")=""),"",FS14-IFERROR(INDEX(БАЗА_ЦІНИ,3,IFERROR(MATCH(ЕТАЛОН_ПЛ,ПЛ_РЯДОК,0),0)),""))</f>
        <v/>
      </c>
      <c r="FT45" s="71" t="str">
        <f aca="false">IF(OR(FS14="",ЕТАЛОН_ПЛ="",IFERROR(INDEX(БАЗА_ЦІНИ,3,IFERROR(MATCH(ЕТАЛОН_ПЛ,ПЛ_РЯДОК,0),0)),"")="",IFERROR(INDEX(БАЗА_ЦІНИ,3,IFERROR(MATCH(ЕТАЛОН_ПЛ,ПЛ_РЯДОК,0),0)),"")=0),"",FS14/IFERROR(INDEX(БАЗА_ЦІНИ,3,IFERROR(MATCH(ЕТАЛОН_ПЛ,ПЛ_РЯДОК,0),0)),"")-1)</f>
        <v/>
      </c>
      <c r="FU45" s="70" t="str">
        <f aca="false">IF(OR(FU14="",ЕТАЛОН_ПЛ="",IFERROR(INDEX(БАЗА_ЦІНИ,3,IFERROR(MATCH(ЕТАЛОН_ПЛ,ПЛ_РЯДОК,0),0)),"")=""),"",FU14-IFERROR(INDEX(БАЗА_ЦІНИ,3,IFERROR(MATCH(ЕТАЛОН_ПЛ,ПЛ_РЯДОК,0),0)),""))</f>
        <v/>
      </c>
      <c r="FV45" s="71" t="str">
        <f aca="false">IF(OR(FU14="",ЕТАЛОН_ПЛ="",IFERROR(INDEX(БАЗА_ЦІНИ,3,IFERROR(MATCH(ЕТАЛОН_ПЛ,ПЛ_РЯДОК,0),0)),"")="",IFERROR(INDEX(БАЗА_ЦІНИ,3,IFERROR(MATCH(ЕТАЛОН_ПЛ,ПЛ_РЯДОК,0),0)),"")=0),"",FU14/IFERROR(INDEX(БАЗА_ЦІНИ,3,IFERROR(MATCH(ЕТАЛОН_ПЛ,ПЛ_РЯДОК,0),0)),"")-1)</f>
        <v/>
      </c>
      <c r="FW45" s="70" t="str">
        <f aca="false">IF(OR(FW14="",ЕТАЛОН_ПЛ="",IFERROR(INDEX(БАЗА_ЦІНИ,3,IFERROR(MATCH(ЕТАЛОН_ПЛ,ПЛ_РЯДОК,0),0)),"")=""),"",FW14-IFERROR(INDEX(БАЗА_ЦІНИ,3,IFERROR(MATCH(ЕТАЛОН_ПЛ,ПЛ_РЯДОК,0),0)),""))</f>
        <v/>
      </c>
      <c r="FX45" s="71" t="str">
        <f aca="false">IF(OR(FW14="",ЕТАЛОН_ПЛ="",IFERROR(INDEX(БАЗА_ЦІНИ,3,IFERROR(MATCH(ЕТАЛОН_ПЛ,ПЛ_РЯДОК,0),0)),"")="",IFERROR(INDEX(БАЗА_ЦІНИ,3,IFERROR(MATCH(ЕТАЛОН_ПЛ,ПЛ_РЯДОК,0),0)),"")=0),"",FW14/IFERROR(INDEX(БАЗА_ЦІНИ,3,IFERROR(MATCH(ЕТАЛОН_ПЛ,ПЛ_РЯДОК,0),0)),"")-1)</f>
        <v/>
      </c>
      <c r="FY45" s="70" t="str">
        <f aca="false">IF(OR(FY14="",ЕТАЛОН_ПЛ="",IFERROR(INDEX(БАЗА_ЦІНИ,3,IFERROR(MATCH(ЕТАЛОН_ПЛ,ПЛ_РЯДОК,0),0)),"")=""),"",FY14-IFERROR(INDEX(БАЗА_ЦІНИ,3,IFERROR(MATCH(ЕТАЛОН_ПЛ,ПЛ_РЯДОК,0),0)),""))</f>
        <v/>
      </c>
      <c r="FZ45" s="71" t="str">
        <f aca="false">IF(OR(FY14="",ЕТАЛОН_ПЛ="",IFERROR(INDEX(БАЗА_ЦІНИ,3,IFERROR(MATCH(ЕТАЛОН_ПЛ,ПЛ_РЯДОК,0),0)),"")="",IFERROR(INDEX(БАЗА_ЦІНИ,3,IFERROR(MATCH(ЕТАЛОН_ПЛ,ПЛ_РЯДОК,0),0)),"")=0),"",FY14/IFERROR(INDEX(БАЗА_ЦІНИ,3,IFERROR(MATCH(ЕТАЛОН_ПЛ,ПЛ_РЯДОК,0),0)),"")-1)</f>
        <v/>
      </c>
      <c r="GA45" s="70" t="str">
        <f aca="false">IF(OR(GA14="",ЕТАЛОН_ПЛ="",IFERROR(INDEX(БАЗА_ЦІНИ,3,IFERROR(MATCH(ЕТАЛОН_ПЛ,ПЛ_РЯДОК,0),0)),"")=""),"",GA14-IFERROR(INDEX(БАЗА_ЦІНИ,3,IFERROR(MATCH(ЕТАЛОН_ПЛ,ПЛ_РЯДОК,0),0)),""))</f>
        <v/>
      </c>
      <c r="GB45" s="71" t="str">
        <f aca="false">IF(OR(GA14="",ЕТАЛОН_ПЛ="",IFERROR(INDEX(БАЗА_ЦІНИ,3,IFERROR(MATCH(ЕТАЛОН_ПЛ,ПЛ_РЯДОК,0),0)),"")="",IFERROR(INDEX(БАЗА_ЦІНИ,3,IFERROR(MATCH(ЕТАЛОН_ПЛ,ПЛ_РЯДОК,0),0)),"")=0),"",GA14/IFERROR(INDEX(БАЗА_ЦІНИ,3,IFERROR(MATCH(ЕТАЛОН_ПЛ,ПЛ_РЯДОК,0),0)),"")-1)</f>
        <v/>
      </c>
      <c r="GC45" s="70" t="str">
        <f aca="false">IF(OR(GC14="",ЕТАЛОН_ПЛ="",IFERROR(INDEX(БАЗА_ЦІНИ,3,IFERROR(MATCH(ЕТАЛОН_ПЛ,ПЛ_РЯДОК,0),0)),"")=""),"",GC14-IFERROR(INDEX(БАЗА_ЦІНИ,3,IFERROR(MATCH(ЕТАЛОН_ПЛ,ПЛ_РЯДОК,0),0)),""))</f>
        <v/>
      </c>
      <c r="GD45" s="71" t="str">
        <f aca="false">IF(OR(GC14="",ЕТАЛОН_ПЛ="",IFERROR(INDEX(БАЗА_ЦІНИ,3,IFERROR(MATCH(ЕТАЛОН_ПЛ,ПЛ_РЯДОК,0),0)),"")="",IFERROR(INDEX(БАЗА_ЦІНИ,3,IFERROR(MATCH(ЕТАЛОН_ПЛ,ПЛ_РЯДОК,0),0)),"")=0),"",GC14/IFERROR(INDEX(БАЗА_ЦІНИ,3,IFERROR(MATCH(ЕТАЛОН_ПЛ,ПЛ_РЯДОК,0),0)),"")-1)</f>
        <v/>
      </c>
      <c r="GE45" s="70" t="str">
        <f aca="false">IF(OR(GE14="",ЕТАЛОН_ПЛ="",IFERROR(INDEX(БАЗА_ЦІНИ,3,IFERROR(MATCH(ЕТАЛОН_ПЛ,ПЛ_РЯДОК,0),0)),"")=""),"",GE14-IFERROR(INDEX(БАЗА_ЦІНИ,3,IFERROR(MATCH(ЕТАЛОН_ПЛ,ПЛ_РЯДОК,0),0)),""))</f>
        <v/>
      </c>
      <c r="GF45" s="71" t="str">
        <f aca="false">IF(OR(GE14="",ЕТАЛОН_ПЛ="",IFERROR(INDEX(БАЗА_ЦІНИ,3,IFERROR(MATCH(ЕТАЛОН_ПЛ,ПЛ_РЯДОК,0),0)),"")="",IFERROR(INDEX(БАЗА_ЦІНИ,3,IFERROR(MATCH(ЕТАЛОН_ПЛ,ПЛ_РЯДОК,0),0)),"")=0),"",GE14/IFERROR(INDEX(БАЗА_ЦІНИ,3,IFERROR(MATCH(ЕТАЛОН_ПЛ,ПЛ_РЯДОК,0),0)),"")-1)</f>
        <v/>
      </c>
      <c r="GG45" s="70" t="str">
        <f aca="false">IF(OR(GG14="",ЕТАЛОН_ПЛ="",IFERROR(INDEX(БАЗА_ЦІНИ,3,IFERROR(MATCH(ЕТАЛОН_ПЛ,ПЛ_РЯДОК,0),0)),"")=""),"",GG14-IFERROR(INDEX(БАЗА_ЦІНИ,3,IFERROR(MATCH(ЕТАЛОН_ПЛ,ПЛ_РЯДОК,0),0)),""))</f>
        <v/>
      </c>
      <c r="GH45" s="71" t="str">
        <f aca="false">IF(OR(GG14="",ЕТАЛОН_ПЛ="",IFERROR(INDEX(БАЗА_ЦІНИ,3,IFERROR(MATCH(ЕТАЛОН_ПЛ,ПЛ_РЯДОК,0),0)),"")="",IFERROR(INDEX(БАЗА_ЦІНИ,3,IFERROR(MATCH(ЕТАЛОН_ПЛ,ПЛ_РЯДОК,0),0)),"")=0),"",GG14/IFERROR(INDEX(БАЗА_ЦІНИ,3,IFERROR(MATCH(ЕТАЛОН_ПЛ,ПЛ_РЯДОК,0),0)),"")-1)</f>
        <v/>
      </c>
      <c r="GI45" s="70" t="str">
        <f aca="false">IF(OR(GI14="",ЕТАЛОН_ПЛ="",IFERROR(INDEX(БАЗА_ЦІНИ,3,IFERROR(MATCH(ЕТАЛОН_ПЛ,ПЛ_РЯДОК,0),0)),"")=""),"",GI14-IFERROR(INDEX(БАЗА_ЦІНИ,3,IFERROR(MATCH(ЕТАЛОН_ПЛ,ПЛ_РЯДОК,0),0)),""))</f>
        <v/>
      </c>
      <c r="GJ45" s="71" t="str">
        <f aca="false">IF(OR(GI14="",ЕТАЛОН_ПЛ="",IFERROR(INDEX(БАЗА_ЦІНИ,3,IFERROR(MATCH(ЕТАЛОН_ПЛ,ПЛ_РЯДОК,0),0)),"")="",IFERROR(INDEX(БАЗА_ЦІНИ,3,IFERROR(MATCH(ЕТАЛОН_ПЛ,ПЛ_РЯДОК,0),0)),"")=0),"",GI14/IFERROR(INDEX(БАЗА_ЦІНИ,3,IFERROR(MATCH(ЕТАЛОН_ПЛ,ПЛ_РЯДОК,0),0)),"")-1)</f>
        <v/>
      </c>
      <c r="GK45" s="70" t="str">
        <f aca="false">IF(OR(GK14="",ЕТАЛОН_ПЛ="",IFERROR(INDEX(БАЗА_ЦІНИ,3,IFERROR(MATCH(ЕТАЛОН_ПЛ,ПЛ_РЯДОК,0),0)),"")=""),"",GK14-IFERROR(INDEX(БАЗА_ЦІНИ,3,IFERROR(MATCH(ЕТАЛОН_ПЛ,ПЛ_РЯДОК,0),0)),""))</f>
        <v/>
      </c>
      <c r="GL45" s="71" t="str">
        <f aca="false">IF(OR(GK14="",ЕТАЛОН_ПЛ="",IFERROR(INDEX(БАЗА_ЦІНИ,3,IFERROR(MATCH(ЕТАЛОН_ПЛ,ПЛ_РЯДОК,0),0)),"")="",IFERROR(INDEX(БАЗА_ЦІНИ,3,IFERROR(MATCH(ЕТАЛОН_ПЛ,ПЛ_РЯДОК,0),0)),"")=0),"",GK14/IFERROR(INDEX(БАЗА_ЦІНИ,3,IFERROR(MATCH(ЕТАЛОН_ПЛ,ПЛ_РЯДОК,0),0)),"")-1)</f>
        <v/>
      </c>
      <c r="GM45" s="70" t="str">
        <f aca="false">IF(OR(GM14="",ЕТАЛОН_ПЛ="",IFERROR(INDEX(БАЗА_ЦІНИ,3,IFERROR(MATCH(ЕТАЛОН_ПЛ,ПЛ_РЯДОК,0),0)),"")=""),"",GM14-IFERROR(INDEX(БАЗА_ЦІНИ,3,IFERROR(MATCH(ЕТАЛОН_ПЛ,ПЛ_РЯДОК,0),0)),""))</f>
        <v/>
      </c>
      <c r="GN45" s="71" t="str">
        <f aca="false">IF(OR(GM14="",ЕТАЛОН_ПЛ="",IFERROR(INDEX(БАЗА_ЦІНИ,3,IFERROR(MATCH(ЕТАЛОН_ПЛ,ПЛ_РЯДОК,0),0)),"")="",IFERROR(INDEX(БАЗА_ЦІНИ,3,IFERROR(MATCH(ЕТАЛОН_ПЛ,ПЛ_РЯДОК,0),0)),"")=0),"",GM14/IFERROR(INDEX(БАЗА_ЦІНИ,3,IFERROR(MATCH(ЕТАЛОН_ПЛ,ПЛ_РЯДОК,0),0)),"")-1)</f>
        <v/>
      </c>
      <c r="GO45" s="70" t="str">
        <f aca="false">IF(OR(GO14="",ЕТАЛОН_ПЛ="",IFERROR(INDEX(БАЗА_ЦІНИ,3,IFERROR(MATCH(ЕТАЛОН_ПЛ,ПЛ_РЯДОК,0),0)),"")=""),"",GO14-IFERROR(INDEX(БАЗА_ЦІНИ,3,IFERROR(MATCH(ЕТАЛОН_ПЛ,ПЛ_РЯДОК,0),0)),""))</f>
        <v/>
      </c>
      <c r="GP45" s="71" t="str">
        <f aca="false">IF(OR(GO14="",ЕТАЛОН_ПЛ="",IFERROR(INDEX(БАЗА_ЦІНИ,3,IFERROR(MATCH(ЕТАЛОН_ПЛ,ПЛ_РЯДОК,0),0)),"")="",IFERROR(INDEX(БАЗА_ЦІНИ,3,IFERROR(MATCH(ЕТАЛОН_ПЛ,ПЛ_РЯДОК,0),0)),"")=0),"",GO14/IFERROR(INDEX(БАЗА_ЦІНИ,3,IFERROR(MATCH(ЕТАЛОН_ПЛ,ПЛ_РЯДОК,0),0)),"")-1)</f>
        <v/>
      </c>
      <c r="GQ45" s="70" t="str">
        <f aca="false">IF(OR(GQ14="",ЕТАЛОН_ПЛ="",IFERROR(INDEX(БАЗА_ЦІНИ,3,IFERROR(MATCH(ЕТАЛОН_ПЛ,ПЛ_РЯДОК,0),0)),"")=""),"",GQ14-IFERROR(INDEX(БАЗА_ЦІНИ,3,IFERROR(MATCH(ЕТАЛОН_ПЛ,ПЛ_РЯДОК,0),0)),""))</f>
        <v/>
      </c>
      <c r="GR45" s="71" t="str">
        <f aca="false">IF(OR(GQ14="",ЕТАЛОН_ПЛ="",IFERROR(INDEX(БАЗА_ЦІНИ,3,IFERROR(MATCH(ЕТАЛОН_ПЛ,ПЛ_РЯДОК,0),0)),"")="",IFERROR(INDEX(БАЗА_ЦІНИ,3,IFERROR(MATCH(ЕТАЛОН_ПЛ,ПЛ_РЯДОК,0),0)),"")=0),"",GQ14/IFERROR(INDEX(БАЗА_ЦІНИ,3,IFERROR(MATCH(ЕТАЛОН_ПЛ,ПЛ_РЯДОК,0),0)),"")-1)</f>
        <v/>
      </c>
      <c r="GS45" s="70" t="str">
        <f aca="false">IF(OR(GS14="",ЕТАЛОН_ПЛ="",IFERROR(INDEX(БАЗА_ЦІНИ,3,IFERROR(MATCH(ЕТАЛОН_ПЛ,ПЛ_РЯДОК,0),0)),"")=""),"",GS14-IFERROR(INDEX(БАЗА_ЦІНИ,3,IFERROR(MATCH(ЕТАЛОН_ПЛ,ПЛ_РЯДОК,0),0)),""))</f>
        <v/>
      </c>
      <c r="GT45" s="71" t="str">
        <f aca="false">IF(OR(GS14="",ЕТАЛОН_ПЛ="",IFERROR(INDEX(БАЗА_ЦІНИ,3,IFERROR(MATCH(ЕТАЛОН_ПЛ,ПЛ_РЯДОК,0),0)),"")="",IFERROR(INDEX(БАЗА_ЦІНИ,3,IFERROR(MATCH(ЕТАЛОН_ПЛ,ПЛ_РЯДОК,0),0)),"")=0),"",GS14/IFERROR(INDEX(БАЗА_ЦІНИ,3,IFERROR(MATCH(ЕТАЛОН_ПЛ,ПЛ_РЯДОК,0),0)),"")-1)</f>
        <v/>
      </c>
      <c r="GU45" s="70" t="str">
        <f aca="false">IF(OR(GU14="",ЕТАЛОН_ПЛ="",IFERROR(INDEX(БАЗА_ЦІНИ,3,IFERROR(MATCH(ЕТАЛОН_ПЛ,ПЛ_РЯДОК,0),0)),"")=""),"",GU14-IFERROR(INDEX(БАЗА_ЦІНИ,3,IFERROR(MATCH(ЕТАЛОН_ПЛ,ПЛ_РЯДОК,0),0)),""))</f>
        <v/>
      </c>
      <c r="GV45" s="71" t="str">
        <f aca="false">IF(OR(GU14="",ЕТАЛОН_ПЛ="",IFERROR(INDEX(БАЗА_ЦІНИ,3,IFERROR(MATCH(ЕТАЛОН_ПЛ,ПЛ_РЯДОК,0),0)),"")="",IFERROR(INDEX(БАЗА_ЦІНИ,3,IFERROR(MATCH(ЕТАЛОН_ПЛ,ПЛ_РЯДОК,0),0)),"")=0),"",GU14/IFERROR(INDEX(БАЗА_ЦІНИ,3,IFERROR(MATCH(ЕТАЛОН_ПЛ,ПЛ_РЯДОК,0),0)),"")-1)</f>
        <v/>
      </c>
      <c r="GW45" s="70" t="str">
        <f aca="false">IF(OR(GW14="",ЕТАЛОН_ПЛ="",IFERROR(INDEX(БАЗА_ЦІНИ,3,IFERROR(MATCH(ЕТАЛОН_ПЛ,ПЛ_РЯДОК,0),0)),"")=""),"",GW14-IFERROR(INDEX(БАЗА_ЦІНИ,3,IFERROR(MATCH(ЕТАЛОН_ПЛ,ПЛ_РЯДОК,0),0)),""))</f>
        <v/>
      </c>
      <c r="GX45" s="71" t="str">
        <f aca="false">IF(OR(GW14="",ЕТАЛОН_ПЛ="",IFERROR(INDEX(БАЗА_ЦІНИ,3,IFERROR(MATCH(ЕТАЛОН_ПЛ,ПЛ_РЯДОК,0),0)),"")="",IFERROR(INDEX(БАЗА_ЦІНИ,3,IFERROR(MATCH(ЕТАЛОН_ПЛ,ПЛ_РЯДОК,0),0)),"")=0),"",GW14/IFERROR(INDEX(БАЗА_ЦІНИ,3,IFERROR(MATCH(ЕТАЛОН_ПЛ,ПЛ_РЯДОК,0),0)),"")-1)</f>
        <v/>
      </c>
      <c r="GY45" s="70" t="str">
        <f aca="false">IF(OR(GY14="",ЕТАЛОН_ПЛ="",IFERROR(INDEX(БАЗА_ЦІНИ,3,IFERROR(MATCH(ЕТАЛОН_ПЛ,ПЛ_РЯДОК,0),0)),"")=""),"",GY14-IFERROR(INDEX(БАЗА_ЦІНИ,3,IFERROR(MATCH(ЕТАЛОН_ПЛ,ПЛ_РЯДОК,0),0)),""))</f>
        <v/>
      </c>
      <c r="GZ45" s="71" t="str">
        <f aca="false">IF(OR(GY14="",ЕТАЛОН_ПЛ="",IFERROR(INDEX(БАЗА_ЦІНИ,3,IFERROR(MATCH(ЕТАЛОН_ПЛ,ПЛ_РЯДОК,0),0)),"")="",IFERROR(INDEX(БАЗА_ЦІНИ,3,IFERROR(MATCH(ЕТАЛОН_ПЛ,ПЛ_РЯДОК,0),0)),"")=0),"",GY14/IFERROR(INDEX(БАЗА_ЦІНИ,3,IFERROR(MATCH(ЕТАЛОН_ПЛ,ПЛ_РЯДОК,0),0)),"")-1)</f>
        <v/>
      </c>
    </row>
    <row r="46" customFormat="false" ht="15" hidden="false" customHeight="false" outlineLevel="0" collapsed="false">
      <c r="A46" s="4"/>
      <c r="B46" s="36"/>
      <c r="C46" s="36"/>
      <c r="D46" s="49"/>
      <c r="E46" s="50"/>
      <c r="H46" s="23" t="str">
        <f aca="false">IF('Довідник категорій'!B8="","",'Довідник категорій'!B8)</f>
        <v/>
      </c>
      <c r="I46" s="70" t="str">
        <f aca="false">IF(OR(I15="",ЕТАЛОН_ПЛ="",IFERROR(INDEX(БАЗА_ЦІНИ,4,IFERROR(MATCH(ЕТАЛОН_ПЛ,ПЛ_РЯДОК,0),0)),"")=""),"",I15-IFERROR(INDEX(БАЗА_ЦІНИ,4,IFERROR(MATCH(ЕТАЛОН_ПЛ,ПЛ_РЯДОК,0),0)),""))</f>
        <v/>
      </c>
      <c r="J46" s="71" t="str">
        <f aca="false">IF(OR(I15="",ЕТАЛОН_ПЛ="",IFERROR(INDEX(БАЗА_ЦІНИ,4,IFERROR(MATCH(ЕТАЛОН_ПЛ,ПЛ_РЯДОК,0),0)),"")="",IFERROR(INDEX(БАЗА_ЦІНИ,4,IFERROR(MATCH(ЕТАЛОН_ПЛ,ПЛ_РЯДОК,0),0)),"")=0),"",I15/IFERROR(INDEX(БАЗА_ЦІНИ,4,IFERROR(MATCH(ЕТАЛОН_ПЛ,ПЛ_РЯДОК,0),0)),"")-1)</f>
        <v/>
      </c>
      <c r="K46" s="70" t="str">
        <f aca="false">IF(OR(K15="",ЕТАЛОН_ПЛ="",IFERROR(INDEX(БАЗА_ЦІНИ,4,IFERROR(MATCH(ЕТАЛОН_ПЛ,ПЛ_РЯДОК,0),0)),"")=""),"",K15-IFERROR(INDEX(БАЗА_ЦІНИ,4,IFERROR(MATCH(ЕТАЛОН_ПЛ,ПЛ_РЯДОК,0),0)),""))</f>
        <v/>
      </c>
      <c r="L46" s="71" t="str">
        <f aca="false">IF(OR(K15="",ЕТАЛОН_ПЛ="",IFERROR(INDEX(БАЗА_ЦІНИ,4,IFERROR(MATCH(ЕТАЛОН_ПЛ,ПЛ_РЯДОК,0),0)),"")="",IFERROR(INDEX(БАЗА_ЦІНИ,4,IFERROR(MATCH(ЕТАЛОН_ПЛ,ПЛ_РЯДОК,0),0)),"")=0),"",K15/IFERROR(INDEX(БАЗА_ЦІНИ,4,IFERROR(MATCH(ЕТАЛОН_ПЛ,ПЛ_РЯДОК,0),0)),"")-1)</f>
        <v/>
      </c>
      <c r="M46" s="70" t="str">
        <f aca="false">IF(OR(M15="",ЕТАЛОН_ПЛ="",IFERROR(INDEX(БАЗА_ЦІНИ,4,IFERROR(MATCH(ЕТАЛОН_ПЛ,ПЛ_РЯДОК,0),0)),"")=""),"",M15-IFERROR(INDEX(БАЗА_ЦІНИ,4,IFERROR(MATCH(ЕТАЛОН_ПЛ,ПЛ_РЯДОК,0),0)),""))</f>
        <v/>
      </c>
      <c r="N46" s="71" t="str">
        <f aca="false">IF(OR(M15="",ЕТАЛОН_ПЛ="",IFERROR(INDEX(БАЗА_ЦІНИ,4,IFERROR(MATCH(ЕТАЛОН_ПЛ,ПЛ_РЯДОК,0),0)),"")="",IFERROR(INDEX(БАЗА_ЦІНИ,4,IFERROR(MATCH(ЕТАЛОН_ПЛ,ПЛ_РЯДОК,0),0)),"")=0),"",M15/IFERROR(INDEX(БАЗА_ЦІНИ,4,IFERROR(MATCH(ЕТАЛОН_ПЛ,ПЛ_РЯДОК,0),0)),"")-1)</f>
        <v/>
      </c>
      <c r="O46" s="70" t="str">
        <f aca="false">IF(OR(O15="",ЕТАЛОН_ПЛ="",IFERROR(INDEX(БАЗА_ЦІНИ,4,IFERROR(MATCH(ЕТАЛОН_ПЛ,ПЛ_РЯДОК,0),0)),"")=""),"",O15-IFERROR(INDEX(БАЗА_ЦІНИ,4,IFERROR(MATCH(ЕТАЛОН_ПЛ,ПЛ_РЯДОК,0),0)),""))</f>
        <v/>
      </c>
      <c r="P46" s="71" t="str">
        <f aca="false">IF(OR(O15="",ЕТАЛОН_ПЛ="",IFERROR(INDEX(БАЗА_ЦІНИ,4,IFERROR(MATCH(ЕТАЛОН_ПЛ,ПЛ_РЯДОК,0),0)),"")="",IFERROR(INDEX(БАЗА_ЦІНИ,4,IFERROR(MATCH(ЕТАЛОН_ПЛ,ПЛ_РЯДОК,0),0)),"")=0),"",O15/IFERROR(INDEX(БАЗА_ЦІНИ,4,IFERROR(MATCH(ЕТАЛОН_ПЛ,ПЛ_РЯДОК,0),0)),"")-1)</f>
        <v/>
      </c>
      <c r="Q46" s="70" t="str">
        <f aca="false">IF(OR(Q15="",ЕТАЛОН_ПЛ="",IFERROR(INDEX(БАЗА_ЦІНИ,4,IFERROR(MATCH(ЕТАЛОН_ПЛ,ПЛ_РЯДОК,0),0)),"")=""),"",Q15-IFERROR(INDEX(БАЗА_ЦІНИ,4,IFERROR(MATCH(ЕТАЛОН_ПЛ,ПЛ_РЯДОК,0),0)),""))</f>
        <v/>
      </c>
      <c r="R46" s="71" t="str">
        <f aca="false">IF(OR(Q15="",ЕТАЛОН_ПЛ="",IFERROR(INDEX(БАЗА_ЦІНИ,4,IFERROR(MATCH(ЕТАЛОН_ПЛ,ПЛ_РЯДОК,0),0)),"")="",IFERROR(INDEX(БАЗА_ЦІНИ,4,IFERROR(MATCH(ЕТАЛОН_ПЛ,ПЛ_РЯДОК,0),0)),"")=0),"",Q15/IFERROR(INDEX(БАЗА_ЦІНИ,4,IFERROR(MATCH(ЕТАЛОН_ПЛ,ПЛ_РЯДОК,0),0)),"")-1)</f>
        <v/>
      </c>
      <c r="S46" s="70" t="str">
        <f aca="false">IF(OR(S15="",ЕТАЛОН_ПЛ="",IFERROR(INDEX(БАЗА_ЦІНИ,4,IFERROR(MATCH(ЕТАЛОН_ПЛ,ПЛ_РЯДОК,0),0)),"")=""),"",S15-IFERROR(INDEX(БАЗА_ЦІНИ,4,IFERROR(MATCH(ЕТАЛОН_ПЛ,ПЛ_РЯДОК,0),0)),""))</f>
        <v/>
      </c>
      <c r="T46" s="71" t="str">
        <f aca="false">IF(OR(S15="",ЕТАЛОН_ПЛ="",IFERROR(INDEX(БАЗА_ЦІНИ,4,IFERROR(MATCH(ЕТАЛОН_ПЛ,ПЛ_РЯДОК,0),0)),"")="",IFERROR(INDEX(БАЗА_ЦІНИ,4,IFERROR(MATCH(ЕТАЛОН_ПЛ,ПЛ_РЯДОК,0),0)),"")=0),"",S15/IFERROR(INDEX(БАЗА_ЦІНИ,4,IFERROR(MATCH(ЕТАЛОН_ПЛ,ПЛ_РЯДОК,0),0)),"")-1)</f>
        <v/>
      </c>
      <c r="U46" s="70" t="str">
        <f aca="false">IF(OR(U15="",ЕТАЛОН_ПЛ="",IFERROR(INDEX(БАЗА_ЦІНИ,4,IFERROR(MATCH(ЕТАЛОН_ПЛ,ПЛ_РЯДОК,0),0)),"")=""),"",U15-IFERROR(INDEX(БАЗА_ЦІНИ,4,IFERROR(MATCH(ЕТАЛОН_ПЛ,ПЛ_РЯДОК,0),0)),""))</f>
        <v/>
      </c>
      <c r="V46" s="71" t="str">
        <f aca="false">IF(OR(U15="",ЕТАЛОН_ПЛ="",IFERROR(INDEX(БАЗА_ЦІНИ,4,IFERROR(MATCH(ЕТАЛОН_ПЛ,ПЛ_РЯДОК,0),0)),"")="",IFERROR(INDEX(БАЗА_ЦІНИ,4,IFERROR(MATCH(ЕТАЛОН_ПЛ,ПЛ_РЯДОК,0),0)),"")=0),"",U15/IFERROR(INDEX(БАЗА_ЦІНИ,4,IFERROR(MATCH(ЕТАЛОН_ПЛ,ПЛ_РЯДОК,0),0)),"")-1)</f>
        <v/>
      </c>
      <c r="W46" s="70" t="str">
        <f aca="false">IF(OR(W15="",ЕТАЛОН_ПЛ="",IFERROR(INDEX(БАЗА_ЦІНИ,4,IFERROR(MATCH(ЕТАЛОН_ПЛ,ПЛ_РЯДОК,0),0)),"")=""),"",W15-IFERROR(INDEX(БАЗА_ЦІНИ,4,IFERROR(MATCH(ЕТАЛОН_ПЛ,ПЛ_РЯДОК,0),0)),""))</f>
        <v/>
      </c>
      <c r="X46" s="71" t="str">
        <f aca="false">IF(OR(W15="",ЕТАЛОН_ПЛ="",IFERROR(INDEX(БАЗА_ЦІНИ,4,IFERROR(MATCH(ЕТАЛОН_ПЛ,ПЛ_РЯДОК,0),0)),"")="",IFERROR(INDEX(БАЗА_ЦІНИ,4,IFERROR(MATCH(ЕТАЛОН_ПЛ,ПЛ_РЯДОК,0),0)),"")=0),"",W15/IFERROR(INDEX(БАЗА_ЦІНИ,4,IFERROR(MATCH(ЕТАЛОН_ПЛ,ПЛ_РЯДОК,0),0)),"")-1)</f>
        <v/>
      </c>
      <c r="Y46" s="70" t="str">
        <f aca="false">IF(OR(Y15="",ЕТАЛОН_ПЛ="",IFERROR(INDEX(БАЗА_ЦІНИ,4,IFERROR(MATCH(ЕТАЛОН_ПЛ,ПЛ_РЯДОК,0),0)),"")=""),"",Y15-IFERROR(INDEX(БАЗА_ЦІНИ,4,IFERROR(MATCH(ЕТАЛОН_ПЛ,ПЛ_РЯДОК,0),0)),""))</f>
        <v/>
      </c>
      <c r="Z46" s="71" t="str">
        <f aca="false">IF(OR(Y15="",ЕТАЛОН_ПЛ="",IFERROR(INDEX(БАЗА_ЦІНИ,4,IFERROR(MATCH(ЕТАЛОН_ПЛ,ПЛ_РЯДОК,0),0)),"")="",IFERROR(INDEX(БАЗА_ЦІНИ,4,IFERROR(MATCH(ЕТАЛОН_ПЛ,ПЛ_РЯДОК,0),0)),"")=0),"",Y15/IFERROR(INDEX(БАЗА_ЦІНИ,4,IFERROR(MATCH(ЕТАЛОН_ПЛ,ПЛ_РЯДОК,0),0)),"")-1)</f>
        <v/>
      </c>
      <c r="AA46" s="70" t="str">
        <f aca="false">IF(OR(AA15="",ЕТАЛОН_ПЛ="",IFERROR(INDEX(БАЗА_ЦІНИ,4,IFERROR(MATCH(ЕТАЛОН_ПЛ,ПЛ_РЯДОК,0),0)),"")=""),"",AA15-IFERROR(INDEX(БАЗА_ЦІНИ,4,IFERROR(MATCH(ЕТАЛОН_ПЛ,ПЛ_РЯДОК,0),0)),""))</f>
        <v/>
      </c>
      <c r="AB46" s="71" t="str">
        <f aca="false">IF(OR(AA15="",ЕТАЛОН_ПЛ="",IFERROR(INDEX(БАЗА_ЦІНИ,4,IFERROR(MATCH(ЕТАЛОН_ПЛ,ПЛ_РЯДОК,0),0)),"")="",IFERROR(INDEX(БАЗА_ЦІНИ,4,IFERROR(MATCH(ЕТАЛОН_ПЛ,ПЛ_РЯДОК,0),0)),"")=0),"",AA15/IFERROR(INDEX(БАЗА_ЦІНИ,4,IFERROR(MATCH(ЕТАЛОН_ПЛ,ПЛ_РЯДОК,0),0)),"")-1)</f>
        <v/>
      </c>
      <c r="AC46" s="70" t="str">
        <f aca="false">IF(OR(AC15="",ЕТАЛОН_ПЛ="",IFERROR(INDEX(БАЗА_ЦІНИ,4,IFERROR(MATCH(ЕТАЛОН_ПЛ,ПЛ_РЯДОК,0),0)),"")=""),"",AC15-IFERROR(INDEX(БАЗА_ЦІНИ,4,IFERROR(MATCH(ЕТАЛОН_ПЛ,ПЛ_РЯДОК,0),0)),""))</f>
        <v/>
      </c>
      <c r="AD46" s="71" t="str">
        <f aca="false">IF(OR(AC15="",ЕТАЛОН_ПЛ="",IFERROR(INDEX(БАЗА_ЦІНИ,4,IFERROR(MATCH(ЕТАЛОН_ПЛ,ПЛ_РЯДОК,0),0)),"")="",IFERROR(INDEX(БАЗА_ЦІНИ,4,IFERROR(MATCH(ЕТАЛОН_ПЛ,ПЛ_РЯДОК,0),0)),"")=0),"",AC15/IFERROR(INDEX(БАЗА_ЦІНИ,4,IFERROR(MATCH(ЕТАЛОН_ПЛ,ПЛ_РЯДОК,0),0)),"")-1)</f>
        <v/>
      </c>
      <c r="AE46" s="70" t="str">
        <f aca="false">IF(OR(AE15="",ЕТАЛОН_ПЛ="",IFERROR(INDEX(БАЗА_ЦІНИ,4,IFERROR(MATCH(ЕТАЛОН_ПЛ,ПЛ_РЯДОК,0),0)),"")=""),"",AE15-IFERROR(INDEX(БАЗА_ЦІНИ,4,IFERROR(MATCH(ЕТАЛОН_ПЛ,ПЛ_РЯДОК,0),0)),""))</f>
        <v/>
      </c>
      <c r="AF46" s="71" t="str">
        <f aca="false">IF(OR(AE15="",ЕТАЛОН_ПЛ="",IFERROR(INDEX(БАЗА_ЦІНИ,4,IFERROR(MATCH(ЕТАЛОН_ПЛ,ПЛ_РЯДОК,0),0)),"")="",IFERROR(INDEX(БАЗА_ЦІНИ,4,IFERROR(MATCH(ЕТАЛОН_ПЛ,ПЛ_РЯДОК,0),0)),"")=0),"",AE15/IFERROR(INDEX(БАЗА_ЦІНИ,4,IFERROR(MATCH(ЕТАЛОН_ПЛ,ПЛ_РЯДОК,0),0)),"")-1)</f>
        <v/>
      </c>
      <c r="AG46" s="70" t="str">
        <f aca="false">IF(OR(AG15="",ЕТАЛОН_ПЛ="",IFERROR(INDEX(БАЗА_ЦІНИ,4,IFERROR(MATCH(ЕТАЛОН_ПЛ,ПЛ_РЯДОК,0),0)),"")=""),"",AG15-IFERROR(INDEX(БАЗА_ЦІНИ,4,IFERROR(MATCH(ЕТАЛОН_ПЛ,ПЛ_РЯДОК,0),0)),""))</f>
        <v/>
      </c>
      <c r="AH46" s="71" t="str">
        <f aca="false">IF(OR(AG15="",ЕТАЛОН_ПЛ="",IFERROR(INDEX(БАЗА_ЦІНИ,4,IFERROR(MATCH(ЕТАЛОН_ПЛ,ПЛ_РЯДОК,0),0)),"")="",IFERROR(INDEX(БАЗА_ЦІНИ,4,IFERROR(MATCH(ЕТАЛОН_ПЛ,ПЛ_РЯДОК,0),0)),"")=0),"",AG15/IFERROR(INDEX(БАЗА_ЦІНИ,4,IFERROR(MATCH(ЕТАЛОН_ПЛ,ПЛ_РЯДОК,0),0)),"")-1)</f>
        <v/>
      </c>
      <c r="AI46" s="70" t="str">
        <f aca="false">IF(OR(AI15="",ЕТАЛОН_ПЛ="",IFERROR(INDEX(БАЗА_ЦІНИ,4,IFERROR(MATCH(ЕТАЛОН_ПЛ,ПЛ_РЯДОК,0),0)),"")=""),"",AI15-IFERROR(INDEX(БАЗА_ЦІНИ,4,IFERROR(MATCH(ЕТАЛОН_ПЛ,ПЛ_РЯДОК,0),0)),""))</f>
        <v/>
      </c>
      <c r="AJ46" s="71" t="str">
        <f aca="false">IF(OR(AI15="",ЕТАЛОН_ПЛ="",IFERROR(INDEX(БАЗА_ЦІНИ,4,IFERROR(MATCH(ЕТАЛОН_ПЛ,ПЛ_РЯДОК,0),0)),"")="",IFERROR(INDEX(БАЗА_ЦІНИ,4,IFERROR(MATCH(ЕТАЛОН_ПЛ,ПЛ_РЯДОК,0),0)),"")=0),"",AI15/IFERROR(INDEX(БАЗА_ЦІНИ,4,IFERROR(MATCH(ЕТАЛОН_ПЛ,ПЛ_РЯДОК,0),0)),"")-1)</f>
        <v/>
      </c>
      <c r="AK46" s="70" t="str">
        <f aca="false">IF(OR(AK15="",ЕТАЛОН_ПЛ="",IFERROR(INDEX(БАЗА_ЦІНИ,4,IFERROR(MATCH(ЕТАЛОН_ПЛ,ПЛ_РЯДОК,0),0)),"")=""),"",AK15-IFERROR(INDEX(БАЗА_ЦІНИ,4,IFERROR(MATCH(ЕТАЛОН_ПЛ,ПЛ_РЯДОК,0),0)),""))</f>
        <v/>
      </c>
      <c r="AL46" s="71" t="str">
        <f aca="false">IF(OR(AK15="",ЕТАЛОН_ПЛ="",IFERROR(INDEX(БАЗА_ЦІНИ,4,IFERROR(MATCH(ЕТАЛОН_ПЛ,ПЛ_РЯДОК,0),0)),"")="",IFERROR(INDEX(БАЗА_ЦІНИ,4,IFERROR(MATCH(ЕТАЛОН_ПЛ,ПЛ_РЯДОК,0),0)),"")=0),"",AK15/IFERROR(INDEX(БАЗА_ЦІНИ,4,IFERROR(MATCH(ЕТАЛОН_ПЛ,ПЛ_РЯДОК,0),0)),"")-1)</f>
        <v/>
      </c>
      <c r="AM46" s="70" t="str">
        <f aca="false">IF(OR(AM15="",ЕТАЛОН_ПЛ="",IFERROR(INDEX(БАЗА_ЦІНИ,4,IFERROR(MATCH(ЕТАЛОН_ПЛ,ПЛ_РЯДОК,0),0)),"")=""),"",AM15-IFERROR(INDEX(БАЗА_ЦІНИ,4,IFERROR(MATCH(ЕТАЛОН_ПЛ,ПЛ_РЯДОК,0),0)),""))</f>
        <v/>
      </c>
      <c r="AN46" s="71" t="str">
        <f aca="false">IF(OR(AM15="",ЕТАЛОН_ПЛ="",IFERROR(INDEX(БАЗА_ЦІНИ,4,IFERROR(MATCH(ЕТАЛОН_ПЛ,ПЛ_РЯДОК,0),0)),"")="",IFERROR(INDEX(БАЗА_ЦІНИ,4,IFERROR(MATCH(ЕТАЛОН_ПЛ,ПЛ_РЯДОК,0),0)),"")=0),"",AM15/IFERROR(INDEX(БАЗА_ЦІНИ,4,IFERROR(MATCH(ЕТАЛОН_ПЛ,ПЛ_РЯДОК,0),0)),"")-1)</f>
        <v/>
      </c>
      <c r="AO46" s="70" t="str">
        <f aca="false">IF(OR(AO15="",ЕТАЛОН_ПЛ="",IFERROR(INDEX(БАЗА_ЦІНИ,4,IFERROR(MATCH(ЕТАЛОН_ПЛ,ПЛ_РЯДОК,0),0)),"")=""),"",AO15-IFERROR(INDEX(БАЗА_ЦІНИ,4,IFERROR(MATCH(ЕТАЛОН_ПЛ,ПЛ_РЯДОК,0),0)),""))</f>
        <v/>
      </c>
      <c r="AP46" s="71" t="str">
        <f aca="false">IF(OR(AO15="",ЕТАЛОН_ПЛ="",IFERROR(INDEX(БАЗА_ЦІНИ,4,IFERROR(MATCH(ЕТАЛОН_ПЛ,ПЛ_РЯДОК,0),0)),"")="",IFERROR(INDEX(БАЗА_ЦІНИ,4,IFERROR(MATCH(ЕТАЛОН_ПЛ,ПЛ_РЯДОК,0),0)),"")=0),"",AO15/IFERROR(INDEX(БАЗА_ЦІНИ,4,IFERROR(MATCH(ЕТАЛОН_ПЛ,ПЛ_РЯДОК,0),0)),"")-1)</f>
        <v/>
      </c>
      <c r="AQ46" s="70" t="str">
        <f aca="false">IF(OR(AQ15="",ЕТАЛОН_ПЛ="",IFERROR(INDEX(БАЗА_ЦІНИ,4,IFERROR(MATCH(ЕТАЛОН_ПЛ,ПЛ_РЯДОК,0),0)),"")=""),"",AQ15-IFERROR(INDEX(БАЗА_ЦІНИ,4,IFERROR(MATCH(ЕТАЛОН_ПЛ,ПЛ_РЯДОК,0),0)),""))</f>
        <v/>
      </c>
      <c r="AR46" s="71" t="str">
        <f aca="false">IF(OR(AQ15="",ЕТАЛОН_ПЛ="",IFERROR(INDEX(БАЗА_ЦІНИ,4,IFERROR(MATCH(ЕТАЛОН_ПЛ,ПЛ_РЯДОК,0),0)),"")="",IFERROR(INDEX(БАЗА_ЦІНИ,4,IFERROR(MATCH(ЕТАЛОН_ПЛ,ПЛ_РЯДОК,0),0)),"")=0),"",AQ15/IFERROR(INDEX(БАЗА_ЦІНИ,4,IFERROR(MATCH(ЕТАЛОН_ПЛ,ПЛ_РЯДОК,0),0)),"")-1)</f>
        <v/>
      </c>
      <c r="AS46" s="70" t="str">
        <f aca="false">IF(OR(AS15="",ЕТАЛОН_ПЛ="",IFERROR(INDEX(БАЗА_ЦІНИ,4,IFERROR(MATCH(ЕТАЛОН_ПЛ,ПЛ_РЯДОК,0),0)),"")=""),"",AS15-IFERROR(INDEX(БАЗА_ЦІНИ,4,IFERROR(MATCH(ЕТАЛОН_ПЛ,ПЛ_РЯДОК,0),0)),""))</f>
        <v/>
      </c>
      <c r="AT46" s="71" t="str">
        <f aca="false">IF(OR(AS15="",ЕТАЛОН_ПЛ="",IFERROR(INDEX(БАЗА_ЦІНИ,4,IFERROR(MATCH(ЕТАЛОН_ПЛ,ПЛ_РЯДОК,0),0)),"")="",IFERROR(INDEX(БАЗА_ЦІНИ,4,IFERROR(MATCH(ЕТАЛОН_ПЛ,ПЛ_РЯДОК,0),0)),"")=0),"",AS15/IFERROR(INDEX(БАЗА_ЦІНИ,4,IFERROR(MATCH(ЕТАЛОН_ПЛ,ПЛ_РЯДОК,0),0)),"")-1)</f>
        <v/>
      </c>
      <c r="AU46" s="70" t="str">
        <f aca="false">IF(OR(AU15="",ЕТАЛОН_ПЛ="",IFERROR(INDEX(БАЗА_ЦІНИ,4,IFERROR(MATCH(ЕТАЛОН_ПЛ,ПЛ_РЯДОК,0),0)),"")=""),"",AU15-IFERROR(INDEX(БАЗА_ЦІНИ,4,IFERROR(MATCH(ЕТАЛОН_ПЛ,ПЛ_РЯДОК,0),0)),""))</f>
        <v/>
      </c>
      <c r="AV46" s="71" t="str">
        <f aca="false">IF(OR(AU15="",ЕТАЛОН_ПЛ="",IFERROR(INDEX(БАЗА_ЦІНИ,4,IFERROR(MATCH(ЕТАЛОН_ПЛ,ПЛ_РЯДОК,0),0)),"")="",IFERROR(INDEX(БАЗА_ЦІНИ,4,IFERROR(MATCH(ЕТАЛОН_ПЛ,ПЛ_РЯДОК,0),0)),"")=0),"",AU15/IFERROR(INDEX(БАЗА_ЦІНИ,4,IFERROR(MATCH(ЕТАЛОН_ПЛ,ПЛ_РЯДОК,0),0)),"")-1)</f>
        <v/>
      </c>
      <c r="AW46" s="70" t="str">
        <f aca="false">IF(OR(AW15="",ЕТАЛОН_ПЛ="",IFERROR(INDEX(БАЗА_ЦІНИ,4,IFERROR(MATCH(ЕТАЛОН_ПЛ,ПЛ_РЯДОК,0),0)),"")=""),"",AW15-IFERROR(INDEX(БАЗА_ЦІНИ,4,IFERROR(MATCH(ЕТАЛОН_ПЛ,ПЛ_РЯДОК,0),0)),""))</f>
        <v/>
      </c>
      <c r="AX46" s="71" t="str">
        <f aca="false">IF(OR(AW15="",ЕТАЛОН_ПЛ="",IFERROR(INDEX(БАЗА_ЦІНИ,4,IFERROR(MATCH(ЕТАЛОН_ПЛ,ПЛ_РЯДОК,0),0)),"")="",IFERROR(INDEX(БАЗА_ЦІНИ,4,IFERROR(MATCH(ЕТАЛОН_ПЛ,ПЛ_РЯДОК,0),0)),"")=0),"",AW15/IFERROR(INDEX(БАЗА_ЦІНИ,4,IFERROR(MATCH(ЕТАЛОН_ПЛ,ПЛ_РЯДОК,0),0)),"")-1)</f>
        <v/>
      </c>
      <c r="AY46" s="70" t="str">
        <f aca="false">IF(OR(AY15="",ЕТАЛОН_ПЛ="",IFERROR(INDEX(БАЗА_ЦІНИ,4,IFERROR(MATCH(ЕТАЛОН_ПЛ,ПЛ_РЯДОК,0),0)),"")=""),"",AY15-IFERROR(INDEX(БАЗА_ЦІНИ,4,IFERROR(MATCH(ЕТАЛОН_ПЛ,ПЛ_РЯДОК,0),0)),""))</f>
        <v/>
      </c>
      <c r="AZ46" s="71" t="str">
        <f aca="false">IF(OR(AY15="",ЕТАЛОН_ПЛ="",IFERROR(INDEX(БАЗА_ЦІНИ,4,IFERROR(MATCH(ЕТАЛОН_ПЛ,ПЛ_РЯДОК,0),0)),"")="",IFERROR(INDEX(БАЗА_ЦІНИ,4,IFERROR(MATCH(ЕТАЛОН_ПЛ,ПЛ_РЯДОК,0),0)),"")=0),"",AY15/IFERROR(INDEX(БАЗА_ЦІНИ,4,IFERROR(MATCH(ЕТАЛОН_ПЛ,ПЛ_РЯДОК,0),0)),"")-1)</f>
        <v/>
      </c>
      <c r="BA46" s="70" t="str">
        <f aca="false">IF(OR(BA15="",ЕТАЛОН_ПЛ="",IFERROR(INDEX(БАЗА_ЦІНИ,4,IFERROR(MATCH(ЕТАЛОН_ПЛ,ПЛ_РЯДОК,0),0)),"")=""),"",BA15-IFERROR(INDEX(БАЗА_ЦІНИ,4,IFERROR(MATCH(ЕТАЛОН_ПЛ,ПЛ_РЯДОК,0),0)),""))</f>
        <v/>
      </c>
      <c r="BB46" s="71" t="str">
        <f aca="false">IF(OR(BA15="",ЕТАЛОН_ПЛ="",IFERROR(INDEX(БАЗА_ЦІНИ,4,IFERROR(MATCH(ЕТАЛОН_ПЛ,ПЛ_РЯДОК,0),0)),"")="",IFERROR(INDEX(БАЗА_ЦІНИ,4,IFERROR(MATCH(ЕТАЛОН_ПЛ,ПЛ_РЯДОК,0),0)),"")=0),"",BA15/IFERROR(INDEX(БАЗА_ЦІНИ,4,IFERROR(MATCH(ЕТАЛОН_ПЛ,ПЛ_РЯДОК,0),0)),"")-1)</f>
        <v/>
      </c>
      <c r="BC46" s="70" t="str">
        <f aca="false">IF(OR(BC15="",ЕТАЛОН_ПЛ="",IFERROR(INDEX(БАЗА_ЦІНИ,4,IFERROR(MATCH(ЕТАЛОН_ПЛ,ПЛ_РЯДОК,0),0)),"")=""),"",BC15-IFERROR(INDEX(БАЗА_ЦІНИ,4,IFERROR(MATCH(ЕТАЛОН_ПЛ,ПЛ_РЯДОК,0),0)),""))</f>
        <v/>
      </c>
      <c r="BD46" s="71" t="str">
        <f aca="false">IF(OR(BC15="",ЕТАЛОН_ПЛ="",IFERROR(INDEX(БАЗА_ЦІНИ,4,IFERROR(MATCH(ЕТАЛОН_ПЛ,ПЛ_РЯДОК,0),0)),"")="",IFERROR(INDEX(БАЗА_ЦІНИ,4,IFERROR(MATCH(ЕТАЛОН_ПЛ,ПЛ_РЯДОК,0),0)),"")=0),"",BC15/IFERROR(INDEX(БАЗА_ЦІНИ,4,IFERROR(MATCH(ЕТАЛОН_ПЛ,ПЛ_РЯДОК,0),0)),"")-1)</f>
        <v/>
      </c>
      <c r="BE46" s="70" t="str">
        <f aca="false">IF(OR(BE15="",ЕТАЛОН_ПЛ="",IFERROR(INDEX(БАЗА_ЦІНИ,4,IFERROR(MATCH(ЕТАЛОН_ПЛ,ПЛ_РЯДОК,0),0)),"")=""),"",BE15-IFERROR(INDEX(БАЗА_ЦІНИ,4,IFERROR(MATCH(ЕТАЛОН_ПЛ,ПЛ_РЯДОК,0),0)),""))</f>
        <v/>
      </c>
      <c r="BF46" s="71" t="str">
        <f aca="false">IF(OR(BE15="",ЕТАЛОН_ПЛ="",IFERROR(INDEX(БАЗА_ЦІНИ,4,IFERROR(MATCH(ЕТАЛОН_ПЛ,ПЛ_РЯДОК,0),0)),"")="",IFERROR(INDEX(БАЗА_ЦІНИ,4,IFERROR(MATCH(ЕТАЛОН_ПЛ,ПЛ_РЯДОК,0),0)),"")=0),"",BE15/IFERROR(INDEX(БАЗА_ЦІНИ,4,IFERROR(MATCH(ЕТАЛОН_ПЛ,ПЛ_РЯДОК,0),0)),"")-1)</f>
        <v/>
      </c>
      <c r="BG46" s="70" t="str">
        <f aca="false">IF(OR(BG15="",ЕТАЛОН_ПЛ="",IFERROR(INDEX(БАЗА_ЦІНИ,4,IFERROR(MATCH(ЕТАЛОН_ПЛ,ПЛ_РЯДОК,0),0)),"")=""),"",BG15-IFERROR(INDEX(БАЗА_ЦІНИ,4,IFERROR(MATCH(ЕТАЛОН_ПЛ,ПЛ_РЯДОК,0),0)),""))</f>
        <v/>
      </c>
      <c r="BH46" s="71" t="str">
        <f aca="false">IF(OR(BG15="",ЕТАЛОН_ПЛ="",IFERROR(INDEX(БАЗА_ЦІНИ,4,IFERROR(MATCH(ЕТАЛОН_ПЛ,ПЛ_РЯДОК,0),0)),"")="",IFERROR(INDEX(БАЗА_ЦІНИ,4,IFERROR(MATCH(ЕТАЛОН_ПЛ,ПЛ_РЯДОК,0),0)),"")=0),"",BG15/IFERROR(INDEX(БАЗА_ЦІНИ,4,IFERROR(MATCH(ЕТАЛОН_ПЛ,ПЛ_РЯДОК,0),0)),"")-1)</f>
        <v/>
      </c>
      <c r="BI46" s="70" t="str">
        <f aca="false">IF(OR(BI15="",ЕТАЛОН_ПЛ="",IFERROR(INDEX(БАЗА_ЦІНИ,4,IFERROR(MATCH(ЕТАЛОН_ПЛ,ПЛ_РЯДОК,0),0)),"")=""),"",BI15-IFERROR(INDEX(БАЗА_ЦІНИ,4,IFERROR(MATCH(ЕТАЛОН_ПЛ,ПЛ_РЯДОК,0),0)),""))</f>
        <v/>
      </c>
      <c r="BJ46" s="71" t="str">
        <f aca="false">IF(OR(BI15="",ЕТАЛОН_ПЛ="",IFERROR(INDEX(БАЗА_ЦІНИ,4,IFERROR(MATCH(ЕТАЛОН_ПЛ,ПЛ_РЯДОК,0),0)),"")="",IFERROR(INDEX(БАЗА_ЦІНИ,4,IFERROR(MATCH(ЕТАЛОН_ПЛ,ПЛ_РЯДОК,0),0)),"")=0),"",BI15/IFERROR(INDEX(БАЗА_ЦІНИ,4,IFERROR(MATCH(ЕТАЛОН_ПЛ,ПЛ_РЯДОК,0),0)),"")-1)</f>
        <v/>
      </c>
      <c r="BK46" s="70" t="str">
        <f aca="false">IF(OR(BK15="",ЕТАЛОН_ПЛ="",IFERROR(INDEX(БАЗА_ЦІНИ,4,IFERROR(MATCH(ЕТАЛОН_ПЛ,ПЛ_РЯДОК,0),0)),"")=""),"",BK15-IFERROR(INDEX(БАЗА_ЦІНИ,4,IFERROR(MATCH(ЕТАЛОН_ПЛ,ПЛ_РЯДОК,0),0)),""))</f>
        <v/>
      </c>
      <c r="BL46" s="71" t="str">
        <f aca="false">IF(OR(BK15="",ЕТАЛОН_ПЛ="",IFERROR(INDEX(БАЗА_ЦІНИ,4,IFERROR(MATCH(ЕТАЛОН_ПЛ,ПЛ_РЯДОК,0),0)),"")="",IFERROR(INDEX(БАЗА_ЦІНИ,4,IFERROR(MATCH(ЕТАЛОН_ПЛ,ПЛ_РЯДОК,0),0)),"")=0),"",BK15/IFERROR(INDEX(БАЗА_ЦІНИ,4,IFERROR(MATCH(ЕТАЛОН_ПЛ,ПЛ_РЯДОК,0),0)),"")-1)</f>
        <v/>
      </c>
      <c r="BM46" s="70" t="str">
        <f aca="false">IF(OR(BM15="",ЕТАЛОН_ПЛ="",IFERROR(INDEX(БАЗА_ЦІНИ,4,IFERROR(MATCH(ЕТАЛОН_ПЛ,ПЛ_РЯДОК,0),0)),"")=""),"",BM15-IFERROR(INDEX(БАЗА_ЦІНИ,4,IFERROR(MATCH(ЕТАЛОН_ПЛ,ПЛ_РЯДОК,0),0)),""))</f>
        <v/>
      </c>
      <c r="BN46" s="71" t="str">
        <f aca="false">IF(OR(BM15="",ЕТАЛОН_ПЛ="",IFERROR(INDEX(БАЗА_ЦІНИ,4,IFERROR(MATCH(ЕТАЛОН_ПЛ,ПЛ_РЯДОК,0),0)),"")="",IFERROR(INDEX(БАЗА_ЦІНИ,4,IFERROR(MATCH(ЕТАЛОН_ПЛ,ПЛ_РЯДОК,0),0)),"")=0),"",BM15/IFERROR(INDEX(БАЗА_ЦІНИ,4,IFERROR(MATCH(ЕТАЛОН_ПЛ,ПЛ_РЯДОК,0),0)),"")-1)</f>
        <v/>
      </c>
      <c r="BO46" s="70" t="str">
        <f aca="false">IF(OR(BO15="",ЕТАЛОН_ПЛ="",IFERROR(INDEX(БАЗА_ЦІНИ,4,IFERROR(MATCH(ЕТАЛОН_ПЛ,ПЛ_РЯДОК,0),0)),"")=""),"",BO15-IFERROR(INDEX(БАЗА_ЦІНИ,4,IFERROR(MATCH(ЕТАЛОН_ПЛ,ПЛ_РЯДОК,0),0)),""))</f>
        <v/>
      </c>
      <c r="BP46" s="71" t="str">
        <f aca="false">IF(OR(BO15="",ЕТАЛОН_ПЛ="",IFERROR(INDEX(БАЗА_ЦІНИ,4,IFERROR(MATCH(ЕТАЛОН_ПЛ,ПЛ_РЯДОК,0),0)),"")="",IFERROR(INDEX(БАЗА_ЦІНИ,4,IFERROR(MATCH(ЕТАЛОН_ПЛ,ПЛ_РЯДОК,0),0)),"")=0),"",BO15/IFERROR(INDEX(БАЗА_ЦІНИ,4,IFERROR(MATCH(ЕТАЛОН_ПЛ,ПЛ_РЯДОК,0),0)),"")-1)</f>
        <v/>
      </c>
      <c r="BQ46" s="70" t="str">
        <f aca="false">IF(OR(BQ15="",ЕТАЛОН_ПЛ="",IFERROR(INDEX(БАЗА_ЦІНИ,4,IFERROR(MATCH(ЕТАЛОН_ПЛ,ПЛ_РЯДОК,0),0)),"")=""),"",BQ15-IFERROR(INDEX(БАЗА_ЦІНИ,4,IFERROR(MATCH(ЕТАЛОН_ПЛ,ПЛ_РЯДОК,0),0)),""))</f>
        <v/>
      </c>
      <c r="BR46" s="71" t="str">
        <f aca="false">IF(OR(BQ15="",ЕТАЛОН_ПЛ="",IFERROR(INDEX(БАЗА_ЦІНИ,4,IFERROR(MATCH(ЕТАЛОН_ПЛ,ПЛ_РЯДОК,0),0)),"")="",IFERROR(INDEX(БАЗА_ЦІНИ,4,IFERROR(MATCH(ЕТАЛОН_ПЛ,ПЛ_РЯДОК,0),0)),"")=0),"",BQ15/IFERROR(INDEX(БАЗА_ЦІНИ,4,IFERROR(MATCH(ЕТАЛОН_ПЛ,ПЛ_РЯДОК,0),0)),"")-1)</f>
        <v/>
      </c>
      <c r="BS46" s="70" t="str">
        <f aca="false">IF(OR(BS15="",ЕТАЛОН_ПЛ="",IFERROR(INDEX(БАЗА_ЦІНИ,4,IFERROR(MATCH(ЕТАЛОН_ПЛ,ПЛ_РЯДОК,0),0)),"")=""),"",BS15-IFERROR(INDEX(БАЗА_ЦІНИ,4,IFERROR(MATCH(ЕТАЛОН_ПЛ,ПЛ_РЯДОК,0),0)),""))</f>
        <v/>
      </c>
      <c r="BT46" s="71" t="str">
        <f aca="false">IF(OR(BS15="",ЕТАЛОН_ПЛ="",IFERROR(INDEX(БАЗА_ЦІНИ,4,IFERROR(MATCH(ЕТАЛОН_ПЛ,ПЛ_РЯДОК,0),0)),"")="",IFERROR(INDEX(БАЗА_ЦІНИ,4,IFERROR(MATCH(ЕТАЛОН_ПЛ,ПЛ_РЯДОК,0),0)),"")=0),"",BS15/IFERROR(INDEX(БАЗА_ЦІНИ,4,IFERROR(MATCH(ЕТАЛОН_ПЛ,ПЛ_РЯДОК,0),0)),"")-1)</f>
        <v/>
      </c>
      <c r="BU46" s="70" t="str">
        <f aca="false">IF(OR(BU15="",ЕТАЛОН_ПЛ="",IFERROR(INDEX(БАЗА_ЦІНИ,4,IFERROR(MATCH(ЕТАЛОН_ПЛ,ПЛ_РЯДОК,0),0)),"")=""),"",BU15-IFERROR(INDEX(БАЗА_ЦІНИ,4,IFERROR(MATCH(ЕТАЛОН_ПЛ,ПЛ_РЯДОК,0),0)),""))</f>
        <v/>
      </c>
      <c r="BV46" s="71" t="str">
        <f aca="false">IF(OR(BU15="",ЕТАЛОН_ПЛ="",IFERROR(INDEX(БАЗА_ЦІНИ,4,IFERROR(MATCH(ЕТАЛОН_ПЛ,ПЛ_РЯДОК,0),0)),"")="",IFERROR(INDEX(БАЗА_ЦІНИ,4,IFERROR(MATCH(ЕТАЛОН_ПЛ,ПЛ_РЯДОК,0),0)),"")=0),"",BU15/IFERROR(INDEX(БАЗА_ЦІНИ,4,IFERROR(MATCH(ЕТАЛОН_ПЛ,ПЛ_РЯДОК,0),0)),"")-1)</f>
        <v/>
      </c>
      <c r="BW46" s="70" t="str">
        <f aca="false">IF(OR(BW15="",ЕТАЛОН_ПЛ="",IFERROR(INDEX(БАЗА_ЦІНИ,4,IFERROR(MATCH(ЕТАЛОН_ПЛ,ПЛ_РЯДОК,0),0)),"")=""),"",BW15-IFERROR(INDEX(БАЗА_ЦІНИ,4,IFERROR(MATCH(ЕТАЛОН_ПЛ,ПЛ_РЯДОК,0),0)),""))</f>
        <v/>
      </c>
      <c r="BX46" s="71" t="str">
        <f aca="false">IF(OR(BW15="",ЕТАЛОН_ПЛ="",IFERROR(INDEX(БАЗА_ЦІНИ,4,IFERROR(MATCH(ЕТАЛОН_ПЛ,ПЛ_РЯДОК,0),0)),"")="",IFERROR(INDEX(БАЗА_ЦІНИ,4,IFERROR(MATCH(ЕТАЛОН_ПЛ,ПЛ_РЯДОК,0),0)),"")=0),"",BW15/IFERROR(INDEX(БАЗА_ЦІНИ,4,IFERROR(MATCH(ЕТАЛОН_ПЛ,ПЛ_РЯДОК,0),0)),"")-1)</f>
        <v/>
      </c>
      <c r="BY46" s="70" t="str">
        <f aca="false">IF(OR(BY15="",ЕТАЛОН_ПЛ="",IFERROR(INDEX(БАЗА_ЦІНИ,4,IFERROR(MATCH(ЕТАЛОН_ПЛ,ПЛ_РЯДОК,0),0)),"")=""),"",BY15-IFERROR(INDEX(БАЗА_ЦІНИ,4,IFERROR(MATCH(ЕТАЛОН_ПЛ,ПЛ_РЯДОК,0),0)),""))</f>
        <v/>
      </c>
      <c r="BZ46" s="71" t="str">
        <f aca="false">IF(OR(BY15="",ЕТАЛОН_ПЛ="",IFERROR(INDEX(БАЗА_ЦІНИ,4,IFERROR(MATCH(ЕТАЛОН_ПЛ,ПЛ_РЯДОК,0),0)),"")="",IFERROR(INDEX(БАЗА_ЦІНИ,4,IFERROR(MATCH(ЕТАЛОН_ПЛ,ПЛ_РЯДОК,0),0)),"")=0),"",BY15/IFERROR(INDEX(БАЗА_ЦІНИ,4,IFERROR(MATCH(ЕТАЛОН_ПЛ,ПЛ_РЯДОК,0),0)),"")-1)</f>
        <v/>
      </c>
      <c r="CA46" s="70" t="str">
        <f aca="false">IF(OR(CA15="",ЕТАЛОН_ПЛ="",IFERROR(INDEX(БАЗА_ЦІНИ,4,IFERROR(MATCH(ЕТАЛОН_ПЛ,ПЛ_РЯДОК,0),0)),"")=""),"",CA15-IFERROR(INDEX(БАЗА_ЦІНИ,4,IFERROR(MATCH(ЕТАЛОН_ПЛ,ПЛ_РЯДОК,0),0)),""))</f>
        <v/>
      </c>
      <c r="CB46" s="71" t="str">
        <f aca="false">IF(OR(CA15="",ЕТАЛОН_ПЛ="",IFERROR(INDEX(БАЗА_ЦІНИ,4,IFERROR(MATCH(ЕТАЛОН_ПЛ,ПЛ_РЯДОК,0),0)),"")="",IFERROR(INDEX(БАЗА_ЦІНИ,4,IFERROR(MATCH(ЕТАЛОН_ПЛ,ПЛ_РЯДОК,0),0)),"")=0),"",CA15/IFERROR(INDEX(БАЗА_ЦІНИ,4,IFERROR(MATCH(ЕТАЛОН_ПЛ,ПЛ_РЯДОК,0),0)),"")-1)</f>
        <v/>
      </c>
      <c r="CC46" s="70" t="str">
        <f aca="false">IF(OR(CC15="",ЕТАЛОН_ПЛ="",IFERROR(INDEX(БАЗА_ЦІНИ,4,IFERROR(MATCH(ЕТАЛОН_ПЛ,ПЛ_РЯДОК,0),0)),"")=""),"",CC15-IFERROR(INDEX(БАЗА_ЦІНИ,4,IFERROR(MATCH(ЕТАЛОН_ПЛ,ПЛ_РЯДОК,0),0)),""))</f>
        <v/>
      </c>
      <c r="CD46" s="71" t="str">
        <f aca="false">IF(OR(CC15="",ЕТАЛОН_ПЛ="",IFERROR(INDEX(БАЗА_ЦІНИ,4,IFERROR(MATCH(ЕТАЛОН_ПЛ,ПЛ_РЯДОК,0),0)),"")="",IFERROR(INDEX(БАЗА_ЦІНИ,4,IFERROR(MATCH(ЕТАЛОН_ПЛ,ПЛ_РЯДОК,0),0)),"")=0),"",CC15/IFERROR(INDEX(БАЗА_ЦІНИ,4,IFERROR(MATCH(ЕТАЛОН_ПЛ,ПЛ_РЯДОК,0),0)),"")-1)</f>
        <v/>
      </c>
      <c r="CE46" s="70" t="str">
        <f aca="false">IF(OR(CE15="",ЕТАЛОН_ПЛ="",IFERROR(INDEX(БАЗА_ЦІНИ,4,IFERROR(MATCH(ЕТАЛОН_ПЛ,ПЛ_РЯДОК,0),0)),"")=""),"",CE15-IFERROR(INDEX(БАЗА_ЦІНИ,4,IFERROR(MATCH(ЕТАЛОН_ПЛ,ПЛ_РЯДОК,0),0)),""))</f>
        <v/>
      </c>
      <c r="CF46" s="71" t="str">
        <f aca="false">IF(OR(CE15="",ЕТАЛОН_ПЛ="",IFERROR(INDEX(БАЗА_ЦІНИ,4,IFERROR(MATCH(ЕТАЛОН_ПЛ,ПЛ_РЯДОК,0),0)),"")="",IFERROR(INDEX(БАЗА_ЦІНИ,4,IFERROR(MATCH(ЕТАЛОН_ПЛ,ПЛ_РЯДОК,0),0)),"")=0),"",CE15/IFERROR(INDEX(БАЗА_ЦІНИ,4,IFERROR(MATCH(ЕТАЛОН_ПЛ,ПЛ_РЯДОК,0),0)),"")-1)</f>
        <v/>
      </c>
      <c r="CG46" s="70" t="str">
        <f aca="false">IF(OR(CG15="",ЕТАЛОН_ПЛ="",IFERROR(INDEX(БАЗА_ЦІНИ,4,IFERROR(MATCH(ЕТАЛОН_ПЛ,ПЛ_РЯДОК,0),0)),"")=""),"",CG15-IFERROR(INDEX(БАЗА_ЦІНИ,4,IFERROR(MATCH(ЕТАЛОН_ПЛ,ПЛ_РЯДОК,0),0)),""))</f>
        <v/>
      </c>
      <c r="CH46" s="71" t="str">
        <f aca="false">IF(OR(CG15="",ЕТАЛОН_ПЛ="",IFERROR(INDEX(БАЗА_ЦІНИ,4,IFERROR(MATCH(ЕТАЛОН_ПЛ,ПЛ_РЯДОК,0),0)),"")="",IFERROR(INDEX(БАЗА_ЦІНИ,4,IFERROR(MATCH(ЕТАЛОН_ПЛ,ПЛ_РЯДОК,0),0)),"")=0),"",CG15/IFERROR(INDEX(БАЗА_ЦІНИ,4,IFERROR(MATCH(ЕТАЛОН_ПЛ,ПЛ_РЯДОК,0),0)),"")-1)</f>
        <v/>
      </c>
      <c r="CI46" s="70" t="str">
        <f aca="false">IF(OR(CI15="",ЕТАЛОН_ПЛ="",IFERROR(INDEX(БАЗА_ЦІНИ,4,IFERROR(MATCH(ЕТАЛОН_ПЛ,ПЛ_РЯДОК,0),0)),"")=""),"",CI15-IFERROR(INDEX(БАЗА_ЦІНИ,4,IFERROR(MATCH(ЕТАЛОН_ПЛ,ПЛ_РЯДОК,0),0)),""))</f>
        <v/>
      </c>
      <c r="CJ46" s="71" t="str">
        <f aca="false">IF(OR(CI15="",ЕТАЛОН_ПЛ="",IFERROR(INDEX(БАЗА_ЦІНИ,4,IFERROR(MATCH(ЕТАЛОН_ПЛ,ПЛ_РЯДОК,0),0)),"")="",IFERROR(INDEX(БАЗА_ЦІНИ,4,IFERROR(MATCH(ЕТАЛОН_ПЛ,ПЛ_РЯДОК,0),0)),"")=0),"",CI15/IFERROR(INDEX(БАЗА_ЦІНИ,4,IFERROR(MATCH(ЕТАЛОН_ПЛ,ПЛ_РЯДОК,0),0)),"")-1)</f>
        <v/>
      </c>
      <c r="CK46" s="70" t="str">
        <f aca="false">IF(OR(CK15="",ЕТАЛОН_ПЛ="",IFERROR(INDEX(БАЗА_ЦІНИ,4,IFERROR(MATCH(ЕТАЛОН_ПЛ,ПЛ_РЯДОК,0),0)),"")=""),"",CK15-IFERROR(INDEX(БАЗА_ЦІНИ,4,IFERROR(MATCH(ЕТАЛОН_ПЛ,ПЛ_РЯДОК,0),0)),""))</f>
        <v/>
      </c>
      <c r="CL46" s="71" t="str">
        <f aca="false">IF(OR(CK15="",ЕТАЛОН_ПЛ="",IFERROR(INDEX(БАЗА_ЦІНИ,4,IFERROR(MATCH(ЕТАЛОН_ПЛ,ПЛ_РЯДОК,0),0)),"")="",IFERROR(INDEX(БАЗА_ЦІНИ,4,IFERROR(MATCH(ЕТАЛОН_ПЛ,ПЛ_РЯДОК,0),0)),"")=0),"",CK15/IFERROR(INDEX(БАЗА_ЦІНИ,4,IFERROR(MATCH(ЕТАЛОН_ПЛ,ПЛ_РЯДОК,0),0)),"")-1)</f>
        <v/>
      </c>
      <c r="CM46" s="70" t="str">
        <f aca="false">IF(OR(CM15="",ЕТАЛОН_ПЛ="",IFERROR(INDEX(БАЗА_ЦІНИ,4,IFERROR(MATCH(ЕТАЛОН_ПЛ,ПЛ_РЯДОК,0),0)),"")=""),"",CM15-IFERROR(INDEX(БАЗА_ЦІНИ,4,IFERROR(MATCH(ЕТАЛОН_ПЛ,ПЛ_РЯДОК,0),0)),""))</f>
        <v/>
      </c>
      <c r="CN46" s="71" t="str">
        <f aca="false">IF(OR(CM15="",ЕТАЛОН_ПЛ="",IFERROR(INDEX(БАЗА_ЦІНИ,4,IFERROR(MATCH(ЕТАЛОН_ПЛ,ПЛ_РЯДОК,0),0)),"")="",IFERROR(INDEX(БАЗА_ЦІНИ,4,IFERROR(MATCH(ЕТАЛОН_ПЛ,ПЛ_РЯДОК,0),0)),"")=0),"",CM15/IFERROR(INDEX(БАЗА_ЦІНИ,4,IFERROR(MATCH(ЕТАЛОН_ПЛ,ПЛ_РЯДОК,0),0)),"")-1)</f>
        <v/>
      </c>
      <c r="CO46" s="70" t="str">
        <f aca="false">IF(OR(CO15="",ЕТАЛОН_ПЛ="",IFERROR(INDEX(БАЗА_ЦІНИ,4,IFERROR(MATCH(ЕТАЛОН_ПЛ,ПЛ_РЯДОК,0),0)),"")=""),"",CO15-IFERROR(INDEX(БАЗА_ЦІНИ,4,IFERROR(MATCH(ЕТАЛОН_ПЛ,ПЛ_РЯДОК,0),0)),""))</f>
        <v/>
      </c>
      <c r="CP46" s="71" t="str">
        <f aca="false">IF(OR(CO15="",ЕТАЛОН_ПЛ="",IFERROR(INDEX(БАЗА_ЦІНИ,4,IFERROR(MATCH(ЕТАЛОН_ПЛ,ПЛ_РЯДОК,0),0)),"")="",IFERROR(INDEX(БАЗА_ЦІНИ,4,IFERROR(MATCH(ЕТАЛОН_ПЛ,ПЛ_РЯДОК,0),0)),"")=0),"",CO15/IFERROR(INDEX(БАЗА_ЦІНИ,4,IFERROR(MATCH(ЕТАЛОН_ПЛ,ПЛ_РЯДОК,0),0)),"")-1)</f>
        <v/>
      </c>
      <c r="CQ46" s="70" t="str">
        <f aca="false">IF(OR(CQ15="",ЕТАЛОН_ПЛ="",IFERROR(INDEX(БАЗА_ЦІНИ,4,IFERROR(MATCH(ЕТАЛОН_ПЛ,ПЛ_РЯДОК,0),0)),"")=""),"",CQ15-IFERROR(INDEX(БАЗА_ЦІНИ,4,IFERROR(MATCH(ЕТАЛОН_ПЛ,ПЛ_РЯДОК,0),0)),""))</f>
        <v/>
      </c>
      <c r="CR46" s="71" t="str">
        <f aca="false">IF(OR(CQ15="",ЕТАЛОН_ПЛ="",IFERROR(INDEX(БАЗА_ЦІНИ,4,IFERROR(MATCH(ЕТАЛОН_ПЛ,ПЛ_РЯДОК,0),0)),"")="",IFERROR(INDEX(БАЗА_ЦІНИ,4,IFERROR(MATCH(ЕТАЛОН_ПЛ,ПЛ_РЯДОК,0),0)),"")=0),"",CQ15/IFERROR(INDEX(БАЗА_ЦІНИ,4,IFERROR(MATCH(ЕТАЛОН_ПЛ,ПЛ_РЯДОК,0),0)),"")-1)</f>
        <v/>
      </c>
      <c r="CS46" s="70" t="str">
        <f aca="false">IF(OR(CS15="",ЕТАЛОН_ПЛ="",IFERROR(INDEX(БАЗА_ЦІНИ,4,IFERROR(MATCH(ЕТАЛОН_ПЛ,ПЛ_РЯДОК,0),0)),"")=""),"",CS15-IFERROR(INDEX(БАЗА_ЦІНИ,4,IFERROR(MATCH(ЕТАЛОН_ПЛ,ПЛ_РЯДОК,0),0)),""))</f>
        <v/>
      </c>
      <c r="CT46" s="71" t="str">
        <f aca="false">IF(OR(CS15="",ЕТАЛОН_ПЛ="",IFERROR(INDEX(БАЗА_ЦІНИ,4,IFERROR(MATCH(ЕТАЛОН_ПЛ,ПЛ_РЯДОК,0),0)),"")="",IFERROR(INDEX(БАЗА_ЦІНИ,4,IFERROR(MATCH(ЕТАЛОН_ПЛ,ПЛ_РЯДОК,0),0)),"")=0),"",CS15/IFERROR(INDEX(БАЗА_ЦІНИ,4,IFERROR(MATCH(ЕТАЛОН_ПЛ,ПЛ_РЯДОК,0),0)),"")-1)</f>
        <v/>
      </c>
      <c r="CU46" s="70" t="str">
        <f aca="false">IF(OR(CU15="",ЕТАЛОН_ПЛ="",IFERROR(INDEX(БАЗА_ЦІНИ,4,IFERROR(MATCH(ЕТАЛОН_ПЛ,ПЛ_РЯДОК,0),0)),"")=""),"",CU15-IFERROR(INDEX(БАЗА_ЦІНИ,4,IFERROR(MATCH(ЕТАЛОН_ПЛ,ПЛ_РЯДОК,0),0)),""))</f>
        <v/>
      </c>
      <c r="CV46" s="71" t="str">
        <f aca="false">IF(OR(CU15="",ЕТАЛОН_ПЛ="",IFERROR(INDEX(БАЗА_ЦІНИ,4,IFERROR(MATCH(ЕТАЛОН_ПЛ,ПЛ_РЯДОК,0),0)),"")="",IFERROR(INDEX(БАЗА_ЦІНИ,4,IFERROR(MATCH(ЕТАЛОН_ПЛ,ПЛ_РЯДОК,0),0)),"")=0),"",CU15/IFERROR(INDEX(БАЗА_ЦІНИ,4,IFERROR(MATCH(ЕТАЛОН_ПЛ,ПЛ_РЯДОК,0),0)),"")-1)</f>
        <v/>
      </c>
      <c r="CW46" s="70" t="str">
        <f aca="false">IF(OR(CW15="",ЕТАЛОН_ПЛ="",IFERROR(INDEX(БАЗА_ЦІНИ,4,IFERROR(MATCH(ЕТАЛОН_ПЛ,ПЛ_РЯДОК,0),0)),"")=""),"",CW15-IFERROR(INDEX(БАЗА_ЦІНИ,4,IFERROR(MATCH(ЕТАЛОН_ПЛ,ПЛ_РЯДОК,0),0)),""))</f>
        <v/>
      </c>
      <c r="CX46" s="71" t="str">
        <f aca="false">IF(OR(CW15="",ЕТАЛОН_ПЛ="",IFERROR(INDEX(БАЗА_ЦІНИ,4,IFERROR(MATCH(ЕТАЛОН_ПЛ,ПЛ_РЯДОК,0),0)),"")="",IFERROR(INDEX(БАЗА_ЦІНИ,4,IFERROR(MATCH(ЕТАЛОН_ПЛ,ПЛ_РЯДОК,0),0)),"")=0),"",CW15/IFERROR(INDEX(БАЗА_ЦІНИ,4,IFERROR(MATCH(ЕТАЛОН_ПЛ,ПЛ_РЯДОК,0),0)),"")-1)</f>
        <v/>
      </c>
      <c r="CY46" s="70" t="str">
        <f aca="false">IF(OR(CY15="",ЕТАЛОН_ПЛ="",IFERROR(INDEX(БАЗА_ЦІНИ,4,IFERROR(MATCH(ЕТАЛОН_ПЛ,ПЛ_РЯДОК,0),0)),"")=""),"",CY15-IFERROR(INDEX(БАЗА_ЦІНИ,4,IFERROR(MATCH(ЕТАЛОН_ПЛ,ПЛ_РЯДОК,0),0)),""))</f>
        <v/>
      </c>
      <c r="CZ46" s="71" t="str">
        <f aca="false">IF(OR(CY15="",ЕТАЛОН_ПЛ="",IFERROR(INDEX(БАЗА_ЦІНИ,4,IFERROR(MATCH(ЕТАЛОН_ПЛ,ПЛ_РЯДОК,0),0)),"")="",IFERROR(INDEX(БАЗА_ЦІНИ,4,IFERROR(MATCH(ЕТАЛОН_ПЛ,ПЛ_РЯДОК,0),0)),"")=0),"",CY15/IFERROR(INDEX(БАЗА_ЦІНИ,4,IFERROR(MATCH(ЕТАЛОН_ПЛ,ПЛ_РЯДОК,0),0)),"")-1)</f>
        <v/>
      </c>
      <c r="DA46" s="70" t="str">
        <f aca="false">IF(OR(DA15="",ЕТАЛОН_ПЛ="",IFERROR(INDEX(БАЗА_ЦІНИ,4,IFERROR(MATCH(ЕТАЛОН_ПЛ,ПЛ_РЯДОК,0),0)),"")=""),"",DA15-IFERROR(INDEX(БАЗА_ЦІНИ,4,IFERROR(MATCH(ЕТАЛОН_ПЛ,ПЛ_РЯДОК,0),0)),""))</f>
        <v/>
      </c>
      <c r="DB46" s="71" t="str">
        <f aca="false">IF(OR(DA15="",ЕТАЛОН_ПЛ="",IFERROR(INDEX(БАЗА_ЦІНИ,4,IFERROR(MATCH(ЕТАЛОН_ПЛ,ПЛ_РЯДОК,0),0)),"")="",IFERROR(INDEX(БАЗА_ЦІНИ,4,IFERROR(MATCH(ЕТАЛОН_ПЛ,ПЛ_РЯДОК,0),0)),"")=0),"",DA15/IFERROR(INDEX(БАЗА_ЦІНИ,4,IFERROR(MATCH(ЕТАЛОН_ПЛ,ПЛ_РЯДОК,0),0)),"")-1)</f>
        <v/>
      </c>
      <c r="DC46" s="70" t="str">
        <f aca="false">IF(OR(DC15="",ЕТАЛОН_ПЛ="",IFERROR(INDEX(БАЗА_ЦІНИ,4,IFERROR(MATCH(ЕТАЛОН_ПЛ,ПЛ_РЯДОК,0),0)),"")=""),"",DC15-IFERROR(INDEX(БАЗА_ЦІНИ,4,IFERROR(MATCH(ЕТАЛОН_ПЛ,ПЛ_РЯДОК,0),0)),""))</f>
        <v/>
      </c>
      <c r="DD46" s="71" t="str">
        <f aca="false">IF(OR(DC15="",ЕТАЛОН_ПЛ="",IFERROR(INDEX(БАЗА_ЦІНИ,4,IFERROR(MATCH(ЕТАЛОН_ПЛ,ПЛ_РЯДОК,0),0)),"")="",IFERROR(INDEX(БАЗА_ЦІНИ,4,IFERROR(MATCH(ЕТАЛОН_ПЛ,ПЛ_РЯДОК,0),0)),"")=0),"",DC15/IFERROR(INDEX(БАЗА_ЦІНИ,4,IFERROR(MATCH(ЕТАЛОН_ПЛ,ПЛ_РЯДОК,0),0)),"")-1)</f>
        <v/>
      </c>
      <c r="DE46" s="70" t="str">
        <f aca="false">IF(OR(DE15="",ЕТАЛОН_ПЛ="",IFERROR(INDEX(БАЗА_ЦІНИ,4,IFERROR(MATCH(ЕТАЛОН_ПЛ,ПЛ_РЯДОК,0),0)),"")=""),"",DE15-IFERROR(INDEX(БАЗА_ЦІНИ,4,IFERROR(MATCH(ЕТАЛОН_ПЛ,ПЛ_РЯДОК,0),0)),""))</f>
        <v/>
      </c>
      <c r="DF46" s="71" t="str">
        <f aca="false">IF(OR(DE15="",ЕТАЛОН_ПЛ="",IFERROR(INDEX(БАЗА_ЦІНИ,4,IFERROR(MATCH(ЕТАЛОН_ПЛ,ПЛ_РЯДОК,0),0)),"")="",IFERROR(INDEX(БАЗА_ЦІНИ,4,IFERROR(MATCH(ЕТАЛОН_ПЛ,ПЛ_РЯДОК,0),0)),"")=0),"",DE15/IFERROR(INDEX(БАЗА_ЦІНИ,4,IFERROR(MATCH(ЕТАЛОН_ПЛ,ПЛ_РЯДОК,0),0)),"")-1)</f>
        <v/>
      </c>
      <c r="DG46" s="70" t="str">
        <f aca="false">IF(OR(DG15="",ЕТАЛОН_ПЛ="",IFERROR(INDEX(БАЗА_ЦІНИ,4,IFERROR(MATCH(ЕТАЛОН_ПЛ,ПЛ_РЯДОК,0),0)),"")=""),"",DG15-IFERROR(INDEX(БАЗА_ЦІНИ,4,IFERROR(MATCH(ЕТАЛОН_ПЛ,ПЛ_РЯДОК,0),0)),""))</f>
        <v/>
      </c>
      <c r="DH46" s="71" t="str">
        <f aca="false">IF(OR(DG15="",ЕТАЛОН_ПЛ="",IFERROR(INDEX(БАЗА_ЦІНИ,4,IFERROR(MATCH(ЕТАЛОН_ПЛ,ПЛ_РЯДОК,0),0)),"")="",IFERROR(INDEX(БАЗА_ЦІНИ,4,IFERROR(MATCH(ЕТАЛОН_ПЛ,ПЛ_РЯДОК,0),0)),"")=0),"",DG15/IFERROR(INDEX(БАЗА_ЦІНИ,4,IFERROR(MATCH(ЕТАЛОН_ПЛ,ПЛ_РЯДОК,0),0)),"")-1)</f>
        <v/>
      </c>
      <c r="DI46" s="70" t="str">
        <f aca="false">IF(OR(DI15="",ЕТАЛОН_ПЛ="",IFERROR(INDEX(БАЗА_ЦІНИ,4,IFERROR(MATCH(ЕТАЛОН_ПЛ,ПЛ_РЯДОК,0),0)),"")=""),"",DI15-IFERROR(INDEX(БАЗА_ЦІНИ,4,IFERROR(MATCH(ЕТАЛОН_ПЛ,ПЛ_РЯДОК,0),0)),""))</f>
        <v/>
      </c>
      <c r="DJ46" s="71" t="str">
        <f aca="false">IF(OR(DI15="",ЕТАЛОН_ПЛ="",IFERROR(INDEX(БАЗА_ЦІНИ,4,IFERROR(MATCH(ЕТАЛОН_ПЛ,ПЛ_РЯДОК,0),0)),"")="",IFERROR(INDEX(БАЗА_ЦІНИ,4,IFERROR(MATCH(ЕТАЛОН_ПЛ,ПЛ_РЯДОК,0),0)),"")=0),"",DI15/IFERROR(INDEX(БАЗА_ЦІНИ,4,IFERROR(MATCH(ЕТАЛОН_ПЛ,ПЛ_РЯДОК,0),0)),"")-1)</f>
        <v/>
      </c>
      <c r="DK46" s="70" t="str">
        <f aca="false">IF(OR(DK15="",ЕТАЛОН_ПЛ="",IFERROR(INDEX(БАЗА_ЦІНИ,4,IFERROR(MATCH(ЕТАЛОН_ПЛ,ПЛ_РЯДОК,0),0)),"")=""),"",DK15-IFERROR(INDEX(БАЗА_ЦІНИ,4,IFERROR(MATCH(ЕТАЛОН_ПЛ,ПЛ_РЯДОК,0),0)),""))</f>
        <v/>
      </c>
      <c r="DL46" s="71" t="str">
        <f aca="false">IF(OR(DK15="",ЕТАЛОН_ПЛ="",IFERROR(INDEX(БАЗА_ЦІНИ,4,IFERROR(MATCH(ЕТАЛОН_ПЛ,ПЛ_РЯДОК,0),0)),"")="",IFERROR(INDEX(БАЗА_ЦІНИ,4,IFERROR(MATCH(ЕТАЛОН_ПЛ,ПЛ_РЯДОК,0),0)),"")=0),"",DK15/IFERROR(INDEX(БАЗА_ЦІНИ,4,IFERROR(MATCH(ЕТАЛОН_ПЛ,ПЛ_РЯДОК,0),0)),"")-1)</f>
        <v/>
      </c>
      <c r="DM46" s="70" t="str">
        <f aca="false">IF(OR(DM15="",ЕТАЛОН_ПЛ="",IFERROR(INDEX(БАЗА_ЦІНИ,4,IFERROR(MATCH(ЕТАЛОН_ПЛ,ПЛ_РЯДОК,0),0)),"")=""),"",DM15-IFERROR(INDEX(БАЗА_ЦІНИ,4,IFERROR(MATCH(ЕТАЛОН_ПЛ,ПЛ_РЯДОК,0),0)),""))</f>
        <v/>
      </c>
      <c r="DN46" s="71" t="str">
        <f aca="false">IF(OR(DM15="",ЕТАЛОН_ПЛ="",IFERROR(INDEX(БАЗА_ЦІНИ,4,IFERROR(MATCH(ЕТАЛОН_ПЛ,ПЛ_РЯДОК,0),0)),"")="",IFERROR(INDEX(БАЗА_ЦІНИ,4,IFERROR(MATCH(ЕТАЛОН_ПЛ,ПЛ_РЯДОК,0),0)),"")=0),"",DM15/IFERROR(INDEX(БАЗА_ЦІНИ,4,IFERROR(MATCH(ЕТАЛОН_ПЛ,ПЛ_РЯДОК,0),0)),"")-1)</f>
        <v/>
      </c>
      <c r="DO46" s="70" t="str">
        <f aca="false">IF(OR(DO15="",ЕТАЛОН_ПЛ="",IFERROR(INDEX(БАЗА_ЦІНИ,4,IFERROR(MATCH(ЕТАЛОН_ПЛ,ПЛ_РЯДОК,0),0)),"")=""),"",DO15-IFERROR(INDEX(БАЗА_ЦІНИ,4,IFERROR(MATCH(ЕТАЛОН_ПЛ,ПЛ_РЯДОК,0),0)),""))</f>
        <v/>
      </c>
      <c r="DP46" s="71" t="str">
        <f aca="false">IF(OR(DO15="",ЕТАЛОН_ПЛ="",IFERROR(INDEX(БАЗА_ЦІНИ,4,IFERROR(MATCH(ЕТАЛОН_ПЛ,ПЛ_РЯДОК,0),0)),"")="",IFERROR(INDEX(БАЗА_ЦІНИ,4,IFERROR(MATCH(ЕТАЛОН_ПЛ,ПЛ_РЯДОК,0),0)),"")=0),"",DO15/IFERROR(INDEX(БАЗА_ЦІНИ,4,IFERROR(MATCH(ЕТАЛОН_ПЛ,ПЛ_РЯДОК,0),0)),"")-1)</f>
        <v/>
      </c>
      <c r="DQ46" s="70" t="str">
        <f aca="false">IF(OR(DQ15="",ЕТАЛОН_ПЛ="",IFERROR(INDEX(БАЗА_ЦІНИ,4,IFERROR(MATCH(ЕТАЛОН_ПЛ,ПЛ_РЯДОК,0),0)),"")=""),"",DQ15-IFERROR(INDEX(БАЗА_ЦІНИ,4,IFERROR(MATCH(ЕТАЛОН_ПЛ,ПЛ_РЯДОК,0),0)),""))</f>
        <v/>
      </c>
      <c r="DR46" s="71" t="str">
        <f aca="false">IF(OR(DQ15="",ЕТАЛОН_ПЛ="",IFERROR(INDEX(БАЗА_ЦІНИ,4,IFERROR(MATCH(ЕТАЛОН_ПЛ,ПЛ_РЯДОК,0),0)),"")="",IFERROR(INDEX(БАЗА_ЦІНИ,4,IFERROR(MATCH(ЕТАЛОН_ПЛ,ПЛ_РЯДОК,0),0)),"")=0),"",DQ15/IFERROR(INDEX(БАЗА_ЦІНИ,4,IFERROR(MATCH(ЕТАЛОН_ПЛ,ПЛ_РЯДОК,0),0)),"")-1)</f>
        <v/>
      </c>
      <c r="DS46" s="70" t="str">
        <f aca="false">IF(OR(DS15="",ЕТАЛОН_ПЛ="",IFERROR(INDEX(БАЗА_ЦІНИ,4,IFERROR(MATCH(ЕТАЛОН_ПЛ,ПЛ_РЯДОК,0),0)),"")=""),"",DS15-IFERROR(INDEX(БАЗА_ЦІНИ,4,IFERROR(MATCH(ЕТАЛОН_ПЛ,ПЛ_РЯДОК,0),0)),""))</f>
        <v/>
      </c>
      <c r="DT46" s="71" t="str">
        <f aca="false">IF(OR(DS15="",ЕТАЛОН_ПЛ="",IFERROR(INDEX(БАЗА_ЦІНИ,4,IFERROR(MATCH(ЕТАЛОН_ПЛ,ПЛ_РЯДОК,0),0)),"")="",IFERROR(INDEX(БАЗА_ЦІНИ,4,IFERROR(MATCH(ЕТАЛОН_ПЛ,ПЛ_РЯДОК,0),0)),"")=0),"",DS15/IFERROR(INDEX(БАЗА_ЦІНИ,4,IFERROR(MATCH(ЕТАЛОН_ПЛ,ПЛ_РЯДОК,0),0)),"")-1)</f>
        <v/>
      </c>
      <c r="DU46" s="70" t="str">
        <f aca="false">IF(OR(DU15="",ЕТАЛОН_ПЛ="",IFERROR(INDEX(БАЗА_ЦІНИ,4,IFERROR(MATCH(ЕТАЛОН_ПЛ,ПЛ_РЯДОК,0),0)),"")=""),"",DU15-IFERROR(INDEX(БАЗА_ЦІНИ,4,IFERROR(MATCH(ЕТАЛОН_ПЛ,ПЛ_РЯДОК,0),0)),""))</f>
        <v/>
      </c>
      <c r="DV46" s="71" t="str">
        <f aca="false">IF(OR(DU15="",ЕТАЛОН_ПЛ="",IFERROR(INDEX(БАЗА_ЦІНИ,4,IFERROR(MATCH(ЕТАЛОН_ПЛ,ПЛ_РЯДОК,0),0)),"")="",IFERROR(INDEX(БАЗА_ЦІНИ,4,IFERROR(MATCH(ЕТАЛОН_ПЛ,ПЛ_РЯДОК,0),0)),"")=0),"",DU15/IFERROR(INDEX(БАЗА_ЦІНИ,4,IFERROR(MATCH(ЕТАЛОН_ПЛ,ПЛ_РЯДОК,0),0)),"")-1)</f>
        <v/>
      </c>
      <c r="DW46" s="70" t="str">
        <f aca="false">IF(OR(DW15="",ЕТАЛОН_ПЛ="",IFERROR(INDEX(БАЗА_ЦІНИ,4,IFERROR(MATCH(ЕТАЛОН_ПЛ,ПЛ_РЯДОК,0),0)),"")=""),"",DW15-IFERROR(INDEX(БАЗА_ЦІНИ,4,IFERROR(MATCH(ЕТАЛОН_ПЛ,ПЛ_РЯДОК,0),0)),""))</f>
        <v/>
      </c>
      <c r="DX46" s="71" t="str">
        <f aca="false">IF(OR(DW15="",ЕТАЛОН_ПЛ="",IFERROR(INDEX(БАЗА_ЦІНИ,4,IFERROR(MATCH(ЕТАЛОН_ПЛ,ПЛ_РЯДОК,0),0)),"")="",IFERROR(INDEX(БАЗА_ЦІНИ,4,IFERROR(MATCH(ЕТАЛОН_ПЛ,ПЛ_РЯДОК,0),0)),"")=0),"",DW15/IFERROR(INDEX(БАЗА_ЦІНИ,4,IFERROR(MATCH(ЕТАЛОН_ПЛ,ПЛ_РЯДОК,0),0)),"")-1)</f>
        <v/>
      </c>
      <c r="DY46" s="70" t="str">
        <f aca="false">IF(OR(DY15="",ЕТАЛОН_ПЛ="",IFERROR(INDEX(БАЗА_ЦІНИ,4,IFERROR(MATCH(ЕТАЛОН_ПЛ,ПЛ_РЯДОК,0),0)),"")=""),"",DY15-IFERROR(INDEX(БАЗА_ЦІНИ,4,IFERROR(MATCH(ЕТАЛОН_ПЛ,ПЛ_РЯДОК,0),0)),""))</f>
        <v/>
      </c>
      <c r="DZ46" s="71" t="str">
        <f aca="false">IF(OR(DY15="",ЕТАЛОН_ПЛ="",IFERROR(INDEX(БАЗА_ЦІНИ,4,IFERROR(MATCH(ЕТАЛОН_ПЛ,ПЛ_РЯДОК,0),0)),"")="",IFERROR(INDEX(БАЗА_ЦІНИ,4,IFERROR(MATCH(ЕТАЛОН_ПЛ,ПЛ_РЯДОК,0),0)),"")=0),"",DY15/IFERROR(INDEX(БАЗА_ЦІНИ,4,IFERROR(MATCH(ЕТАЛОН_ПЛ,ПЛ_РЯДОК,0),0)),"")-1)</f>
        <v/>
      </c>
      <c r="EA46" s="70" t="str">
        <f aca="false">IF(OR(EA15="",ЕТАЛОН_ПЛ="",IFERROR(INDEX(БАЗА_ЦІНИ,4,IFERROR(MATCH(ЕТАЛОН_ПЛ,ПЛ_РЯДОК,0),0)),"")=""),"",EA15-IFERROR(INDEX(БАЗА_ЦІНИ,4,IFERROR(MATCH(ЕТАЛОН_ПЛ,ПЛ_РЯДОК,0),0)),""))</f>
        <v/>
      </c>
      <c r="EB46" s="71" t="str">
        <f aca="false">IF(OR(EA15="",ЕТАЛОН_ПЛ="",IFERROR(INDEX(БАЗА_ЦІНИ,4,IFERROR(MATCH(ЕТАЛОН_ПЛ,ПЛ_РЯДОК,0),0)),"")="",IFERROR(INDEX(БАЗА_ЦІНИ,4,IFERROR(MATCH(ЕТАЛОН_ПЛ,ПЛ_РЯДОК,0),0)),"")=0),"",EA15/IFERROR(INDEX(БАЗА_ЦІНИ,4,IFERROR(MATCH(ЕТАЛОН_ПЛ,ПЛ_РЯДОК,0),0)),"")-1)</f>
        <v/>
      </c>
      <c r="EC46" s="70" t="str">
        <f aca="false">IF(OR(EC15="",ЕТАЛОН_ПЛ="",IFERROR(INDEX(БАЗА_ЦІНИ,4,IFERROR(MATCH(ЕТАЛОН_ПЛ,ПЛ_РЯДОК,0),0)),"")=""),"",EC15-IFERROR(INDEX(БАЗА_ЦІНИ,4,IFERROR(MATCH(ЕТАЛОН_ПЛ,ПЛ_РЯДОК,0),0)),""))</f>
        <v/>
      </c>
      <c r="ED46" s="71" t="str">
        <f aca="false">IF(OR(EC15="",ЕТАЛОН_ПЛ="",IFERROR(INDEX(БАЗА_ЦІНИ,4,IFERROR(MATCH(ЕТАЛОН_ПЛ,ПЛ_РЯДОК,0),0)),"")="",IFERROR(INDEX(БАЗА_ЦІНИ,4,IFERROR(MATCH(ЕТАЛОН_ПЛ,ПЛ_РЯДОК,0),0)),"")=0),"",EC15/IFERROR(INDEX(БАЗА_ЦІНИ,4,IFERROR(MATCH(ЕТАЛОН_ПЛ,ПЛ_РЯДОК,0),0)),"")-1)</f>
        <v/>
      </c>
      <c r="EE46" s="70" t="str">
        <f aca="false">IF(OR(EE15="",ЕТАЛОН_ПЛ="",IFERROR(INDEX(БАЗА_ЦІНИ,4,IFERROR(MATCH(ЕТАЛОН_ПЛ,ПЛ_РЯДОК,0),0)),"")=""),"",EE15-IFERROR(INDEX(БАЗА_ЦІНИ,4,IFERROR(MATCH(ЕТАЛОН_ПЛ,ПЛ_РЯДОК,0),0)),""))</f>
        <v/>
      </c>
      <c r="EF46" s="71" t="str">
        <f aca="false">IF(OR(EE15="",ЕТАЛОН_ПЛ="",IFERROR(INDEX(БАЗА_ЦІНИ,4,IFERROR(MATCH(ЕТАЛОН_ПЛ,ПЛ_РЯДОК,0),0)),"")="",IFERROR(INDEX(БАЗА_ЦІНИ,4,IFERROR(MATCH(ЕТАЛОН_ПЛ,ПЛ_РЯДОК,0),0)),"")=0),"",EE15/IFERROR(INDEX(БАЗА_ЦІНИ,4,IFERROR(MATCH(ЕТАЛОН_ПЛ,ПЛ_РЯДОК,0),0)),"")-1)</f>
        <v/>
      </c>
      <c r="EG46" s="70" t="str">
        <f aca="false">IF(OR(EG15="",ЕТАЛОН_ПЛ="",IFERROR(INDEX(БАЗА_ЦІНИ,4,IFERROR(MATCH(ЕТАЛОН_ПЛ,ПЛ_РЯДОК,0),0)),"")=""),"",EG15-IFERROR(INDEX(БАЗА_ЦІНИ,4,IFERROR(MATCH(ЕТАЛОН_ПЛ,ПЛ_РЯДОК,0),0)),""))</f>
        <v/>
      </c>
      <c r="EH46" s="71" t="str">
        <f aca="false">IF(OR(EG15="",ЕТАЛОН_ПЛ="",IFERROR(INDEX(БАЗА_ЦІНИ,4,IFERROR(MATCH(ЕТАЛОН_ПЛ,ПЛ_РЯДОК,0),0)),"")="",IFERROR(INDEX(БАЗА_ЦІНИ,4,IFERROR(MATCH(ЕТАЛОН_ПЛ,ПЛ_РЯДОК,0),0)),"")=0),"",EG15/IFERROR(INDEX(БАЗА_ЦІНИ,4,IFERROR(MATCH(ЕТАЛОН_ПЛ,ПЛ_РЯДОК,0),0)),"")-1)</f>
        <v/>
      </c>
      <c r="EI46" s="70" t="str">
        <f aca="false">IF(OR(EI15="",ЕТАЛОН_ПЛ="",IFERROR(INDEX(БАЗА_ЦІНИ,4,IFERROR(MATCH(ЕТАЛОН_ПЛ,ПЛ_РЯДОК,0),0)),"")=""),"",EI15-IFERROR(INDEX(БАЗА_ЦІНИ,4,IFERROR(MATCH(ЕТАЛОН_ПЛ,ПЛ_РЯДОК,0),0)),""))</f>
        <v/>
      </c>
      <c r="EJ46" s="71" t="str">
        <f aca="false">IF(OR(EI15="",ЕТАЛОН_ПЛ="",IFERROR(INDEX(БАЗА_ЦІНИ,4,IFERROR(MATCH(ЕТАЛОН_ПЛ,ПЛ_РЯДОК,0),0)),"")="",IFERROR(INDEX(БАЗА_ЦІНИ,4,IFERROR(MATCH(ЕТАЛОН_ПЛ,ПЛ_РЯДОК,0),0)),"")=0),"",EI15/IFERROR(INDEX(БАЗА_ЦІНИ,4,IFERROR(MATCH(ЕТАЛОН_ПЛ,ПЛ_РЯДОК,0),0)),"")-1)</f>
        <v/>
      </c>
      <c r="EK46" s="70" t="str">
        <f aca="false">IF(OR(EK15="",ЕТАЛОН_ПЛ="",IFERROR(INDEX(БАЗА_ЦІНИ,4,IFERROR(MATCH(ЕТАЛОН_ПЛ,ПЛ_РЯДОК,0),0)),"")=""),"",EK15-IFERROR(INDEX(БАЗА_ЦІНИ,4,IFERROR(MATCH(ЕТАЛОН_ПЛ,ПЛ_РЯДОК,0),0)),""))</f>
        <v/>
      </c>
      <c r="EL46" s="71" t="str">
        <f aca="false">IF(OR(EK15="",ЕТАЛОН_ПЛ="",IFERROR(INDEX(БАЗА_ЦІНИ,4,IFERROR(MATCH(ЕТАЛОН_ПЛ,ПЛ_РЯДОК,0),0)),"")="",IFERROR(INDEX(БАЗА_ЦІНИ,4,IFERROR(MATCH(ЕТАЛОН_ПЛ,ПЛ_РЯДОК,0),0)),"")=0),"",EK15/IFERROR(INDEX(БАЗА_ЦІНИ,4,IFERROR(MATCH(ЕТАЛОН_ПЛ,ПЛ_РЯДОК,0),0)),"")-1)</f>
        <v/>
      </c>
      <c r="EM46" s="70" t="str">
        <f aca="false">IF(OR(EM15="",ЕТАЛОН_ПЛ="",IFERROR(INDEX(БАЗА_ЦІНИ,4,IFERROR(MATCH(ЕТАЛОН_ПЛ,ПЛ_РЯДОК,0),0)),"")=""),"",EM15-IFERROR(INDEX(БАЗА_ЦІНИ,4,IFERROR(MATCH(ЕТАЛОН_ПЛ,ПЛ_РЯДОК,0),0)),""))</f>
        <v/>
      </c>
      <c r="EN46" s="71" t="str">
        <f aca="false">IF(OR(EM15="",ЕТАЛОН_ПЛ="",IFERROR(INDEX(БАЗА_ЦІНИ,4,IFERROR(MATCH(ЕТАЛОН_ПЛ,ПЛ_РЯДОК,0),0)),"")="",IFERROR(INDEX(БАЗА_ЦІНИ,4,IFERROR(MATCH(ЕТАЛОН_ПЛ,ПЛ_РЯДОК,0),0)),"")=0),"",EM15/IFERROR(INDEX(БАЗА_ЦІНИ,4,IFERROR(MATCH(ЕТАЛОН_ПЛ,ПЛ_РЯДОК,0),0)),"")-1)</f>
        <v/>
      </c>
      <c r="EO46" s="70" t="str">
        <f aca="false">IF(OR(EO15="",ЕТАЛОН_ПЛ="",IFERROR(INDEX(БАЗА_ЦІНИ,4,IFERROR(MATCH(ЕТАЛОН_ПЛ,ПЛ_РЯДОК,0),0)),"")=""),"",EO15-IFERROR(INDEX(БАЗА_ЦІНИ,4,IFERROR(MATCH(ЕТАЛОН_ПЛ,ПЛ_РЯДОК,0),0)),""))</f>
        <v/>
      </c>
      <c r="EP46" s="71" t="str">
        <f aca="false">IF(OR(EO15="",ЕТАЛОН_ПЛ="",IFERROR(INDEX(БАЗА_ЦІНИ,4,IFERROR(MATCH(ЕТАЛОН_ПЛ,ПЛ_РЯДОК,0),0)),"")="",IFERROR(INDEX(БАЗА_ЦІНИ,4,IFERROR(MATCH(ЕТАЛОН_ПЛ,ПЛ_РЯДОК,0),0)),"")=0),"",EO15/IFERROR(INDEX(БАЗА_ЦІНИ,4,IFERROR(MATCH(ЕТАЛОН_ПЛ,ПЛ_РЯДОК,0),0)),"")-1)</f>
        <v/>
      </c>
      <c r="EQ46" s="70" t="str">
        <f aca="false">IF(OR(EQ15="",ЕТАЛОН_ПЛ="",IFERROR(INDEX(БАЗА_ЦІНИ,4,IFERROR(MATCH(ЕТАЛОН_ПЛ,ПЛ_РЯДОК,0),0)),"")=""),"",EQ15-IFERROR(INDEX(БАЗА_ЦІНИ,4,IFERROR(MATCH(ЕТАЛОН_ПЛ,ПЛ_РЯДОК,0),0)),""))</f>
        <v/>
      </c>
      <c r="ER46" s="71" t="str">
        <f aca="false">IF(OR(EQ15="",ЕТАЛОН_ПЛ="",IFERROR(INDEX(БАЗА_ЦІНИ,4,IFERROR(MATCH(ЕТАЛОН_ПЛ,ПЛ_РЯДОК,0),0)),"")="",IFERROR(INDEX(БАЗА_ЦІНИ,4,IFERROR(MATCH(ЕТАЛОН_ПЛ,ПЛ_РЯДОК,0),0)),"")=0),"",EQ15/IFERROR(INDEX(БАЗА_ЦІНИ,4,IFERROR(MATCH(ЕТАЛОН_ПЛ,ПЛ_РЯДОК,0),0)),"")-1)</f>
        <v/>
      </c>
      <c r="ES46" s="70" t="str">
        <f aca="false">IF(OR(ES15="",ЕТАЛОН_ПЛ="",IFERROR(INDEX(БАЗА_ЦІНИ,4,IFERROR(MATCH(ЕТАЛОН_ПЛ,ПЛ_РЯДОК,0),0)),"")=""),"",ES15-IFERROR(INDEX(БАЗА_ЦІНИ,4,IFERROR(MATCH(ЕТАЛОН_ПЛ,ПЛ_РЯДОК,0),0)),""))</f>
        <v/>
      </c>
      <c r="ET46" s="71" t="str">
        <f aca="false">IF(OR(ES15="",ЕТАЛОН_ПЛ="",IFERROR(INDEX(БАЗА_ЦІНИ,4,IFERROR(MATCH(ЕТАЛОН_ПЛ,ПЛ_РЯДОК,0),0)),"")="",IFERROR(INDEX(БАЗА_ЦІНИ,4,IFERROR(MATCH(ЕТАЛОН_ПЛ,ПЛ_РЯДОК,0),0)),"")=0),"",ES15/IFERROR(INDEX(БАЗА_ЦІНИ,4,IFERROR(MATCH(ЕТАЛОН_ПЛ,ПЛ_РЯДОК,0),0)),"")-1)</f>
        <v/>
      </c>
      <c r="EU46" s="70" t="str">
        <f aca="false">IF(OR(EU15="",ЕТАЛОН_ПЛ="",IFERROR(INDEX(БАЗА_ЦІНИ,4,IFERROR(MATCH(ЕТАЛОН_ПЛ,ПЛ_РЯДОК,0),0)),"")=""),"",EU15-IFERROR(INDEX(БАЗА_ЦІНИ,4,IFERROR(MATCH(ЕТАЛОН_ПЛ,ПЛ_РЯДОК,0),0)),""))</f>
        <v/>
      </c>
      <c r="EV46" s="71" t="str">
        <f aca="false">IF(OR(EU15="",ЕТАЛОН_ПЛ="",IFERROR(INDEX(БАЗА_ЦІНИ,4,IFERROR(MATCH(ЕТАЛОН_ПЛ,ПЛ_РЯДОК,0),0)),"")="",IFERROR(INDEX(БАЗА_ЦІНИ,4,IFERROR(MATCH(ЕТАЛОН_ПЛ,ПЛ_РЯДОК,0),0)),"")=0),"",EU15/IFERROR(INDEX(БАЗА_ЦІНИ,4,IFERROR(MATCH(ЕТАЛОН_ПЛ,ПЛ_РЯДОК,0),0)),"")-1)</f>
        <v/>
      </c>
      <c r="EW46" s="70" t="str">
        <f aca="false">IF(OR(EW15="",ЕТАЛОН_ПЛ="",IFERROR(INDEX(БАЗА_ЦІНИ,4,IFERROR(MATCH(ЕТАЛОН_ПЛ,ПЛ_РЯДОК,0),0)),"")=""),"",EW15-IFERROR(INDEX(БАЗА_ЦІНИ,4,IFERROR(MATCH(ЕТАЛОН_ПЛ,ПЛ_РЯДОК,0),0)),""))</f>
        <v/>
      </c>
      <c r="EX46" s="71" t="str">
        <f aca="false">IF(OR(EW15="",ЕТАЛОН_ПЛ="",IFERROR(INDEX(БАЗА_ЦІНИ,4,IFERROR(MATCH(ЕТАЛОН_ПЛ,ПЛ_РЯДОК,0),0)),"")="",IFERROR(INDEX(БАЗА_ЦІНИ,4,IFERROR(MATCH(ЕТАЛОН_ПЛ,ПЛ_РЯДОК,0),0)),"")=0),"",EW15/IFERROR(INDEX(БАЗА_ЦІНИ,4,IFERROR(MATCH(ЕТАЛОН_ПЛ,ПЛ_РЯДОК,0),0)),"")-1)</f>
        <v/>
      </c>
      <c r="EY46" s="70" t="str">
        <f aca="false">IF(OR(EY15="",ЕТАЛОН_ПЛ="",IFERROR(INDEX(БАЗА_ЦІНИ,4,IFERROR(MATCH(ЕТАЛОН_ПЛ,ПЛ_РЯДОК,0),0)),"")=""),"",EY15-IFERROR(INDEX(БАЗА_ЦІНИ,4,IFERROR(MATCH(ЕТАЛОН_ПЛ,ПЛ_РЯДОК,0),0)),""))</f>
        <v/>
      </c>
      <c r="EZ46" s="71" t="str">
        <f aca="false">IF(OR(EY15="",ЕТАЛОН_ПЛ="",IFERROR(INDEX(БАЗА_ЦІНИ,4,IFERROR(MATCH(ЕТАЛОН_ПЛ,ПЛ_РЯДОК,0),0)),"")="",IFERROR(INDEX(БАЗА_ЦІНИ,4,IFERROR(MATCH(ЕТАЛОН_ПЛ,ПЛ_РЯДОК,0),0)),"")=0),"",EY15/IFERROR(INDEX(БАЗА_ЦІНИ,4,IFERROR(MATCH(ЕТАЛОН_ПЛ,ПЛ_РЯДОК,0),0)),"")-1)</f>
        <v/>
      </c>
      <c r="FA46" s="70" t="str">
        <f aca="false">IF(OR(FA15="",ЕТАЛОН_ПЛ="",IFERROR(INDEX(БАЗА_ЦІНИ,4,IFERROR(MATCH(ЕТАЛОН_ПЛ,ПЛ_РЯДОК,0),0)),"")=""),"",FA15-IFERROR(INDEX(БАЗА_ЦІНИ,4,IFERROR(MATCH(ЕТАЛОН_ПЛ,ПЛ_РЯДОК,0),0)),""))</f>
        <v/>
      </c>
      <c r="FB46" s="71" t="str">
        <f aca="false">IF(OR(FA15="",ЕТАЛОН_ПЛ="",IFERROR(INDEX(БАЗА_ЦІНИ,4,IFERROR(MATCH(ЕТАЛОН_ПЛ,ПЛ_РЯДОК,0),0)),"")="",IFERROR(INDEX(БАЗА_ЦІНИ,4,IFERROR(MATCH(ЕТАЛОН_ПЛ,ПЛ_РЯДОК,0),0)),"")=0),"",FA15/IFERROR(INDEX(БАЗА_ЦІНИ,4,IFERROR(MATCH(ЕТАЛОН_ПЛ,ПЛ_РЯДОК,0),0)),"")-1)</f>
        <v/>
      </c>
      <c r="FC46" s="70" t="str">
        <f aca="false">IF(OR(FC15="",ЕТАЛОН_ПЛ="",IFERROR(INDEX(БАЗА_ЦІНИ,4,IFERROR(MATCH(ЕТАЛОН_ПЛ,ПЛ_РЯДОК,0),0)),"")=""),"",FC15-IFERROR(INDEX(БАЗА_ЦІНИ,4,IFERROR(MATCH(ЕТАЛОН_ПЛ,ПЛ_РЯДОК,0),0)),""))</f>
        <v/>
      </c>
      <c r="FD46" s="71" t="str">
        <f aca="false">IF(OR(FC15="",ЕТАЛОН_ПЛ="",IFERROR(INDEX(БАЗА_ЦІНИ,4,IFERROR(MATCH(ЕТАЛОН_ПЛ,ПЛ_РЯДОК,0),0)),"")="",IFERROR(INDEX(БАЗА_ЦІНИ,4,IFERROR(MATCH(ЕТАЛОН_ПЛ,ПЛ_РЯДОК,0),0)),"")=0),"",FC15/IFERROR(INDEX(БАЗА_ЦІНИ,4,IFERROR(MATCH(ЕТАЛОН_ПЛ,ПЛ_РЯДОК,0),0)),"")-1)</f>
        <v/>
      </c>
      <c r="FE46" s="70" t="str">
        <f aca="false">IF(OR(FE15="",ЕТАЛОН_ПЛ="",IFERROR(INDEX(БАЗА_ЦІНИ,4,IFERROR(MATCH(ЕТАЛОН_ПЛ,ПЛ_РЯДОК,0),0)),"")=""),"",FE15-IFERROR(INDEX(БАЗА_ЦІНИ,4,IFERROR(MATCH(ЕТАЛОН_ПЛ,ПЛ_РЯДОК,0),0)),""))</f>
        <v/>
      </c>
      <c r="FF46" s="71" t="str">
        <f aca="false">IF(OR(FE15="",ЕТАЛОН_ПЛ="",IFERROR(INDEX(БАЗА_ЦІНИ,4,IFERROR(MATCH(ЕТАЛОН_ПЛ,ПЛ_РЯДОК,0),0)),"")="",IFERROR(INDEX(БАЗА_ЦІНИ,4,IFERROR(MATCH(ЕТАЛОН_ПЛ,ПЛ_РЯДОК,0),0)),"")=0),"",FE15/IFERROR(INDEX(БАЗА_ЦІНИ,4,IFERROR(MATCH(ЕТАЛОН_ПЛ,ПЛ_РЯДОК,0),0)),"")-1)</f>
        <v/>
      </c>
      <c r="FG46" s="70" t="str">
        <f aca="false">IF(OR(FG15="",ЕТАЛОН_ПЛ="",IFERROR(INDEX(БАЗА_ЦІНИ,4,IFERROR(MATCH(ЕТАЛОН_ПЛ,ПЛ_РЯДОК,0),0)),"")=""),"",FG15-IFERROR(INDEX(БАЗА_ЦІНИ,4,IFERROR(MATCH(ЕТАЛОН_ПЛ,ПЛ_РЯДОК,0),0)),""))</f>
        <v/>
      </c>
      <c r="FH46" s="71" t="str">
        <f aca="false">IF(OR(FG15="",ЕТАЛОН_ПЛ="",IFERROR(INDEX(БАЗА_ЦІНИ,4,IFERROR(MATCH(ЕТАЛОН_ПЛ,ПЛ_РЯДОК,0),0)),"")="",IFERROR(INDEX(БАЗА_ЦІНИ,4,IFERROR(MATCH(ЕТАЛОН_ПЛ,ПЛ_РЯДОК,0),0)),"")=0),"",FG15/IFERROR(INDEX(БАЗА_ЦІНИ,4,IFERROR(MATCH(ЕТАЛОН_ПЛ,ПЛ_РЯДОК,0),0)),"")-1)</f>
        <v/>
      </c>
      <c r="FI46" s="70" t="str">
        <f aca="false">IF(OR(FI15="",ЕТАЛОН_ПЛ="",IFERROR(INDEX(БАЗА_ЦІНИ,4,IFERROR(MATCH(ЕТАЛОН_ПЛ,ПЛ_РЯДОК,0),0)),"")=""),"",FI15-IFERROR(INDEX(БАЗА_ЦІНИ,4,IFERROR(MATCH(ЕТАЛОН_ПЛ,ПЛ_РЯДОК,0),0)),""))</f>
        <v/>
      </c>
      <c r="FJ46" s="71" t="str">
        <f aca="false">IF(OR(FI15="",ЕТАЛОН_ПЛ="",IFERROR(INDEX(БАЗА_ЦІНИ,4,IFERROR(MATCH(ЕТАЛОН_ПЛ,ПЛ_РЯДОК,0),0)),"")="",IFERROR(INDEX(БАЗА_ЦІНИ,4,IFERROR(MATCH(ЕТАЛОН_ПЛ,ПЛ_РЯДОК,0),0)),"")=0),"",FI15/IFERROR(INDEX(БАЗА_ЦІНИ,4,IFERROR(MATCH(ЕТАЛОН_ПЛ,ПЛ_РЯДОК,0),0)),"")-1)</f>
        <v/>
      </c>
      <c r="FK46" s="70" t="str">
        <f aca="false">IF(OR(FK15="",ЕТАЛОН_ПЛ="",IFERROR(INDEX(БАЗА_ЦІНИ,4,IFERROR(MATCH(ЕТАЛОН_ПЛ,ПЛ_РЯДОК,0),0)),"")=""),"",FK15-IFERROR(INDEX(БАЗА_ЦІНИ,4,IFERROR(MATCH(ЕТАЛОН_ПЛ,ПЛ_РЯДОК,0),0)),""))</f>
        <v/>
      </c>
      <c r="FL46" s="71" t="str">
        <f aca="false">IF(OR(FK15="",ЕТАЛОН_ПЛ="",IFERROR(INDEX(БАЗА_ЦІНИ,4,IFERROR(MATCH(ЕТАЛОН_ПЛ,ПЛ_РЯДОК,0),0)),"")="",IFERROR(INDEX(БАЗА_ЦІНИ,4,IFERROR(MATCH(ЕТАЛОН_ПЛ,ПЛ_РЯДОК,0),0)),"")=0),"",FK15/IFERROR(INDEX(БАЗА_ЦІНИ,4,IFERROR(MATCH(ЕТАЛОН_ПЛ,ПЛ_РЯДОК,0),0)),"")-1)</f>
        <v/>
      </c>
      <c r="FM46" s="70" t="str">
        <f aca="false">IF(OR(FM15="",ЕТАЛОН_ПЛ="",IFERROR(INDEX(БАЗА_ЦІНИ,4,IFERROR(MATCH(ЕТАЛОН_ПЛ,ПЛ_РЯДОК,0),0)),"")=""),"",FM15-IFERROR(INDEX(БАЗА_ЦІНИ,4,IFERROR(MATCH(ЕТАЛОН_ПЛ,ПЛ_РЯДОК,0),0)),""))</f>
        <v/>
      </c>
      <c r="FN46" s="71" t="str">
        <f aca="false">IF(OR(FM15="",ЕТАЛОН_ПЛ="",IFERROR(INDEX(БАЗА_ЦІНИ,4,IFERROR(MATCH(ЕТАЛОН_ПЛ,ПЛ_РЯДОК,0),0)),"")="",IFERROR(INDEX(БАЗА_ЦІНИ,4,IFERROR(MATCH(ЕТАЛОН_ПЛ,ПЛ_РЯДОК,0),0)),"")=0),"",FM15/IFERROR(INDEX(БАЗА_ЦІНИ,4,IFERROR(MATCH(ЕТАЛОН_ПЛ,ПЛ_РЯДОК,0),0)),"")-1)</f>
        <v/>
      </c>
      <c r="FO46" s="70" t="str">
        <f aca="false">IF(OR(FO15="",ЕТАЛОН_ПЛ="",IFERROR(INDEX(БАЗА_ЦІНИ,4,IFERROR(MATCH(ЕТАЛОН_ПЛ,ПЛ_РЯДОК,0),0)),"")=""),"",FO15-IFERROR(INDEX(БАЗА_ЦІНИ,4,IFERROR(MATCH(ЕТАЛОН_ПЛ,ПЛ_РЯДОК,0),0)),""))</f>
        <v/>
      </c>
      <c r="FP46" s="71" t="str">
        <f aca="false">IF(OR(FO15="",ЕТАЛОН_ПЛ="",IFERROR(INDEX(БАЗА_ЦІНИ,4,IFERROR(MATCH(ЕТАЛОН_ПЛ,ПЛ_РЯДОК,0),0)),"")="",IFERROR(INDEX(БАЗА_ЦІНИ,4,IFERROR(MATCH(ЕТАЛОН_ПЛ,ПЛ_РЯДОК,0),0)),"")=0),"",FO15/IFERROR(INDEX(БАЗА_ЦІНИ,4,IFERROR(MATCH(ЕТАЛОН_ПЛ,ПЛ_РЯДОК,0),0)),"")-1)</f>
        <v/>
      </c>
      <c r="FQ46" s="70" t="str">
        <f aca="false">IF(OR(FQ15="",ЕТАЛОН_ПЛ="",IFERROR(INDEX(БАЗА_ЦІНИ,4,IFERROR(MATCH(ЕТАЛОН_ПЛ,ПЛ_РЯДОК,0),0)),"")=""),"",FQ15-IFERROR(INDEX(БАЗА_ЦІНИ,4,IFERROR(MATCH(ЕТАЛОН_ПЛ,ПЛ_РЯДОК,0),0)),""))</f>
        <v/>
      </c>
      <c r="FR46" s="71" t="str">
        <f aca="false">IF(OR(FQ15="",ЕТАЛОН_ПЛ="",IFERROR(INDEX(БАЗА_ЦІНИ,4,IFERROR(MATCH(ЕТАЛОН_ПЛ,ПЛ_РЯДОК,0),0)),"")="",IFERROR(INDEX(БАЗА_ЦІНИ,4,IFERROR(MATCH(ЕТАЛОН_ПЛ,ПЛ_РЯДОК,0),0)),"")=0),"",FQ15/IFERROR(INDEX(БАЗА_ЦІНИ,4,IFERROR(MATCH(ЕТАЛОН_ПЛ,ПЛ_РЯДОК,0),0)),"")-1)</f>
        <v/>
      </c>
      <c r="FS46" s="70" t="str">
        <f aca="false">IF(OR(FS15="",ЕТАЛОН_ПЛ="",IFERROR(INDEX(БАЗА_ЦІНИ,4,IFERROR(MATCH(ЕТАЛОН_ПЛ,ПЛ_РЯДОК,0),0)),"")=""),"",FS15-IFERROR(INDEX(БАЗА_ЦІНИ,4,IFERROR(MATCH(ЕТАЛОН_ПЛ,ПЛ_РЯДОК,0),0)),""))</f>
        <v/>
      </c>
      <c r="FT46" s="71" t="str">
        <f aca="false">IF(OR(FS15="",ЕТАЛОН_ПЛ="",IFERROR(INDEX(БАЗА_ЦІНИ,4,IFERROR(MATCH(ЕТАЛОН_ПЛ,ПЛ_РЯДОК,0),0)),"")="",IFERROR(INDEX(БАЗА_ЦІНИ,4,IFERROR(MATCH(ЕТАЛОН_ПЛ,ПЛ_РЯДОК,0),0)),"")=0),"",FS15/IFERROR(INDEX(БАЗА_ЦІНИ,4,IFERROR(MATCH(ЕТАЛОН_ПЛ,ПЛ_РЯДОК,0),0)),"")-1)</f>
        <v/>
      </c>
      <c r="FU46" s="70" t="str">
        <f aca="false">IF(OR(FU15="",ЕТАЛОН_ПЛ="",IFERROR(INDEX(БАЗА_ЦІНИ,4,IFERROR(MATCH(ЕТАЛОН_ПЛ,ПЛ_РЯДОК,0),0)),"")=""),"",FU15-IFERROR(INDEX(БАЗА_ЦІНИ,4,IFERROR(MATCH(ЕТАЛОН_ПЛ,ПЛ_РЯДОК,0),0)),""))</f>
        <v/>
      </c>
      <c r="FV46" s="71" t="str">
        <f aca="false">IF(OR(FU15="",ЕТАЛОН_ПЛ="",IFERROR(INDEX(БАЗА_ЦІНИ,4,IFERROR(MATCH(ЕТАЛОН_ПЛ,ПЛ_РЯДОК,0),0)),"")="",IFERROR(INDEX(БАЗА_ЦІНИ,4,IFERROR(MATCH(ЕТАЛОН_ПЛ,ПЛ_РЯДОК,0),0)),"")=0),"",FU15/IFERROR(INDEX(БАЗА_ЦІНИ,4,IFERROR(MATCH(ЕТАЛОН_ПЛ,ПЛ_РЯДОК,0),0)),"")-1)</f>
        <v/>
      </c>
      <c r="FW46" s="70" t="str">
        <f aca="false">IF(OR(FW15="",ЕТАЛОН_ПЛ="",IFERROR(INDEX(БАЗА_ЦІНИ,4,IFERROR(MATCH(ЕТАЛОН_ПЛ,ПЛ_РЯДОК,0),0)),"")=""),"",FW15-IFERROR(INDEX(БАЗА_ЦІНИ,4,IFERROR(MATCH(ЕТАЛОН_ПЛ,ПЛ_РЯДОК,0),0)),""))</f>
        <v/>
      </c>
      <c r="FX46" s="71" t="str">
        <f aca="false">IF(OR(FW15="",ЕТАЛОН_ПЛ="",IFERROR(INDEX(БАЗА_ЦІНИ,4,IFERROR(MATCH(ЕТАЛОН_ПЛ,ПЛ_РЯДОК,0),0)),"")="",IFERROR(INDEX(БАЗА_ЦІНИ,4,IFERROR(MATCH(ЕТАЛОН_ПЛ,ПЛ_РЯДОК,0),0)),"")=0),"",FW15/IFERROR(INDEX(БАЗА_ЦІНИ,4,IFERROR(MATCH(ЕТАЛОН_ПЛ,ПЛ_РЯДОК,0),0)),"")-1)</f>
        <v/>
      </c>
      <c r="FY46" s="70" t="str">
        <f aca="false">IF(OR(FY15="",ЕТАЛОН_ПЛ="",IFERROR(INDEX(БАЗА_ЦІНИ,4,IFERROR(MATCH(ЕТАЛОН_ПЛ,ПЛ_РЯДОК,0),0)),"")=""),"",FY15-IFERROR(INDEX(БАЗА_ЦІНИ,4,IFERROR(MATCH(ЕТАЛОН_ПЛ,ПЛ_РЯДОК,0),0)),""))</f>
        <v/>
      </c>
      <c r="FZ46" s="71" t="str">
        <f aca="false">IF(OR(FY15="",ЕТАЛОН_ПЛ="",IFERROR(INDEX(БАЗА_ЦІНИ,4,IFERROR(MATCH(ЕТАЛОН_ПЛ,ПЛ_РЯДОК,0),0)),"")="",IFERROR(INDEX(БАЗА_ЦІНИ,4,IFERROR(MATCH(ЕТАЛОН_ПЛ,ПЛ_РЯДОК,0),0)),"")=0),"",FY15/IFERROR(INDEX(БАЗА_ЦІНИ,4,IFERROR(MATCH(ЕТАЛОН_ПЛ,ПЛ_РЯДОК,0),0)),"")-1)</f>
        <v/>
      </c>
      <c r="GA46" s="70" t="str">
        <f aca="false">IF(OR(GA15="",ЕТАЛОН_ПЛ="",IFERROR(INDEX(БАЗА_ЦІНИ,4,IFERROR(MATCH(ЕТАЛОН_ПЛ,ПЛ_РЯДОК,0),0)),"")=""),"",GA15-IFERROR(INDEX(БАЗА_ЦІНИ,4,IFERROR(MATCH(ЕТАЛОН_ПЛ,ПЛ_РЯДОК,0),0)),""))</f>
        <v/>
      </c>
      <c r="GB46" s="71" t="str">
        <f aca="false">IF(OR(GA15="",ЕТАЛОН_ПЛ="",IFERROR(INDEX(БАЗА_ЦІНИ,4,IFERROR(MATCH(ЕТАЛОН_ПЛ,ПЛ_РЯДОК,0),0)),"")="",IFERROR(INDEX(БАЗА_ЦІНИ,4,IFERROR(MATCH(ЕТАЛОН_ПЛ,ПЛ_РЯДОК,0),0)),"")=0),"",GA15/IFERROR(INDEX(БАЗА_ЦІНИ,4,IFERROR(MATCH(ЕТАЛОН_ПЛ,ПЛ_РЯДОК,0),0)),"")-1)</f>
        <v/>
      </c>
      <c r="GC46" s="70" t="str">
        <f aca="false">IF(OR(GC15="",ЕТАЛОН_ПЛ="",IFERROR(INDEX(БАЗА_ЦІНИ,4,IFERROR(MATCH(ЕТАЛОН_ПЛ,ПЛ_РЯДОК,0),0)),"")=""),"",GC15-IFERROR(INDEX(БАЗА_ЦІНИ,4,IFERROR(MATCH(ЕТАЛОН_ПЛ,ПЛ_РЯДОК,0),0)),""))</f>
        <v/>
      </c>
      <c r="GD46" s="71" t="str">
        <f aca="false">IF(OR(GC15="",ЕТАЛОН_ПЛ="",IFERROR(INDEX(БАЗА_ЦІНИ,4,IFERROR(MATCH(ЕТАЛОН_ПЛ,ПЛ_РЯДОК,0),0)),"")="",IFERROR(INDEX(БАЗА_ЦІНИ,4,IFERROR(MATCH(ЕТАЛОН_ПЛ,ПЛ_РЯДОК,0),0)),"")=0),"",GC15/IFERROR(INDEX(БАЗА_ЦІНИ,4,IFERROR(MATCH(ЕТАЛОН_ПЛ,ПЛ_РЯДОК,0),0)),"")-1)</f>
        <v/>
      </c>
      <c r="GE46" s="70" t="str">
        <f aca="false">IF(OR(GE15="",ЕТАЛОН_ПЛ="",IFERROR(INDEX(БАЗА_ЦІНИ,4,IFERROR(MATCH(ЕТАЛОН_ПЛ,ПЛ_РЯДОК,0),0)),"")=""),"",GE15-IFERROR(INDEX(БАЗА_ЦІНИ,4,IFERROR(MATCH(ЕТАЛОН_ПЛ,ПЛ_РЯДОК,0),0)),""))</f>
        <v/>
      </c>
      <c r="GF46" s="71" t="str">
        <f aca="false">IF(OR(GE15="",ЕТАЛОН_ПЛ="",IFERROR(INDEX(БАЗА_ЦІНИ,4,IFERROR(MATCH(ЕТАЛОН_ПЛ,ПЛ_РЯДОК,0),0)),"")="",IFERROR(INDEX(БАЗА_ЦІНИ,4,IFERROR(MATCH(ЕТАЛОН_ПЛ,ПЛ_РЯДОК,0),0)),"")=0),"",GE15/IFERROR(INDEX(БАЗА_ЦІНИ,4,IFERROR(MATCH(ЕТАЛОН_ПЛ,ПЛ_РЯДОК,0),0)),"")-1)</f>
        <v/>
      </c>
      <c r="GG46" s="70" t="str">
        <f aca="false">IF(OR(GG15="",ЕТАЛОН_ПЛ="",IFERROR(INDEX(БАЗА_ЦІНИ,4,IFERROR(MATCH(ЕТАЛОН_ПЛ,ПЛ_РЯДОК,0),0)),"")=""),"",GG15-IFERROR(INDEX(БАЗА_ЦІНИ,4,IFERROR(MATCH(ЕТАЛОН_ПЛ,ПЛ_РЯДОК,0),0)),""))</f>
        <v/>
      </c>
      <c r="GH46" s="71" t="str">
        <f aca="false">IF(OR(GG15="",ЕТАЛОН_ПЛ="",IFERROR(INDEX(БАЗА_ЦІНИ,4,IFERROR(MATCH(ЕТАЛОН_ПЛ,ПЛ_РЯДОК,0),0)),"")="",IFERROR(INDEX(БАЗА_ЦІНИ,4,IFERROR(MATCH(ЕТАЛОН_ПЛ,ПЛ_РЯДОК,0),0)),"")=0),"",GG15/IFERROR(INDEX(БАЗА_ЦІНИ,4,IFERROR(MATCH(ЕТАЛОН_ПЛ,ПЛ_РЯДОК,0),0)),"")-1)</f>
        <v/>
      </c>
      <c r="GI46" s="70" t="str">
        <f aca="false">IF(OR(GI15="",ЕТАЛОН_ПЛ="",IFERROR(INDEX(БАЗА_ЦІНИ,4,IFERROR(MATCH(ЕТАЛОН_ПЛ,ПЛ_РЯДОК,0),0)),"")=""),"",GI15-IFERROR(INDEX(БАЗА_ЦІНИ,4,IFERROR(MATCH(ЕТАЛОН_ПЛ,ПЛ_РЯДОК,0),0)),""))</f>
        <v/>
      </c>
      <c r="GJ46" s="71" t="str">
        <f aca="false">IF(OR(GI15="",ЕТАЛОН_ПЛ="",IFERROR(INDEX(БАЗА_ЦІНИ,4,IFERROR(MATCH(ЕТАЛОН_ПЛ,ПЛ_РЯДОК,0),0)),"")="",IFERROR(INDEX(БАЗА_ЦІНИ,4,IFERROR(MATCH(ЕТАЛОН_ПЛ,ПЛ_РЯДОК,0),0)),"")=0),"",GI15/IFERROR(INDEX(БАЗА_ЦІНИ,4,IFERROR(MATCH(ЕТАЛОН_ПЛ,ПЛ_РЯДОК,0),0)),"")-1)</f>
        <v/>
      </c>
      <c r="GK46" s="70" t="str">
        <f aca="false">IF(OR(GK15="",ЕТАЛОН_ПЛ="",IFERROR(INDEX(БАЗА_ЦІНИ,4,IFERROR(MATCH(ЕТАЛОН_ПЛ,ПЛ_РЯДОК,0),0)),"")=""),"",GK15-IFERROR(INDEX(БАЗА_ЦІНИ,4,IFERROR(MATCH(ЕТАЛОН_ПЛ,ПЛ_РЯДОК,0),0)),""))</f>
        <v/>
      </c>
      <c r="GL46" s="71" t="str">
        <f aca="false">IF(OR(GK15="",ЕТАЛОН_ПЛ="",IFERROR(INDEX(БАЗА_ЦІНИ,4,IFERROR(MATCH(ЕТАЛОН_ПЛ,ПЛ_РЯДОК,0),0)),"")="",IFERROR(INDEX(БАЗА_ЦІНИ,4,IFERROR(MATCH(ЕТАЛОН_ПЛ,ПЛ_РЯДОК,0),0)),"")=0),"",GK15/IFERROR(INDEX(БАЗА_ЦІНИ,4,IFERROR(MATCH(ЕТАЛОН_ПЛ,ПЛ_РЯДОК,0),0)),"")-1)</f>
        <v/>
      </c>
      <c r="GM46" s="70" t="str">
        <f aca="false">IF(OR(GM15="",ЕТАЛОН_ПЛ="",IFERROR(INDEX(БАЗА_ЦІНИ,4,IFERROR(MATCH(ЕТАЛОН_ПЛ,ПЛ_РЯДОК,0),0)),"")=""),"",GM15-IFERROR(INDEX(БАЗА_ЦІНИ,4,IFERROR(MATCH(ЕТАЛОН_ПЛ,ПЛ_РЯДОК,0),0)),""))</f>
        <v/>
      </c>
      <c r="GN46" s="71" t="str">
        <f aca="false">IF(OR(GM15="",ЕТАЛОН_ПЛ="",IFERROR(INDEX(БАЗА_ЦІНИ,4,IFERROR(MATCH(ЕТАЛОН_ПЛ,ПЛ_РЯДОК,0),0)),"")="",IFERROR(INDEX(БАЗА_ЦІНИ,4,IFERROR(MATCH(ЕТАЛОН_ПЛ,ПЛ_РЯДОК,0),0)),"")=0),"",GM15/IFERROR(INDEX(БАЗА_ЦІНИ,4,IFERROR(MATCH(ЕТАЛОН_ПЛ,ПЛ_РЯДОК,0),0)),"")-1)</f>
        <v/>
      </c>
      <c r="GO46" s="70" t="str">
        <f aca="false">IF(OR(GO15="",ЕТАЛОН_ПЛ="",IFERROR(INDEX(БАЗА_ЦІНИ,4,IFERROR(MATCH(ЕТАЛОН_ПЛ,ПЛ_РЯДОК,0),0)),"")=""),"",GO15-IFERROR(INDEX(БАЗА_ЦІНИ,4,IFERROR(MATCH(ЕТАЛОН_ПЛ,ПЛ_РЯДОК,0),0)),""))</f>
        <v/>
      </c>
      <c r="GP46" s="71" t="str">
        <f aca="false">IF(OR(GO15="",ЕТАЛОН_ПЛ="",IFERROR(INDEX(БАЗА_ЦІНИ,4,IFERROR(MATCH(ЕТАЛОН_ПЛ,ПЛ_РЯДОК,0),0)),"")="",IFERROR(INDEX(БАЗА_ЦІНИ,4,IFERROR(MATCH(ЕТАЛОН_ПЛ,ПЛ_РЯДОК,0),0)),"")=0),"",GO15/IFERROR(INDEX(БАЗА_ЦІНИ,4,IFERROR(MATCH(ЕТАЛОН_ПЛ,ПЛ_РЯДОК,0),0)),"")-1)</f>
        <v/>
      </c>
      <c r="GQ46" s="70" t="str">
        <f aca="false">IF(OR(GQ15="",ЕТАЛОН_ПЛ="",IFERROR(INDEX(БАЗА_ЦІНИ,4,IFERROR(MATCH(ЕТАЛОН_ПЛ,ПЛ_РЯДОК,0),0)),"")=""),"",GQ15-IFERROR(INDEX(БАЗА_ЦІНИ,4,IFERROR(MATCH(ЕТАЛОН_ПЛ,ПЛ_РЯДОК,0),0)),""))</f>
        <v/>
      </c>
      <c r="GR46" s="71" t="str">
        <f aca="false">IF(OR(GQ15="",ЕТАЛОН_ПЛ="",IFERROR(INDEX(БАЗА_ЦІНИ,4,IFERROR(MATCH(ЕТАЛОН_ПЛ,ПЛ_РЯДОК,0),0)),"")="",IFERROR(INDEX(БАЗА_ЦІНИ,4,IFERROR(MATCH(ЕТАЛОН_ПЛ,ПЛ_РЯДОК,0),0)),"")=0),"",GQ15/IFERROR(INDEX(БАЗА_ЦІНИ,4,IFERROR(MATCH(ЕТАЛОН_ПЛ,ПЛ_РЯДОК,0),0)),"")-1)</f>
        <v/>
      </c>
      <c r="GS46" s="70" t="str">
        <f aca="false">IF(OR(GS15="",ЕТАЛОН_ПЛ="",IFERROR(INDEX(БАЗА_ЦІНИ,4,IFERROR(MATCH(ЕТАЛОН_ПЛ,ПЛ_РЯДОК,0),0)),"")=""),"",GS15-IFERROR(INDEX(БАЗА_ЦІНИ,4,IFERROR(MATCH(ЕТАЛОН_ПЛ,ПЛ_РЯДОК,0),0)),""))</f>
        <v/>
      </c>
      <c r="GT46" s="71" t="str">
        <f aca="false">IF(OR(GS15="",ЕТАЛОН_ПЛ="",IFERROR(INDEX(БАЗА_ЦІНИ,4,IFERROR(MATCH(ЕТАЛОН_ПЛ,ПЛ_РЯДОК,0),0)),"")="",IFERROR(INDEX(БАЗА_ЦІНИ,4,IFERROR(MATCH(ЕТАЛОН_ПЛ,ПЛ_РЯДОК,0),0)),"")=0),"",GS15/IFERROR(INDEX(БАЗА_ЦІНИ,4,IFERROR(MATCH(ЕТАЛОН_ПЛ,ПЛ_РЯДОК,0),0)),"")-1)</f>
        <v/>
      </c>
      <c r="GU46" s="70" t="str">
        <f aca="false">IF(OR(GU15="",ЕТАЛОН_ПЛ="",IFERROR(INDEX(БАЗА_ЦІНИ,4,IFERROR(MATCH(ЕТАЛОН_ПЛ,ПЛ_РЯДОК,0),0)),"")=""),"",GU15-IFERROR(INDEX(БАЗА_ЦІНИ,4,IFERROR(MATCH(ЕТАЛОН_ПЛ,ПЛ_РЯДОК,0),0)),""))</f>
        <v/>
      </c>
      <c r="GV46" s="71" t="str">
        <f aca="false">IF(OR(GU15="",ЕТАЛОН_ПЛ="",IFERROR(INDEX(БАЗА_ЦІНИ,4,IFERROR(MATCH(ЕТАЛОН_ПЛ,ПЛ_РЯДОК,0),0)),"")="",IFERROR(INDEX(БАЗА_ЦІНИ,4,IFERROR(MATCH(ЕТАЛОН_ПЛ,ПЛ_РЯДОК,0),0)),"")=0),"",GU15/IFERROR(INDEX(БАЗА_ЦІНИ,4,IFERROR(MATCH(ЕТАЛОН_ПЛ,ПЛ_РЯДОК,0),0)),"")-1)</f>
        <v/>
      </c>
      <c r="GW46" s="70" t="str">
        <f aca="false">IF(OR(GW15="",ЕТАЛОН_ПЛ="",IFERROR(INDEX(БАЗА_ЦІНИ,4,IFERROR(MATCH(ЕТАЛОН_ПЛ,ПЛ_РЯДОК,0),0)),"")=""),"",GW15-IFERROR(INDEX(БАЗА_ЦІНИ,4,IFERROR(MATCH(ЕТАЛОН_ПЛ,ПЛ_РЯДОК,0),0)),""))</f>
        <v/>
      </c>
      <c r="GX46" s="71" t="str">
        <f aca="false">IF(OR(GW15="",ЕТАЛОН_ПЛ="",IFERROR(INDEX(БАЗА_ЦІНИ,4,IFERROR(MATCH(ЕТАЛОН_ПЛ,ПЛ_РЯДОК,0),0)),"")="",IFERROR(INDEX(БАЗА_ЦІНИ,4,IFERROR(MATCH(ЕТАЛОН_ПЛ,ПЛ_РЯДОК,0),0)),"")=0),"",GW15/IFERROR(INDEX(БАЗА_ЦІНИ,4,IFERROR(MATCH(ЕТАЛОН_ПЛ,ПЛ_РЯДОК,0),0)),"")-1)</f>
        <v/>
      </c>
      <c r="GY46" s="70" t="str">
        <f aca="false">IF(OR(GY15="",ЕТАЛОН_ПЛ="",IFERROR(INDEX(БАЗА_ЦІНИ,4,IFERROR(MATCH(ЕТАЛОН_ПЛ,ПЛ_РЯДОК,0),0)),"")=""),"",GY15-IFERROR(INDEX(БАЗА_ЦІНИ,4,IFERROR(MATCH(ЕТАЛОН_ПЛ,ПЛ_РЯДОК,0),0)),""))</f>
        <v/>
      </c>
      <c r="GZ46" s="71" t="str">
        <f aca="false">IF(OR(GY15="",ЕТАЛОН_ПЛ="",IFERROR(INDEX(БАЗА_ЦІНИ,4,IFERROR(MATCH(ЕТАЛОН_ПЛ,ПЛ_РЯДОК,0),0)),"")="",IFERROR(INDEX(БАЗА_ЦІНИ,4,IFERROR(MATCH(ЕТАЛОН_ПЛ,ПЛ_РЯДОК,0),0)),"")=0),"",GY15/IFERROR(INDEX(БАЗА_ЦІНИ,4,IFERROR(MATCH(ЕТАЛОН_ПЛ,ПЛ_РЯДОК,0),0)),"")-1)</f>
        <v/>
      </c>
    </row>
    <row r="47" customFormat="false" ht="15" hidden="false" customHeight="false" outlineLevel="0" collapsed="false">
      <c r="A47" s="54"/>
      <c r="B47" s="55"/>
      <c r="C47" s="55"/>
      <c r="D47" s="56"/>
      <c r="E47" s="57"/>
      <c r="H47" s="16" t="str">
        <f aca="false">IF('Довідник категорій'!B9="","",'Довідник категорій'!B9)</f>
        <v/>
      </c>
      <c r="I47" s="70" t="str">
        <f aca="false">IF(OR(I16="",ЕТАЛОН_ПЛ="",IFERROR(INDEX(БАЗА_ЦІНИ,5,IFERROR(MATCH(ЕТАЛОН_ПЛ,ПЛ_РЯДОК,0),0)),"")=""),"",I16-IFERROR(INDEX(БАЗА_ЦІНИ,5,IFERROR(MATCH(ЕТАЛОН_ПЛ,ПЛ_РЯДОК,0),0)),""))</f>
        <v/>
      </c>
      <c r="J47" s="71" t="str">
        <f aca="false">IF(OR(I16="",ЕТАЛОН_ПЛ="",IFERROR(INDEX(БАЗА_ЦІНИ,5,IFERROR(MATCH(ЕТАЛОН_ПЛ,ПЛ_РЯДОК,0),0)),"")="",IFERROR(INDEX(БАЗА_ЦІНИ,5,IFERROR(MATCH(ЕТАЛОН_ПЛ,ПЛ_РЯДОК,0),0)),"")=0),"",I16/IFERROR(INDEX(БАЗА_ЦІНИ,5,IFERROR(MATCH(ЕТАЛОН_ПЛ,ПЛ_РЯДОК,0),0)),"")-1)</f>
        <v/>
      </c>
      <c r="K47" s="70" t="str">
        <f aca="false">IF(OR(K16="",ЕТАЛОН_ПЛ="",IFERROR(INDEX(БАЗА_ЦІНИ,5,IFERROR(MATCH(ЕТАЛОН_ПЛ,ПЛ_РЯДОК,0),0)),"")=""),"",K16-IFERROR(INDEX(БАЗА_ЦІНИ,5,IFERROR(MATCH(ЕТАЛОН_ПЛ,ПЛ_РЯДОК,0),0)),""))</f>
        <v/>
      </c>
      <c r="L47" s="71" t="str">
        <f aca="false">IF(OR(K16="",ЕТАЛОН_ПЛ="",IFERROR(INDEX(БАЗА_ЦІНИ,5,IFERROR(MATCH(ЕТАЛОН_ПЛ,ПЛ_РЯДОК,0),0)),"")="",IFERROR(INDEX(БАЗА_ЦІНИ,5,IFERROR(MATCH(ЕТАЛОН_ПЛ,ПЛ_РЯДОК,0),0)),"")=0),"",K16/IFERROR(INDEX(БАЗА_ЦІНИ,5,IFERROR(MATCH(ЕТАЛОН_ПЛ,ПЛ_РЯДОК,0),0)),"")-1)</f>
        <v/>
      </c>
      <c r="M47" s="70" t="str">
        <f aca="false">IF(OR(M16="",ЕТАЛОН_ПЛ="",IFERROR(INDEX(БАЗА_ЦІНИ,5,IFERROR(MATCH(ЕТАЛОН_ПЛ,ПЛ_РЯДОК,0),0)),"")=""),"",M16-IFERROR(INDEX(БАЗА_ЦІНИ,5,IFERROR(MATCH(ЕТАЛОН_ПЛ,ПЛ_РЯДОК,0),0)),""))</f>
        <v/>
      </c>
      <c r="N47" s="71" t="str">
        <f aca="false">IF(OR(M16="",ЕТАЛОН_ПЛ="",IFERROR(INDEX(БАЗА_ЦІНИ,5,IFERROR(MATCH(ЕТАЛОН_ПЛ,ПЛ_РЯДОК,0),0)),"")="",IFERROR(INDEX(БАЗА_ЦІНИ,5,IFERROR(MATCH(ЕТАЛОН_ПЛ,ПЛ_РЯДОК,0),0)),"")=0),"",M16/IFERROR(INDEX(БАЗА_ЦІНИ,5,IFERROR(MATCH(ЕТАЛОН_ПЛ,ПЛ_РЯДОК,0),0)),"")-1)</f>
        <v/>
      </c>
      <c r="O47" s="70" t="str">
        <f aca="false">IF(OR(O16="",ЕТАЛОН_ПЛ="",IFERROR(INDEX(БАЗА_ЦІНИ,5,IFERROR(MATCH(ЕТАЛОН_ПЛ,ПЛ_РЯДОК,0),0)),"")=""),"",O16-IFERROR(INDEX(БАЗА_ЦІНИ,5,IFERROR(MATCH(ЕТАЛОН_ПЛ,ПЛ_РЯДОК,0),0)),""))</f>
        <v/>
      </c>
      <c r="P47" s="71" t="str">
        <f aca="false">IF(OR(O16="",ЕТАЛОН_ПЛ="",IFERROR(INDEX(БАЗА_ЦІНИ,5,IFERROR(MATCH(ЕТАЛОН_ПЛ,ПЛ_РЯДОК,0),0)),"")="",IFERROR(INDEX(БАЗА_ЦІНИ,5,IFERROR(MATCH(ЕТАЛОН_ПЛ,ПЛ_РЯДОК,0),0)),"")=0),"",O16/IFERROR(INDEX(БАЗА_ЦІНИ,5,IFERROR(MATCH(ЕТАЛОН_ПЛ,ПЛ_РЯДОК,0),0)),"")-1)</f>
        <v/>
      </c>
      <c r="Q47" s="70" t="str">
        <f aca="false">IF(OR(Q16="",ЕТАЛОН_ПЛ="",IFERROR(INDEX(БАЗА_ЦІНИ,5,IFERROR(MATCH(ЕТАЛОН_ПЛ,ПЛ_РЯДОК,0),0)),"")=""),"",Q16-IFERROR(INDEX(БАЗА_ЦІНИ,5,IFERROR(MATCH(ЕТАЛОН_ПЛ,ПЛ_РЯДОК,0),0)),""))</f>
        <v/>
      </c>
      <c r="R47" s="71" t="str">
        <f aca="false">IF(OR(Q16="",ЕТАЛОН_ПЛ="",IFERROR(INDEX(БАЗА_ЦІНИ,5,IFERROR(MATCH(ЕТАЛОН_ПЛ,ПЛ_РЯДОК,0),0)),"")="",IFERROR(INDEX(БАЗА_ЦІНИ,5,IFERROR(MATCH(ЕТАЛОН_ПЛ,ПЛ_РЯДОК,0),0)),"")=0),"",Q16/IFERROR(INDEX(БАЗА_ЦІНИ,5,IFERROR(MATCH(ЕТАЛОН_ПЛ,ПЛ_РЯДОК,0),0)),"")-1)</f>
        <v/>
      </c>
      <c r="S47" s="70" t="str">
        <f aca="false">IF(OR(S16="",ЕТАЛОН_ПЛ="",IFERROR(INDEX(БАЗА_ЦІНИ,5,IFERROR(MATCH(ЕТАЛОН_ПЛ,ПЛ_РЯДОК,0),0)),"")=""),"",S16-IFERROR(INDEX(БАЗА_ЦІНИ,5,IFERROR(MATCH(ЕТАЛОН_ПЛ,ПЛ_РЯДОК,0),0)),""))</f>
        <v/>
      </c>
      <c r="T47" s="71" t="str">
        <f aca="false">IF(OR(S16="",ЕТАЛОН_ПЛ="",IFERROR(INDEX(БАЗА_ЦІНИ,5,IFERROR(MATCH(ЕТАЛОН_ПЛ,ПЛ_РЯДОК,0),0)),"")="",IFERROR(INDEX(БАЗА_ЦІНИ,5,IFERROR(MATCH(ЕТАЛОН_ПЛ,ПЛ_РЯДОК,0),0)),"")=0),"",S16/IFERROR(INDEX(БАЗА_ЦІНИ,5,IFERROR(MATCH(ЕТАЛОН_ПЛ,ПЛ_РЯДОК,0),0)),"")-1)</f>
        <v/>
      </c>
      <c r="U47" s="70" t="str">
        <f aca="false">IF(OR(U16="",ЕТАЛОН_ПЛ="",IFERROR(INDEX(БАЗА_ЦІНИ,5,IFERROR(MATCH(ЕТАЛОН_ПЛ,ПЛ_РЯДОК,0),0)),"")=""),"",U16-IFERROR(INDEX(БАЗА_ЦІНИ,5,IFERROR(MATCH(ЕТАЛОН_ПЛ,ПЛ_РЯДОК,0),0)),""))</f>
        <v/>
      </c>
      <c r="V47" s="71" t="str">
        <f aca="false">IF(OR(U16="",ЕТАЛОН_ПЛ="",IFERROR(INDEX(БАЗА_ЦІНИ,5,IFERROR(MATCH(ЕТАЛОН_ПЛ,ПЛ_РЯДОК,0),0)),"")="",IFERROR(INDEX(БАЗА_ЦІНИ,5,IFERROR(MATCH(ЕТАЛОН_ПЛ,ПЛ_РЯДОК,0),0)),"")=0),"",U16/IFERROR(INDEX(БАЗА_ЦІНИ,5,IFERROR(MATCH(ЕТАЛОН_ПЛ,ПЛ_РЯДОК,0),0)),"")-1)</f>
        <v/>
      </c>
      <c r="W47" s="70" t="str">
        <f aca="false">IF(OR(W16="",ЕТАЛОН_ПЛ="",IFERROR(INDEX(БАЗА_ЦІНИ,5,IFERROR(MATCH(ЕТАЛОН_ПЛ,ПЛ_РЯДОК,0),0)),"")=""),"",W16-IFERROR(INDEX(БАЗА_ЦІНИ,5,IFERROR(MATCH(ЕТАЛОН_ПЛ,ПЛ_РЯДОК,0),0)),""))</f>
        <v/>
      </c>
      <c r="X47" s="71" t="str">
        <f aca="false">IF(OR(W16="",ЕТАЛОН_ПЛ="",IFERROR(INDEX(БАЗА_ЦІНИ,5,IFERROR(MATCH(ЕТАЛОН_ПЛ,ПЛ_РЯДОК,0),0)),"")="",IFERROR(INDEX(БАЗА_ЦІНИ,5,IFERROR(MATCH(ЕТАЛОН_ПЛ,ПЛ_РЯДОК,0),0)),"")=0),"",W16/IFERROR(INDEX(БАЗА_ЦІНИ,5,IFERROR(MATCH(ЕТАЛОН_ПЛ,ПЛ_РЯДОК,0),0)),"")-1)</f>
        <v/>
      </c>
      <c r="Y47" s="70" t="str">
        <f aca="false">IF(OR(Y16="",ЕТАЛОН_ПЛ="",IFERROR(INDEX(БАЗА_ЦІНИ,5,IFERROR(MATCH(ЕТАЛОН_ПЛ,ПЛ_РЯДОК,0),0)),"")=""),"",Y16-IFERROR(INDEX(БАЗА_ЦІНИ,5,IFERROR(MATCH(ЕТАЛОН_ПЛ,ПЛ_РЯДОК,0),0)),""))</f>
        <v/>
      </c>
      <c r="Z47" s="71" t="str">
        <f aca="false">IF(OR(Y16="",ЕТАЛОН_ПЛ="",IFERROR(INDEX(БАЗА_ЦІНИ,5,IFERROR(MATCH(ЕТАЛОН_ПЛ,ПЛ_РЯДОК,0),0)),"")="",IFERROR(INDEX(БАЗА_ЦІНИ,5,IFERROR(MATCH(ЕТАЛОН_ПЛ,ПЛ_РЯДОК,0),0)),"")=0),"",Y16/IFERROR(INDEX(БАЗА_ЦІНИ,5,IFERROR(MATCH(ЕТАЛОН_ПЛ,ПЛ_РЯДОК,0),0)),"")-1)</f>
        <v/>
      </c>
      <c r="AA47" s="70" t="str">
        <f aca="false">IF(OR(AA16="",ЕТАЛОН_ПЛ="",IFERROR(INDEX(БАЗА_ЦІНИ,5,IFERROR(MATCH(ЕТАЛОН_ПЛ,ПЛ_РЯДОК,0),0)),"")=""),"",AA16-IFERROR(INDEX(БАЗА_ЦІНИ,5,IFERROR(MATCH(ЕТАЛОН_ПЛ,ПЛ_РЯДОК,0),0)),""))</f>
        <v/>
      </c>
      <c r="AB47" s="71" t="str">
        <f aca="false">IF(OR(AA16="",ЕТАЛОН_ПЛ="",IFERROR(INDEX(БАЗА_ЦІНИ,5,IFERROR(MATCH(ЕТАЛОН_ПЛ,ПЛ_РЯДОК,0),0)),"")="",IFERROR(INDEX(БАЗА_ЦІНИ,5,IFERROR(MATCH(ЕТАЛОН_ПЛ,ПЛ_РЯДОК,0),0)),"")=0),"",AA16/IFERROR(INDEX(БАЗА_ЦІНИ,5,IFERROR(MATCH(ЕТАЛОН_ПЛ,ПЛ_РЯДОК,0),0)),"")-1)</f>
        <v/>
      </c>
      <c r="AC47" s="70" t="str">
        <f aca="false">IF(OR(AC16="",ЕТАЛОН_ПЛ="",IFERROR(INDEX(БАЗА_ЦІНИ,5,IFERROR(MATCH(ЕТАЛОН_ПЛ,ПЛ_РЯДОК,0),0)),"")=""),"",AC16-IFERROR(INDEX(БАЗА_ЦІНИ,5,IFERROR(MATCH(ЕТАЛОН_ПЛ,ПЛ_РЯДОК,0),0)),""))</f>
        <v/>
      </c>
      <c r="AD47" s="71" t="str">
        <f aca="false">IF(OR(AC16="",ЕТАЛОН_ПЛ="",IFERROR(INDEX(БАЗА_ЦІНИ,5,IFERROR(MATCH(ЕТАЛОН_ПЛ,ПЛ_РЯДОК,0),0)),"")="",IFERROR(INDEX(БАЗА_ЦІНИ,5,IFERROR(MATCH(ЕТАЛОН_ПЛ,ПЛ_РЯДОК,0),0)),"")=0),"",AC16/IFERROR(INDEX(БАЗА_ЦІНИ,5,IFERROR(MATCH(ЕТАЛОН_ПЛ,ПЛ_РЯДОК,0),0)),"")-1)</f>
        <v/>
      </c>
      <c r="AE47" s="70" t="str">
        <f aca="false">IF(OR(AE16="",ЕТАЛОН_ПЛ="",IFERROR(INDEX(БАЗА_ЦІНИ,5,IFERROR(MATCH(ЕТАЛОН_ПЛ,ПЛ_РЯДОК,0),0)),"")=""),"",AE16-IFERROR(INDEX(БАЗА_ЦІНИ,5,IFERROR(MATCH(ЕТАЛОН_ПЛ,ПЛ_РЯДОК,0),0)),""))</f>
        <v/>
      </c>
      <c r="AF47" s="71" t="str">
        <f aca="false">IF(OR(AE16="",ЕТАЛОН_ПЛ="",IFERROR(INDEX(БАЗА_ЦІНИ,5,IFERROR(MATCH(ЕТАЛОН_ПЛ,ПЛ_РЯДОК,0),0)),"")="",IFERROR(INDEX(БАЗА_ЦІНИ,5,IFERROR(MATCH(ЕТАЛОН_ПЛ,ПЛ_РЯДОК,0),0)),"")=0),"",AE16/IFERROR(INDEX(БАЗА_ЦІНИ,5,IFERROR(MATCH(ЕТАЛОН_ПЛ,ПЛ_РЯДОК,0),0)),"")-1)</f>
        <v/>
      </c>
      <c r="AG47" s="70" t="str">
        <f aca="false">IF(OR(AG16="",ЕТАЛОН_ПЛ="",IFERROR(INDEX(БАЗА_ЦІНИ,5,IFERROR(MATCH(ЕТАЛОН_ПЛ,ПЛ_РЯДОК,0),0)),"")=""),"",AG16-IFERROR(INDEX(БАЗА_ЦІНИ,5,IFERROR(MATCH(ЕТАЛОН_ПЛ,ПЛ_РЯДОК,0),0)),""))</f>
        <v/>
      </c>
      <c r="AH47" s="71" t="str">
        <f aca="false">IF(OR(AG16="",ЕТАЛОН_ПЛ="",IFERROR(INDEX(БАЗА_ЦІНИ,5,IFERROR(MATCH(ЕТАЛОН_ПЛ,ПЛ_РЯДОК,0),0)),"")="",IFERROR(INDEX(БАЗА_ЦІНИ,5,IFERROR(MATCH(ЕТАЛОН_ПЛ,ПЛ_РЯДОК,0),0)),"")=0),"",AG16/IFERROR(INDEX(БАЗА_ЦІНИ,5,IFERROR(MATCH(ЕТАЛОН_ПЛ,ПЛ_РЯДОК,0),0)),"")-1)</f>
        <v/>
      </c>
      <c r="AI47" s="70" t="str">
        <f aca="false">IF(OR(AI16="",ЕТАЛОН_ПЛ="",IFERROR(INDEX(БАЗА_ЦІНИ,5,IFERROR(MATCH(ЕТАЛОН_ПЛ,ПЛ_РЯДОК,0),0)),"")=""),"",AI16-IFERROR(INDEX(БАЗА_ЦІНИ,5,IFERROR(MATCH(ЕТАЛОН_ПЛ,ПЛ_РЯДОК,0),0)),""))</f>
        <v/>
      </c>
      <c r="AJ47" s="71" t="str">
        <f aca="false">IF(OR(AI16="",ЕТАЛОН_ПЛ="",IFERROR(INDEX(БАЗА_ЦІНИ,5,IFERROR(MATCH(ЕТАЛОН_ПЛ,ПЛ_РЯДОК,0),0)),"")="",IFERROR(INDEX(БАЗА_ЦІНИ,5,IFERROR(MATCH(ЕТАЛОН_ПЛ,ПЛ_РЯДОК,0),0)),"")=0),"",AI16/IFERROR(INDEX(БАЗА_ЦІНИ,5,IFERROR(MATCH(ЕТАЛОН_ПЛ,ПЛ_РЯДОК,0),0)),"")-1)</f>
        <v/>
      </c>
      <c r="AK47" s="70" t="str">
        <f aca="false">IF(OR(AK16="",ЕТАЛОН_ПЛ="",IFERROR(INDEX(БАЗА_ЦІНИ,5,IFERROR(MATCH(ЕТАЛОН_ПЛ,ПЛ_РЯДОК,0),0)),"")=""),"",AK16-IFERROR(INDEX(БАЗА_ЦІНИ,5,IFERROR(MATCH(ЕТАЛОН_ПЛ,ПЛ_РЯДОК,0),0)),""))</f>
        <v/>
      </c>
      <c r="AL47" s="71" t="str">
        <f aca="false">IF(OR(AK16="",ЕТАЛОН_ПЛ="",IFERROR(INDEX(БАЗА_ЦІНИ,5,IFERROR(MATCH(ЕТАЛОН_ПЛ,ПЛ_РЯДОК,0),0)),"")="",IFERROR(INDEX(БАЗА_ЦІНИ,5,IFERROR(MATCH(ЕТАЛОН_ПЛ,ПЛ_РЯДОК,0),0)),"")=0),"",AK16/IFERROR(INDEX(БАЗА_ЦІНИ,5,IFERROR(MATCH(ЕТАЛОН_ПЛ,ПЛ_РЯДОК,0),0)),"")-1)</f>
        <v/>
      </c>
      <c r="AM47" s="70" t="str">
        <f aca="false">IF(OR(AM16="",ЕТАЛОН_ПЛ="",IFERROR(INDEX(БАЗА_ЦІНИ,5,IFERROR(MATCH(ЕТАЛОН_ПЛ,ПЛ_РЯДОК,0),0)),"")=""),"",AM16-IFERROR(INDEX(БАЗА_ЦІНИ,5,IFERROR(MATCH(ЕТАЛОН_ПЛ,ПЛ_РЯДОК,0),0)),""))</f>
        <v/>
      </c>
      <c r="AN47" s="71" t="str">
        <f aca="false">IF(OR(AM16="",ЕТАЛОН_ПЛ="",IFERROR(INDEX(БАЗА_ЦІНИ,5,IFERROR(MATCH(ЕТАЛОН_ПЛ,ПЛ_РЯДОК,0),0)),"")="",IFERROR(INDEX(БАЗА_ЦІНИ,5,IFERROR(MATCH(ЕТАЛОН_ПЛ,ПЛ_РЯДОК,0),0)),"")=0),"",AM16/IFERROR(INDEX(БАЗА_ЦІНИ,5,IFERROR(MATCH(ЕТАЛОН_ПЛ,ПЛ_РЯДОК,0),0)),"")-1)</f>
        <v/>
      </c>
      <c r="AO47" s="70" t="str">
        <f aca="false">IF(OR(AO16="",ЕТАЛОН_ПЛ="",IFERROR(INDEX(БАЗА_ЦІНИ,5,IFERROR(MATCH(ЕТАЛОН_ПЛ,ПЛ_РЯДОК,0),0)),"")=""),"",AO16-IFERROR(INDEX(БАЗА_ЦІНИ,5,IFERROR(MATCH(ЕТАЛОН_ПЛ,ПЛ_РЯДОК,0),0)),""))</f>
        <v/>
      </c>
      <c r="AP47" s="71" t="str">
        <f aca="false">IF(OR(AO16="",ЕТАЛОН_ПЛ="",IFERROR(INDEX(БАЗА_ЦІНИ,5,IFERROR(MATCH(ЕТАЛОН_ПЛ,ПЛ_РЯДОК,0),0)),"")="",IFERROR(INDEX(БАЗА_ЦІНИ,5,IFERROR(MATCH(ЕТАЛОН_ПЛ,ПЛ_РЯДОК,0),0)),"")=0),"",AO16/IFERROR(INDEX(БАЗА_ЦІНИ,5,IFERROR(MATCH(ЕТАЛОН_ПЛ,ПЛ_РЯДОК,0),0)),"")-1)</f>
        <v/>
      </c>
      <c r="AQ47" s="70" t="str">
        <f aca="false">IF(OR(AQ16="",ЕТАЛОН_ПЛ="",IFERROR(INDEX(БАЗА_ЦІНИ,5,IFERROR(MATCH(ЕТАЛОН_ПЛ,ПЛ_РЯДОК,0),0)),"")=""),"",AQ16-IFERROR(INDEX(БАЗА_ЦІНИ,5,IFERROR(MATCH(ЕТАЛОН_ПЛ,ПЛ_РЯДОК,0),0)),""))</f>
        <v/>
      </c>
      <c r="AR47" s="71" t="str">
        <f aca="false">IF(OR(AQ16="",ЕТАЛОН_ПЛ="",IFERROR(INDEX(БАЗА_ЦІНИ,5,IFERROR(MATCH(ЕТАЛОН_ПЛ,ПЛ_РЯДОК,0),0)),"")="",IFERROR(INDEX(БАЗА_ЦІНИ,5,IFERROR(MATCH(ЕТАЛОН_ПЛ,ПЛ_РЯДОК,0),0)),"")=0),"",AQ16/IFERROR(INDEX(БАЗА_ЦІНИ,5,IFERROR(MATCH(ЕТАЛОН_ПЛ,ПЛ_РЯДОК,0),0)),"")-1)</f>
        <v/>
      </c>
      <c r="AS47" s="70" t="str">
        <f aca="false">IF(OR(AS16="",ЕТАЛОН_ПЛ="",IFERROR(INDEX(БАЗА_ЦІНИ,5,IFERROR(MATCH(ЕТАЛОН_ПЛ,ПЛ_РЯДОК,0),0)),"")=""),"",AS16-IFERROR(INDEX(БАЗА_ЦІНИ,5,IFERROR(MATCH(ЕТАЛОН_ПЛ,ПЛ_РЯДОК,0),0)),""))</f>
        <v/>
      </c>
      <c r="AT47" s="71" t="str">
        <f aca="false">IF(OR(AS16="",ЕТАЛОН_ПЛ="",IFERROR(INDEX(БАЗА_ЦІНИ,5,IFERROR(MATCH(ЕТАЛОН_ПЛ,ПЛ_РЯДОК,0),0)),"")="",IFERROR(INDEX(БАЗА_ЦІНИ,5,IFERROR(MATCH(ЕТАЛОН_ПЛ,ПЛ_РЯДОК,0),0)),"")=0),"",AS16/IFERROR(INDEX(БАЗА_ЦІНИ,5,IFERROR(MATCH(ЕТАЛОН_ПЛ,ПЛ_РЯДОК,0),0)),"")-1)</f>
        <v/>
      </c>
      <c r="AU47" s="70" t="str">
        <f aca="false">IF(OR(AU16="",ЕТАЛОН_ПЛ="",IFERROR(INDEX(БАЗА_ЦІНИ,5,IFERROR(MATCH(ЕТАЛОН_ПЛ,ПЛ_РЯДОК,0),0)),"")=""),"",AU16-IFERROR(INDEX(БАЗА_ЦІНИ,5,IFERROR(MATCH(ЕТАЛОН_ПЛ,ПЛ_РЯДОК,0),0)),""))</f>
        <v/>
      </c>
      <c r="AV47" s="71" t="str">
        <f aca="false">IF(OR(AU16="",ЕТАЛОН_ПЛ="",IFERROR(INDEX(БАЗА_ЦІНИ,5,IFERROR(MATCH(ЕТАЛОН_ПЛ,ПЛ_РЯДОК,0),0)),"")="",IFERROR(INDEX(БАЗА_ЦІНИ,5,IFERROR(MATCH(ЕТАЛОН_ПЛ,ПЛ_РЯДОК,0),0)),"")=0),"",AU16/IFERROR(INDEX(БАЗА_ЦІНИ,5,IFERROR(MATCH(ЕТАЛОН_ПЛ,ПЛ_РЯДОК,0),0)),"")-1)</f>
        <v/>
      </c>
      <c r="AW47" s="70" t="str">
        <f aca="false">IF(OR(AW16="",ЕТАЛОН_ПЛ="",IFERROR(INDEX(БАЗА_ЦІНИ,5,IFERROR(MATCH(ЕТАЛОН_ПЛ,ПЛ_РЯДОК,0),0)),"")=""),"",AW16-IFERROR(INDEX(БАЗА_ЦІНИ,5,IFERROR(MATCH(ЕТАЛОН_ПЛ,ПЛ_РЯДОК,0),0)),""))</f>
        <v/>
      </c>
      <c r="AX47" s="71" t="str">
        <f aca="false">IF(OR(AW16="",ЕТАЛОН_ПЛ="",IFERROR(INDEX(БАЗА_ЦІНИ,5,IFERROR(MATCH(ЕТАЛОН_ПЛ,ПЛ_РЯДОК,0),0)),"")="",IFERROR(INDEX(БАЗА_ЦІНИ,5,IFERROR(MATCH(ЕТАЛОН_ПЛ,ПЛ_РЯДОК,0),0)),"")=0),"",AW16/IFERROR(INDEX(БАЗА_ЦІНИ,5,IFERROR(MATCH(ЕТАЛОН_ПЛ,ПЛ_РЯДОК,0),0)),"")-1)</f>
        <v/>
      </c>
      <c r="AY47" s="70" t="str">
        <f aca="false">IF(OR(AY16="",ЕТАЛОН_ПЛ="",IFERROR(INDEX(БАЗА_ЦІНИ,5,IFERROR(MATCH(ЕТАЛОН_ПЛ,ПЛ_РЯДОК,0),0)),"")=""),"",AY16-IFERROR(INDEX(БАЗА_ЦІНИ,5,IFERROR(MATCH(ЕТАЛОН_ПЛ,ПЛ_РЯДОК,0),0)),""))</f>
        <v/>
      </c>
      <c r="AZ47" s="71" t="str">
        <f aca="false">IF(OR(AY16="",ЕТАЛОН_ПЛ="",IFERROR(INDEX(БАЗА_ЦІНИ,5,IFERROR(MATCH(ЕТАЛОН_ПЛ,ПЛ_РЯДОК,0),0)),"")="",IFERROR(INDEX(БАЗА_ЦІНИ,5,IFERROR(MATCH(ЕТАЛОН_ПЛ,ПЛ_РЯДОК,0),0)),"")=0),"",AY16/IFERROR(INDEX(БАЗА_ЦІНИ,5,IFERROR(MATCH(ЕТАЛОН_ПЛ,ПЛ_РЯДОК,0),0)),"")-1)</f>
        <v/>
      </c>
      <c r="BA47" s="70" t="str">
        <f aca="false">IF(OR(BA16="",ЕТАЛОН_ПЛ="",IFERROR(INDEX(БАЗА_ЦІНИ,5,IFERROR(MATCH(ЕТАЛОН_ПЛ,ПЛ_РЯДОК,0),0)),"")=""),"",BA16-IFERROR(INDEX(БАЗА_ЦІНИ,5,IFERROR(MATCH(ЕТАЛОН_ПЛ,ПЛ_РЯДОК,0),0)),""))</f>
        <v/>
      </c>
      <c r="BB47" s="71" t="str">
        <f aca="false">IF(OR(BA16="",ЕТАЛОН_ПЛ="",IFERROR(INDEX(БАЗА_ЦІНИ,5,IFERROR(MATCH(ЕТАЛОН_ПЛ,ПЛ_РЯДОК,0),0)),"")="",IFERROR(INDEX(БАЗА_ЦІНИ,5,IFERROR(MATCH(ЕТАЛОН_ПЛ,ПЛ_РЯДОК,0),0)),"")=0),"",BA16/IFERROR(INDEX(БАЗА_ЦІНИ,5,IFERROR(MATCH(ЕТАЛОН_ПЛ,ПЛ_РЯДОК,0),0)),"")-1)</f>
        <v/>
      </c>
      <c r="BC47" s="70" t="str">
        <f aca="false">IF(OR(BC16="",ЕТАЛОН_ПЛ="",IFERROR(INDEX(БАЗА_ЦІНИ,5,IFERROR(MATCH(ЕТАЛОН_ПЛ,ПЛ_РЯДОК,0),0)),"")=""),"",BC16-IFERROR(INDEX(БАЗА_ЦІНИ,5,IFERROR(MATCH(ЕТАЛОН_ПЛ,ПЛ_РЯДОК,0),0)),""))</f>
        <v/>
      </c>
      <c r="BD47" s="71" t="str">
        <f aca="false">IF(OR(BC16="",ЕТАЛОН_ПЛ="",IFERROR(INDEX(БАЗА_ЦІНИ,5,IFERROR(MATCH(ЕТАЛОН_ПЛ,ПЛ_РЯДОК,0),0)),"")="",IFERROR(INDEX(БАЗА_ЦІНИ,5,IFERROR(MATCH(ЕТАЛОН_ПЛ,ПЛ_РЯДОК,0),0)),"")=0),"",BC16/IFERROR(INDEX(БАЗА_ЦІНИ,5,IFERROR(MATCH(ЕТАЛОН_ПЛ,ПЛ_РЯДОК,0),0)),"")-1)</f>
        <v/>
      </c>
      <c r="BE47" s="70" t="str">
        <f aca="false">IF(OR(BE16="",ЕТАЛОН_ПЛ="",IFERROR(INDEX(БАЗА_ЦІНИ,5,IFERROR(MATCH(ЕТАЛОН_ПЛ,ПЛ_РЯДОК,0),0)),"")=""),"",BE16-IFERROR(INDEX(БАЗА_ЦІНИ,5,IFERROR(MATCH(ЕТАЛОН_ПЛ,ПЛ_РЯДОК,0),0)),""))</f>
        <v/>
      </c>
      <c r="BF47" s="71" t="str">
        <f aca="false">IF(OR(BE16="",ЕТАЛОН_ПЛ="",IFERROR(INDEX(БАЗА_ЦІНИ,5,IFERROR(MATCH(ЕТАЛОН_ПЛ,ПЛ_РЯДОК,0),0)),"")="",IFERROR(INDEX(БАЗА_ЦІНИ,5,IFERROR(MATCH(ЕТАЛОН_ПЛ,ПЛ_РЯДОК,0),0)),"")=0),"",BE16/IFERROR(INDEX(БАЗА_ЦІНИ,5,IFERROR(MATCH(ЕТАЛОН_ПЛ,ПЛ_РЯДОК,0),0)),"")-1)</f>
        <v/>
      </c>
      <c r="BG47" s="70" t="str">
        <f aca="false">IF(OR(BG16="",ЕТАЛОН_ПЛ="",IFERROR(INDEX(БАЗА_ЦІНИ,5,IFERROR(MATCH(ЕТАЛОН_ПЛ,ПЛ_РЯДОК,0),0)),"")=""),"",BG16-IFERROR(INDEX(БАЗА_ЦІНИ,5,IFERROR(MATCH(ЕТАЛОН_ПЛ,ПЛ_РЯДОК,0),0)),""))</f>
        <v/>
      </c>
      <c r="BH47" s="71" t="str">
        <f aca="false">IF(OR(BG16="",ЕТАЛОН_ПЛ="",IFERROR(INDEX(БАЗА_ЦІНИ,5,IFERROR(MATCH(ЕТАЛОН_ПЛ,ПЛ_РЯДОК,0),0)),"")="",IFERROR(INDEX(БАЗА_ЦІНИ,5,IFERROR(MATCH(ЕТАЛОН_ПЛ,ПЛ_РЯДОК,0),0)),"")=0),"",BG16/IFERROR(INDEX(БАЗА_ЦІНИ,5,IFERROR(MATCH(ЕТАЛОН_ПЛ,ПЛ_РЯДОК,0),0)),"")-1)</f>
        <v/>
      </c>
      <c r="BI47" s="70" t="str">
        <f aca="false">IF(OR(BI16="",ЕТАЛОН_ПЛ="",IFERROR(INDEX(БАЗА_ЦІНИ,5,IFERROR(MATCH(ЕТАЛОН_ПЛ,ПЛ_РЯДОК,0),0)),"")=""),"",BI16-IFERROR(INDEX(БАЗА_ЦІНИ,5,IFERROR(MATCH(ЕТАЛОН_ПЛ,ПЛ_РЯДОК,0),0)),""))</f>
        <v/>
      </c>
      <c r="BJ47" s="71" t="str">
        <f aca="false">IF(OR(BI16="",ЕТАЛОН_ПЛ="",IFERROR(INDEX(БАЗА_ЦІНИ,5,IFERROR(MATCH(ЕТАЛОН_ПЛ,ПЛ_РЯДОК,0),0)),"")="",IFERROR(INDEX(БАЗА_ЦІНИ,5,IFERROR(MATCH(ЕТАЛОН_ПЛ,ПЛ_РЯДОК,0),0)),"")=0),"",BI16/IFERROR(INDEX(БАЗА_ЦІНИ,5,IFERROR(MATCH(ЕТАЛОН_ПЛ,ПЛ_РЯДОК,0),0)),"")-1)</f>
        <v/>
      </c>
      <c r="BK47" s="70" t="str">
        <f aca="false">IF(OR(BK16="",ЕТАЛОН_ПЛ="",IFERROR(INDEX(БАЗА_ЦІНИ,5,IFERROR(MATCH(ЕТАЛОН_ПЛ,ПЛ_РЯДОК,0),0)),"")=""),"",BK16-IFERROR(INDEX(БАЗА_ЦІНИ,5,IFERROR(MATCH(ЕТАЛОН_ПЛ,ПЛ_РЯДОК,0),0)),""))</f>
        <v/>
      </c>
      <c r="BL47" s="71" t="str">
        <f aca="false">IF(OR(BK16="",ЕТАЛОН_ПЛ="",IFERROR(INDEX(БАЗА_ЦІНИ,5,IFERROR(MATCH(ЕТАЛОН_ПЛ,ПЛ_РЯДОК,0),0)),"")="",IFERROR(INDEX(БАЗА_ЦІНИ,5,IFERROR(MATCH(ЕТАЛОН_ПЛ,ПЛ_РЯДОК,0),0)),"")=0),"",BK16/IFERROR(INDEX(БАЗА_ЦІНИ,5,IFERROR(MATCH(ЕТАЛОН_ПЛ,ПЛ_РЯДОК,0),0)),"")-1)</f>
        <v/>
      </c>
      <c r="BM47" s="70" t="str">
        <f aca="false">IF(OR(BM16="",ЕТАЛОН_ПЛ="",IFERROR(INDEX(БАЗА_ЦІНИ,5,IFERROR(MATCH(ЕТАЛОН_ПЛ,ПЛ_РЯДОК,0),0)),"")=""),"",BM16-IFERROR(INDEX(БАЗА_ЦІНИ,5,IFERROR(MATCH(ЕТАЛОН_ПЛ,ПЛ_РЯДОК,0),0)),""))</f>
        <v/>
      </c>
      <c r="BN47" s="71" t="str">
        <f aca="false">IF(OR(BM16="",ЕТАЛОН_ПЛ="",IFERROR(INDEX(БАЗА_ЦІНИ,5,IFERROR(MATCH(ЕТАЛОН_ПЛ,ПЛ_РЯДОК,0),0)),"")="",IFERROR(INDEX(БАЗА_ЦІНИ,5,IFERROR(MATCH(ЕТАЛОН_ПЛ,ПЛ_РЯДОК,0),0)),"")=0),"",BM16/IFERROR(INDEX(БАЗА_ЦІНИ,5,IFERROR(MATCH(ЕТАЛОН_ПЛ,ПЛ_РЯДОК,0),0)),"")-1)</f>
        <v/>
      </c>
      <c r="BO47" s="70" t="str">
        <f aca="false">IF(OR(BO16="",ЕТАЛОН_ПЛ="",IFERROR(INDEX(БАЗА_ЦІНИ,5,IFERROR(MATCH(ЕТАЛОН_ПЛ,ПЛ_РЯДОК,0),0)),"")=""),"",BO16-IFERROR(INDEX(БАЗА_ЦІНИ,5,IFERROR(MATCH(ЕТАЛОН_ПЛ,ПЛ_РЯДОК,0),0)),""))</f>
        <v/>
      </c>
      <c r="BP47" s="71" t="str">
        <f aca="false">IF(OR(BO16="",ЕТАЛОН_ПЛ="",IFERROR(INDEX(БАЗА_ЦІНИ,5,IFERROR(MATCH(ЕТАЛОН_ПЛ,ПЛ_РЯДОК,0),0)),"")="",IFERROR(INDEX(БАЗА_ЦІНИ,5,IFERROR(MATCH(ЕТАЛОН_ПЛ,ПЛ_РЯДОК,0),0)),"")=0),"",BO16/IFERROR(INDEX(БАЗА_ЦІНИ,5,IFERROR(MATCH(ЕТАЛОН_ПЛ,ПЛ_РЯДОК,0),0)),"")-1)</f>
        <v/>
      </c>
      <c r="BQ47" s="70" t="str">
        <f aca="false">IF(OR(BQ16="",ЕТАЛОН_ПЛ="",IFERROR(INDEX(БАЗА_ЦІНИ,5,IFERROR(MATCH(ЕТАЛОН_ПЛ,ПЛ_РЯДОК,0),0)),"")=""),"",BQ16-IFERROR(INDEX(БАЗА_ЦІНИ,5,IFERROR(MATCH(ЕТАЛОН_ПЛ,ПЛ_РЯДОК,0),0)),""))</f>
        <v/>
      </c>
      <c r="BR47" s="71" t="str">
        <f aca="false">IF(OR(BQ16="",ЕТАЛОН_ПЛ="",IFERROR(INDEX(БАЗА_ЦІНИ,5,IFERROR(MATCH(ЕТАЛОН_ПЛ,ПЛ_РЯДОК,0),0)),"")="",IFERROR(INDEX(БАЗА_ЦІНИ,5,IFERROR(MATCH(ЕТАЛОН_ПЛ,ПЛ_РЯДОК,0),0)),"")=0),"",BQ16/IFERROR(INDEX(БАЗА_ЦІНИ,5,IFERROR(MATCH(ЕТАЛОН_ПЛ,ПЛ_РЯДОК,0),0)),"")-1)</f>
        <v/>
      </c>
      <c r="BS47" s="70" t="str">
        <f aca="false">IF(OR(BS16="",ЕТАЛОН_ПЛ="",IFERROR(INDEX(БАЗА_ЦІНИ,5,IFERROR(MATCH(ЕТАЛОН_ПЛ,ПЛ_РЯДОК,0),0)),"")=""),"",BS16-IFERROR(INDEX(БАЗА_ЦІНИ,5,IFERROR(MATCH(ЕТАЛОН_ПЛ,ПЛ_РЯДОК,0),0)),""))</f>
        <v/>
      </c>
      <c r="BT47" s="71" t="str">
        <f aca="false">IF(OR(BS16="",ЕТАЛОН_ПЛ="",IFERROR(INDEX(БАЗА_ЦІНИ,5,IFERROR(MATCH(ЕТАЛОН_ПЛ,ПЛ_РЯДОК,0),0)),"")="",IFERROR(INDEX(БАЗА_ЦІНИ,5,IFERROR(MATCH(ЕТАЛОН_ПЛ,ПЛ_РЯДОК,0),0)),"")=0),"",BS16/IFERROR(INDEX(БАЗА_ЦІНИ,5,IFERROR(MATCH(ЕТАЛОН_ПЛ,ПЛ_РЯДОК,0),0)),"")-1)</f>
        <v/>
      </c>
      <c r="BU47" s="70" t="str">
        <f aca="false">IF(OR(BU16="",ЕТАЛОН_ПЛ="",IFERROR(INDEX(БАЗА_ЦІНИ,5,IFERROR(MATCH(ЕТАЛОН_ПЛ,ПЛ_РЯДОК,0),0)),"")=""),"",BU16-IFERROR(INDEX(БАЗА_ЦІНИ,5,IFERROR(MATCH(ЕТАЛОН_ПЛ,ПЛ_РЯДОК,0),0)),""))</f>
        <v/>
      </c>
      <c r="BV47" s="71" t="str">
        <f aca="false">IF(OR(BU16="",ЕТАЛОН_ПЛ="",IFERROR(INDEX(БАЗА_ЦІНИ,5,IFERROR(MATCH(ЕТАЛОН_ПЛ,ПЛ_РЯДОК,0),0)),"")="",IFERROR(INDEX(БАЗА_ЦІНИ,5,IFERROR(MATCH(ЕТАЛОН_ПЛ,ПЛ_РЯДОК,0),0)),"")=0),"",BU16/IFERROR(INDEX(БАЗА_ЦІНИ,5,IFERROR(MATCH(ЕТАЛОН_ПЛ,ПЛ_РЯДОК,0),0)),"")-1)</f>
        <v/>
      </c>
      <c r="BW47" s="70" t="str">
        <f aca="false">IF(OR(BW16="",ЕТАЛОН_ПЛ="",IFERROR(INDEX(БАЗА_ЦІНИ,5,IFERROR(MATCH(ЕТАЛОН_ПЛ,ПЛ_РЯДОК,0),0)),"")=""),"",BW16-IFERROR(INDEX(БАЗА_ЦІНИ,5,IFERROR(MATCH(ЕТАЛОН_ПЛ,ПЛ_РЯДОК,0),0)),""))</f>
        <v/>
      </c>
      <c r="BX47" s="71" t="str">
        <f aca="false">IF(OR(BW16="",ЕТАЛОН_ПЛ="",IFERROR(INDEX(БАЗА_ЦІНИ,5,IFERROR(MATCH(ЕТАЛОН_ПЛ,ПЛ_РЯДОК,0),0)),"")="",IFERROR(INDEX(БАЗА_ЦІНИ,5,IFERROR(MATCH(ЕТАЛОН_ПЛ,ПЛ_РЯДОК,0),0)),"")=0),"",BW16/IFERROR(INDEX(БАЗА_ЦІНИ,5,IFERROR(MATCH(ЕТАЛОН_ПЛ,ПЛ_РЯДОК,0),0)),"")-1)</f>
        <v/>
      </c>
      <c r="BY47" s="70" t="str">
        <f aca="false">IF(OR(BY16="",ЕТАЛОН_ПЛ="",IFERROR(INDEX(БАЗА_ЦІНИ,5,IFERROR(MATCH(ЕТАЛОН_ПЛ,ПЛ_РЯДОК,0),0)),"")=""),"",BY16-IFERROR(INDEX(БАЗА_ЦІНИ,5,IFERROR(MATCH(ЕТАЛОН_ПЛ,ПЛ_РЯДОК,0),0)),""))</f>
        <v/>
      </c>
      <c r="BZ47" s="71" t="str">
        <f aca="false">IF(OR(BY16="",ЕТАЛОН_ПЛ="",IFERROR(INDEX(БАЗА_ЦІНИ,5,IFERROR(MATCH(ЕТАЛОН_ПЛ,ПЛ_РЯДОК,0),0)),"")="",IFERROR(INDEX(БАЗА_ЦІНИ,5,IFERROR(MATCH(ЕТАЛОН_ПЛ,ПЛ_РЯДОК,0),0)),"")=0),"",BY16/IFERROR(INDEX(БАЗА_ЦІНИ,5,IFERROR(MATCH(ЕТАЛОН_ПЛ,ПЛ_РЯДОК,0),0)),"")-1)</f>
        <v/>
      </c>
      <c r="CA47" s="70" t="str">
        <f aca="false">IF(OR(CA16="",ЕТАЛОН_ПЛ="",IFERROR(INDEX(БАЗА_ЦІНИ,5,IFERROR(MATCH(ЕТАЛОН_ПЛ,ПЛ_РЯДОК,0),0)),"")=""),"",CA16-IFERROR(INDEX(БАЗА_ЦІНИ,5,IFERROR(MATCH(ЕТАЛОН_ПЛ,ПЛ_РЯДОК,0),0)),""))</f>
        <v/>
      </c>
      <c r="CB47" s="71" t="str">
        <f aca="false">IF(OR(CA16="",ЕТАЛОН_ПЛ="",IFERROR(INDEX(БАЗА_ЦІНИ,5,IFERROR(MATCH(ЕТАЛОН_ПЛ,ПЛ_РЯДОК,0),0)),"")="",IFERROR(INDEX(БАЗА_ЦІНИ,5,IFERROR(MATCH(ЕТАЛОН_ПЛ,ПЛ_РЯДОК,0),0)),"")=0),"",CA16/IFERROR(INDEX(БАЗА_ЦІНИ,5,IFERROR(MATCH(ЕТАЛОН_ПЛ,ПЛ_РЯДОК,0),0)),"")-1)</f>
        <v/>
      </c>
      <c r="CC47" s="70" t="str">
        <f aca="false">IF(OR(CC16="",ЕТАЛОН_ПЛ="",IFERROR(INDEX(БАЗА_ЦІНИ,5,IFERROR(MATCH(ЕТАЛОН_ПЛ,ПЛ_РЯДОК,0),0)),"")=""),"",CC16-IFERROR(INDEX(БАЗА_ЦІНИ,5,IFERROR(MATCH(ЕТАЛОН_ПЛ,ПЛ_РЯДОК,0),0)),""))</f>
        <v/>
      </c>
      <c r="CD47" s="71" t="str">
        <f aca="false">IF(OR(CC16="",ЕТАЛОН_ПЛ="",IFERROR(INDEX(БАЗА_ЦІНИ,5,IFERROR(MATCH(ЕТАЛОН_ПЛ,ПЛ_РЯДОК,0),0)),"")="",IFERROR(INDEX(БАЗА_ЦІНИ,5,IFERROR(MATCH(ЕТАЛОН_ПЛ,ПЛ_РЯДОК,0),0)),"")=0),"",CC16/IFERROR(INDEX(БАЗА_ЦІНИ,5,IFERROR(MATCH(ЕТАЛОН_ПЛ,ПЛ_РЯДОК,0),0)),"")-1)</f>
        <v/>
      </c>
      <c r="CE47" s="70" t="str">
        <f aca="false">IF(OR(CE16="",ЕТАЛОН_ПЛ="",IFERROR(INDEX(БАЗА_ЦІНИ,5,IFERROR(MATCH(ЕТАЛОН_ПЛ,ПЛ_РЯДОК,0),0)),"")=""),"",CE16-IFERROR(INDEX(БАЗА_ЦІНИ,5,IFERROR(MATCH(ЕТАЛОН_ПЛ,ПЛ_РЯДОК,0),0)),""))</f>
        <v/>
      </c>
      <c r="CF47" s="71" t="str">
        <f aca="false">IF(OR(CE16="",ЕТАЛОН_ПЛ="",IFERROR(INDEX(БАЗА_ЦІНИ,5,IFERROR(MATCH(ЕТАЛОН_ПЛ,ПЛ_РЯДОК,0),0)),"")="",IFERROR(INDEX(БАЗА_ЦІНИ,5,IFERROR(MATCH(ЕТАЛОН_ПЛ,ПЛ_РЯДОК,0),0)),"")=0),"",CE16/IFERROR(INDEX(БАЗА_ЦІНИ,5,IFERROR(MATCH(ЕТАЛОН_ПЛ,ПЛ_РЯДОК,0),0)),"")-1)</f>
        <v/>
      </c>
      <c r="CG47" s="70" t="str">
        <f aca="false">IF(OR(CG16="",ЕТАЛОН_ПЛ="",IFERROR(INDEX(БАЗА_ЦІНИ,5,IFERROR(MATCH(ЕТАЛОН_ПЛ,ПЛ_РЯДОК,0),0)),"")=""),"",CG16-IFERROR(INDEX(БАЗА_ЦІНИ,5,IFERROR(MATCH(ЕТАЛОН_ПЛ,ПЛ_РЯДОК,0),0)),""))</f>
        <v/>
      </c>
      <c r="CH47" s="71" t="str">
        <f aca="false">IF(OR(CG16="",ЕТАЛОН_ПЛ="",IFERROR(INDEX(БАЗА_ЦІНИ,5,IFERROR(MATCH(ЕТАЛОН_ПЛ,ПЛ_РЯДОК,0),0)),"")="",IFERROR(INDEX(БАЗА_ЦІНИ,5,IFERROR(MATCH(ЕТАЛОН_ПЛ,ПЛ_РЯДОК,0),0)),"")=0),"",CG16/IFERROR(INDEX(БАЗА_ЦІНИ,5,IFERROR(MATCH(ЕТАЛОН_ПЛ,ПЛ_РЯДОК,0),0)),"")-1)</f>
        <v/>
      </c>
      <c r="CI47" s="70" t="str">
        <f aca="false">IF(OR(CI16="",ЕТАЛОН_ПЛ="",IFERROR(INDEX(БАЗА_ЦІНИ,5,IFERROR(MATCH(ЕТАЛОН_ПЛ,ПЛ_РЯДОК,0),0)),"")=""),"",CI16-IFERROR(INDEX(БАЗА_ЦІНИ,5,IFERROR(MATCH(ЕТАЛОН_ПЛ,ПЛ_РЯДОК,0),0)),""))</f>
        <v/>
      </c>
      <c r="CJ47" s="71" t="str">
        <f aca="false">IF(OR(CI16="",ЕТАЛОН_ПЛ="",IFERROR(INDEX(БАЗА_ЦІНИ,5,IFERROR(MATCH(ЕТАЛОН_ПЛ,ПЛ_РЯДОК,0),0)),"")="",IFERROR(INDEX(БАЗА_ЦІНИ,5,IFERROR(MATCH(ЕТАЛОН_ПЛ,ПЛ_РЯДОК,0),0)),"")=0),"",CI16/IFERROR(INDEX(БАЗА_ЦІНИ,5,IFERROR(MATCH(ЕТАЛОН_ПЛ,ПЛ_РЯДОК,0),0)),"")-1)</f>
        <v/>
      </c>
      <c r="CK47" s="70" t="str">
        <f aca="false">IF(OR(CK16="",ЕТАЛОН_ПЛ="",IFERROR(INDEX(БАЗА_ЦІНИ,5,IFERROR(MATCH(ЕТАЛОН_ПЛ,ПЛ_РЯДОК,0),0)),"")=""),"",CK16-IFERROR(INDEX(БАЗА_ЦІНИ,5,IFERROR(MATCH(ЕТАЛОН_ПЛ,ПЛ_РЯДОК,0),0)),""))</f>
        <v/>
      </c>
      <c r="CL47" s="71" t="str">
        <f aca="false">IF(OR(CK16="",ЕТАЛОН_ПЛ="",IFERROR(INDEX(БАЗА_ЦІНИ,5,IFERROR(MATCH(ЕТАЛОН_ПЛ,ПЛ_РЯДОК,0),0)),"")="",IFERROR(INDEX(БАЗА_ЦІНИ,5,IFERROR(MATCH(ЕТАЛОН_ПЛ,ПЛ_РЯДОК,0),0)),"")=0),"",CK16/IFERROR(INDEX(БАЗА_ЦІНИ,5,IFERROR(MATCH(ЕТАЛОН_ПЛ,ПЛ_РЯДОК,0),0)),"")-1)</f>
        <v/>
      </c>
      <c r="CM47" s="70" t="str">
        <f aca="false">IF(OR(CM16="",ЕТАЛОН_ПЛ="",IFERROR(INDEX(БАЗА_ЦІНИ,5,IFERROR(MATCH(ЕТАЛОН_ПЛ,ПЛ_РЯДОК,0),0)),"")=""),"",CM16-IFERROR(INDEX(БАЗА_ЦІНИ,5,IFERROR(MATCH(ЕТАЛОН_ПЛ,ПЛ_РЯДОК,0),0)),""))</f>
        <v/>
      </c>
      <c r="CN47" s="71" t="str">
        <f aca="false">IF(OR(CM16="",ЕТАЛОН_ПЛ="",IFERROR(INDEX(БАЗА_ЦІНИ,5,IFERROR(MATCH(ЕТАЛОН_ПЛ,ПЛ_РЯДОК,0),0)),"")="",IFERROR(INDEX(БАЗА_ЦІНИ,5,IFERROR(MATCH(ЕТАЛОН_ПЛ,ПЛ_РЯДОК,0),0)),"")=0),"",CM16/IFERROR(INDEX(БАЗА_ЦІНИ,5,IFERROR(MATCH(ЕТАЛОН_ПЛ,ПЛ_РЯДОК,0),0)),"")-1)</f>
        <v/>
      </c>
      <c r="CO47" s="70" t="str">
        <f aca="false">IF(OR(CO16="",ЕТАЛОН_ПЛ="",IFERROR(INDEX(БАЗА_ЦІНИ,5,IFERROR(MATCH(ЕТАЛОН_ПЛ,ПЛ_РЯДОК,0),0)),"")=""),"",CO16-IFERROR(INDEX(БАЗА_ЦІНИ,5,IFERROR(MATCH(ЕТАЛОН_ПЛ,ПЛ_РЯДОК,0),0)),""))</f>
        <v/>
      </c>
      <c r="CP47" s="71" t="str">
        <f aca="false">IF(OR(CO16="",ЕТАЛОН_ПЛ="",IFERROR(INDEX(БАЗА_ЦІНИ,5,IFERROR(MATCH(ЕТАЛОН_ПЛ,ПЛ_РЯДОК,0),0)),"")="",IFERROR(INDEX(БАЗА_ЦІНИ,5,IFERROR(MATCH(ЕТАЛОН_ПЛ,ПЛ_РЯДОК,0),0)),"")=0),"",CO16/IFERROR(INDEX(БАЗА_ЦІНИ,5,IFERROR(MATCH(ЕТАЛОН_ПЛ,ПЛ_РЯДОК,0),0)),"")-1)</f>
        <v/>
      </c>
      <c r="CQ47" s="70" t="str">
        <f aca="false">IF(OR(CQ16="",ЕТАЛОН_ПЛ="",IFERROR(INDEX(БАЗА_ЦІНИ,5,IFERROR(MATCH(ЕТАЛОН_ПЛ,ПЛ_РЯДОК,0),0)),"")=""),"",CQ16-IFERROR(INDEX(БАЗА_ЦІНИ,5,IFERROR(MATCH(ЕТАЛОН_ПЛ,ПЛ_РЯДОК,0),0)),""))</f>
        <v/>
      </c>
      <c r="CR47" s="71" t="str">
        <f aca="false">IF(OR(CQ16="",ЕТАЛОН_ПЛ="",IFERROR(INDEX(БАЗА_ЦІНИ,5,IFERROR(MATCH(ЕТАЛОН_ПЛ,ПЛ_РЯДОК,0),0)),"")="",IFERROR(INDEX(БАЗА_ЦІНИ,5,IFERROR(MATCH(ЕТАЛОН_ПЛ,ПЛ_РЯДОК,0),0)),"")=0),"",CQ16/IFERROR(INDEX(БАЗА_ЦІНИ,5,IFERROR(MATCH(ЕТАЛОН_ПЛ,ПЛ_РЯДОК,0),0)),"")-1)</f>
        <v/>
      </c>
      <c r="CS47" s="70" t="str">
        <f aca="false">IF(OR(CS16="",ЕТАЛОН_ПЛ="",IFERROR(INDEX(БАЗА_ЦІНИ,5,IFERROR(MATCH(ЕТАЛОН_ПЛ,ПЛ_РЯДОК,0),0)),"")=""),"",CS16-IFERROR(INDEX(БАЗА_ЦІНИ,5,IFERROR(MATCH(ЕТАЛОН_ПЛ,ПЛ_РЯДОК,0),0)),""))</f>
        <v/>
      </c>
      <c r="CT47" s="71" t="str">
        <f aca="false">IF(OR(CS16="",ЕТАЛОН_ПЛ="",IFERROR(INDEX(БАЗА_ЦІНИ,5,IFERROR(MATCH(ЕТАЛОН_ПЛ,ПЛ_РЯДОК,0),0)),"")="",IFERROR(INDEX(БАЗА_ЦІНИ,5,IFERROR(MATCH(ЕТАЛОН_ПЛ,ПЛ_РЯДОК,0),0)),"")=0),"",CS16/IFERROR(INDEX(БАЗА_ЦІНИ,5,IFERROR(MATCH(ЕТАЛОН_ПЛ,ПЛ_РЯДОК,0),0)),"")-1)</f>
        <v/>
      </c>
      <c r="CU47" s="70" t="str">
        <f aca="false">IF(OR(CU16="",ЕТАЛОН_ПЛ="",IFERROR(INDEX(БАЗА_ЦІНИ,5,IFERROR(MATCH(ЕТАЛОН_ПЛ,ПЛ_РЯДОК,0),0)),"")=""),"",CU16-IFERROR(INDEX(БАЗА_ЦІНИ,5,IFERROR(MATCH(ЕТАЛОН_ПЛ,ПЛ_РЯДОК,0),0)),""))</f>
        <v/>
      </c>
      <c r="CV47" s="71" t="str">
        <f aca="false">IF(OR(CU16="",ЕТАЛОН_ПЛ="",IFERROR(INDEX(БАЗА_ЦІНИ,5,IFERROR(MATCH(ЕТАЛОН_ПЛ,ПЛ_РЯДОК,0),0)),"")="",IFERROR(INDEX(БАЗА_ЦІНИ,5,IFERROR(MATCH(ЕТАЛОН_ПЛ,ПЛ_РЯДОК,0),0)),"")=0),"",CU16/IFERROR(INDEX(БАЗА_ЦІНИ,5,IFERROR(MATCH(ЕТАЛОН_ПЛ,ПЛ_РЯДОК,0),0)),"")-1)</f>
        <v/>
      </c>
      <c r="CW47" s="70" t="str">
        <f aca="false">IF(OR(CW16="",ЕТАЛОН_ПЛ="",IFERROR(INDEX(БАЗА_ЦІНИ,5,IFERROR(MATCH(ЕТАЛОН_ПЛ,ПЛ_РЯДОК,0),0)),"")=""),"",CW16-IFERROR(INDEX(БАЗА_ЦІНИ,5,IFERROR(MATCH(ЕТАЛОН_ПЛ,ПЛ_РЯДОК,0),0)),""))</f>
        <v/>
      </c>
      <c r="CX47" s="71" t="str">
        <f aca="false">IF(OR(CW16="",ЕТАЛОН_ПЛ="",IFERROR(INDEX(БАЗА_ЦІНИ,5,IFERROR(MATCH(ЕТАЛОН_ПЛ,ПЛ_РЯДОК,0),0)),"")="",IFERROR(INDEX(БАЗА_ЦІНИ,5,IFERROR(MATCH(ЕТАЛОН_ПЛ,ПЛ_РЯДОК,0),0)),"")=0),"",CW16/IFERROR(INDEX(БАЗА_ЦІНИ,5,IFERROR(MATCH(ЕТАЛОН_ПЛ,ПЛ_РЯДОК,0),0)),"")-1)</f>
        <v/>
      </c>
      <c r="CY47" s="70" t="str">
        <f aca="false">IF(OR(CY16="",ЕТАЛОН_ПЛ="",IFERROR(INDEX(БАЗА_ЦІНИ,5,IFERROR(MATCH(ЕТАЛОН_ПЛ,ПЛ_РЯДОК,0),0)),"")=""),"",CY16-IFERROR(INDEX(БАЗА_ЦІНИ,5,IFERROR(MATCH(ЕТАЛОН_ПЛ,ПЛ_РЯДОК,0),0)),""))</f>
        <v/>
      </c>
      <c r="CZ47" s="71" t="str">
        <f aca="false">IF(OR(CY16="",ЕТАЛОН_ПЛ="",IFERROR(INDEX(БАЗА_ЦІНИ,5,IFERROR(MATCH(ЕТАЛОН_ПЛ,ПЛ_РЯДОК,0),0)),"")="",IFERROR(INDEX(БАЗА_ЦІНИ,5,IFERROR(MATCH(ЕТАЛОН_ПЛ,ПЛ_РЯДОК,0),0)),"")=0),"",CY16/IFERROR(INDEX(БАЗА_ЦІНИ,5,IFERROR(MATCH(ЕТАЛОН_ПЛ,ПЛ_РЯДОК,0),0)),"")-1)</f>
        <v/>
      </c>
      <c r="DA47" s="70" t="str">
        <f aca="false">IF(OR(DA16="",ЕТАЛОН_ПЛ="",IFERROR(INDEX(БАЗА_ЦІНИ,5,IFERROR(MATCH(ЕТАЛОН_ПЛ,ПЛ_РЯДОК,0),0)),"")=""),"",DA16-IFERROR(INDEX(БАЗА_ЦІНИ,5,IFERROR(MATCH(ЕТАЛОН_ПЛ,ПЛ_РЯДОК,0),0)),""))</f>
        <v/>
      </c>
      <c r="DB47" s="71" t="str">
        <f aca="false">IF(OR(DA16="",ЕТАЛОН_ПЛ="",IFERROR(INDEX(БАЗА_ЦІНИ,5,IFERROR(MATCH(ЕТАЛОН_ПЛ,ПЛ_РЯДОК,0),0)),"")="",IFERROR(INDEX(БАЗА_ЦІНИ,5,IFERROR(MATCH(ЕТАЛОН_ПЛ,ПЛ_РЯДОК,0),0)),"")=0),"",DA16/IFERROR(INDEX(БАЗА_ЦІНИ,5,IFERROR(MATCH(ЕТАЛОН_ПЛ,ПЛ_РЯДОК,0),0)),"")-1)</f>
        <v/>
      </c>
      <c r="DC47" s="70" t="str">
        <f aca="false">IF(OR(DC16="",ЕТАЛОН_ПЛ="",IFERROR(INDEX(БАЗА_ЦІНИ,5,IFERROR(MATCH(ЕТАЛОН_ПЛ,ПЛ_РЯДОК,0),0)),"")=""),"",DC16-IFERROR(INDEX(БАЗА_ЦІНИ,5,IFERROR(MATCH(ЕТАЛОН_ПЛ,ПЛ_РЯДОК,0),0)),""))</f>
        <v/>
      </c>
      <c r="DD47" s="71" t="str">
        <f aca="false">IF(OR(DC16="",ЕТАЛОН_ПЛ="",IFERROR(INDEX(БАЗА_ЦІНИ,5,IFERROR(MATCH(ЕТАЛОН_ПЛ,ПЛ_РЯДОК,0),0)),"")="",IFERROR(INDEX(БАЗА_ЦІНИ,5,IFERROR(MATCH(ЕТАЛОН_ПЛ,ПЛ_РЯДОК,0),0)),"")=0),"",DC16/IFERROR(INDEX(БАЗА_ЦІНИ,5,IFERROR(MATCH(ЕТАЛОН_ПЛ,ПЛ_РЯДОК,0),0)),"")-1)</f>
        <v/>
      </c>
      <c r="DE47" s="70" t="str">
        <f aca="false">IF(OR(DE16="",ЕТАЛОН_ПЛ="",IFERROR(INDEX(БАЗА_ЦІНИ,5,IFERROR(MATCH(ЕТАЛОН_ПЛ,ПЛ_РЯДОК,0),0)),"")=""),"",DE16-IFERROR(INDEX(БАЗА_ЦІНИ,5,IFERROR(MATCH(ЕТАЛОН_ПЛ,ПЛ_РЯДОК,0),0)),""))</f>
        <v/>
      </c>
      <c r="DF47" s="71" t="str">
        <f aca="false">IF(OR(DE16="",ЕТАЛОН_ПЛ="",IFERROR(INDEX(БАЗА_ЦІНИ,5,IFERROR(MATCH(ЕТАЛОН_ПЛ,ПЛ_РЯДОК,0),0)),"")="",IFERROR(INDEX(БАЗА_ЦІНИ,5,IFERROR(MATCH(ЕТАЛОН_ПЛ,ПЛ_РЯДОК,0),0)),"")=0),"",DE16/IFERROR(INDEX(БАЗА_ЦІНИ,5,IFERROR(MATCH(ЕТАЛОН_ПЛ,ПЛ_РЯДОК,0),0)),"")-1)</f>
        <v/>
      </c>
      <c r="DG47" s="70" t="str">
        <f aca="false">IF(OR(DG16="",ЕТАЛОН_ПЛ="",IFERROR(INDEX(БАЗА_ЦІНИ,5,IFERROR(MATCH(ЕТАЛОН_ПЛ,ПЛ_РЯДОК,0),0)),"")=""),"",DG16-IFERROR(INDEX(БАЗА_ЦІНИ,5,IFERROR(MATCH(ЕТАЛОН_ПЛ,ПЛ_РЯДОК,0),0)),""))</f>
        <v/>
      </c>
      <c r="DH47" s="71" t="str">
        <f aca="false">IF(OR(DG16="",ЕТАЛОН_ПЛ="",IFERROR(INDEX(БАЗА_ЦІНИ,5,IFERROR(MATCH(ЕТАЛОН_ПЛ,ПЛ_РЯДОК,0),0)),"")="",IFERROR(INDEX(БАЗА_ЦІНИ,5,IFERROR(MATCH(ЕТАЛОН_ПЛ,ПЛ_РЯДОК,0),0)),"")=0),"",DG16/IFERROR(INDEX(БАЗА_ЦІНИ,5,IFERROR(MATCH(ЕТАЛОН_ПЛ,ПЛ_РЯДОК,0),0)),"")-1)</f>
        <v/>
      </c>
      <c r="DI47" s="70" t="str">
        <f aca="false">IF(OR(DI16="",ЕТАЛОН_ПЛ="",IFERROR(INDEX(БАЗА_ЦІНИ,5,IFERROR(MATCH(ЕТАЛОН_ПЛ,ПЛ_РЯДОК,0),0)),"")=""),"",DI16-IFERROR(INDEX(БАЗА_ЦІНИ,5,IFERROR(MATCH(ЕТАЛОН_ПЛ,ПЛ_РЯДОК,0),0)),""))</f>
        <v/>
      </c>
      <c r="DJ47" s="71" t="str">
        <f aca="false">IF(OR(DI16="",ЕТАЛОН_ПЛ="",IFERROR(INDEX(БАЗА_ЦІНИ,5,IFERROR(MATCH(ЕТАЛОН_ПЛ,ПЛ_РЯДОК,0),0)),"")="",IFERROR(INDEX(БАЗА_ЦІНИ,5,IFERROR(MATCH(ЕТАЛОН_ПЛ,ПЛ_РЯДОК,0),0)),"")=0),"",DI16/IFERROR(INDEX(БАЗА_ЦІНИ,5,IFERROR(MATCH(ЕТАЛОН_ПЛ,ПЛ_РЯДОК,0),0)),"")-1)</f>
        <v/>
      </c>
      <c r="DK47" s="70" t="str">
        <f aca="false">IF(OR(DK16="",ЕТАЛОН_ПЛ="",IFERROR(INDEX(БАЗА_ЦІНИ,5,IFERROR(MATCH(ЕТАЛОН_ПЛ,ПЛ_РЯДОК,0),0)),"")=""),"",DK16-IFERROR(INDEX(БАЗА_ЦІНИ,5,IFERROR(MATCH(ЕТАЛОН_ПЛ,ПЛ_РЯДОК,0),0)),""))</f>
        <v/>
      </c>
      <c r="DL47" s="71" t="str">
        <f aca="false">IF(OR(DK16="",ЕТАЛОН_ПЛ="",IFERROR(INDEX(БАЗА_ЦІНИ,5,IFERROR(MATCH(ЕТАЛОН_ПЛ,ПЛ_РЯДОК,0),0)),"")="",IFERROR(INDEX(БАЗА_ЦІНИ,5,IFERROR(MATCH(ЕТАЛОН_ПЛ,ПЛ_РЯДОК,0),0)),"")=0),"",DK16/IFERROR(INDEX(БАЗА_ЦІНИ,5,IFERROR(MATCH(ЕТАЛОН_ПЛ,ПЛ_РЯДОК,0),0)),"")-1)</f>
        <v/>
      </c>
      <c r="DM47" s="70" t="str">
        <f aca="false">IF(OR(DM16="",ЕТАЛОН_ПЛ="",IFERROR(INDEX(БАЗА_ЦІНИ,5,IFERROR(MATCH(ЕТАЛОН_ПЛ,ПЛ_РЯДОК,0),0)),"")=""),"",DM16-IFERROR(INDEX(БАЗА_ЦІНИ,5,IFERROR(MATCH(ЕТАЛОН_ПЛ,ПЛ_РЯДОК,0),0)),""))</f>
        <v/>
      </c>
      <c r="DN47" s="71" t="str">
        <f aca="false">IF(OR(DM16="",ЕТАЛОН_ПЛ="",IFERROR(INDEX(БАЗА_ЦІНИ,5,IFERROR(MATCH(ЕТАЛОН_ПЛ,ПЛ_РЯДОК,0),0)),"")="",IFERROR(INDEX(БАЗА_ЦІНИ,5,IFERROR(MATCH(ЕТАЛОН_ПЛ,ПЛ_РЯДОК,0),0)),"")=0),"",DM16/IFERROR(INDEX(БАЗА_ЦІНИ,5,IFERROR(MATCH(ЕТАЛОН_ПЛ,ПЛ_РЯДОК,0),0)),"")-1)</f>
        <v/>
      </c>
      <c r="DO47" s="70" t="str">
        <f aca="false">IF(OR(DO16="",ЕТАЛОН_ПЛ="",IFERROR(INDEX(БАЗА_ЦІНИ,5,IFERROR(MATCH(ЕТАЛОН_ПЛ,ПЛ_РЯДОК,0),0)),"")=""),"",DO16-IFERROR(INDEX(БАЗА_ЦІНИ,5,IFERROR(MATCH(ЕТАЛОН_ПЛ,ПЛ_РЯДОК,0),0)),""))</f>
        <v/>
      </c>
      <c r="DP47" s="71" t="str">
        <f aca="false">IF(OR(DO16="",ЕТАЛОН_ПЛ="",IFERROR(INDEX(БАЗА_ЦІНИ,5,IFERROR(MATCH(ЕТАЛОН_ПЛ,ПЛ_РЯДОК,0),0)),"")="",IFERROR(INDEX(БАЗА_ЦІНИ,5,IFERROR(MATCH(ЕТАЛОН_ПЛ,ПЛ_РЯДОК,0),0)),"")=0),"",DO16/IFERROR(INDEX(БАЗА_ЦІНИ,5,IFERROR(MATCH(ЕТАЛОН_ПЛ,ПЛ_РЯДОК,0),0)),"")-1)</f>
        <v/>
      </c>
      <c r="DQ47" s="70" t="str">
        <f aca="false">IF(OR(DQ16="",ЕТАЛОН_ПЛ="",IFERROR(INDEX(БАЗА_ЦІНИ,5,IFERROR(MATCH(ЕТАЛОН_ПЛ,ПЛ_РЯДОК,0),0)),"")=""),"",DQ16-IFERROR(INDEX(БАЗА_ЦІНИ,5,IFERROR(MATCH(ЕТАЛОН_ПЛ,ПЛ_РЯДОК,0),0)),""))</f>
        <v/>
      </c>
      <c r="DR47" s="71" t="str">
        <f aca="false">IF(OR(DQ16="",ЕТАЛОН_ПЛ="",IFERROR(INDEX(БАЗА_ЦІНИ,5,IFERROR(MATCH(ЕТАЛОН_ПЛ,ПЛ_РЯДОК,0),0)),"")="",IFERROR(INDEX(БАЗА_ЦІНИ,5,IFERROR(MATCH(ЕТАЛОН_ПЛ,ПЛ_РЯДОК,0),0)),"")=0),"",DQ16/IFERROR(INDEX(БАЗА_ЦІНИ,5,IFERROR(MATCH(ЕТАЛОН_ПЛ,ПЛ_РЯДОК,0),0)),"")-1)</f>
        <v/>
      </c>
      <c r="DS47" s="70" t="str">
        <f aca="false">IF(OR(DS16="",ЕТАЛОН_ПЛ="",IFERROR(INDEX(БАЗА_ЦІНИ,5,IFERROR(MATCH(ЕТАЛОН_ПЛ,ПЛ_РЯДОК,0),0)),"")=""),"",DS16-IFERROR(INDEX(БАЗА_ЦІНИ,5,IFERROR(MATCH(ЕТАЛОН_ПЛ,ПЛ_РЯДОК,0),0)),""))</f>
        <v/>
      </c>
      <c r="DT47" s="71" t="str">
        <f aca="false">IF(OR(DS16="",ЕТАЛОН_ПЛ="",IFERROR(INDEX(БАЗА_ЦІНИ,5,IFERROR(MATCH(ЕТАЛОН_ПЛ,ПЛ_РЯДОК,0),0)),"")="",IFERROR(INDEX(БАЗА_ЦІНИ,5,IFERROR(MATCH(ЕТАЛОН_ПЛ,ПЛ_РЯДОК,0),0)),"")=0),"",DS16/IFERROR(INDEX(БАЗА_ЦІНИ,5,IFERROR(MATCH(ЕТАЛОН_ПЛ,ПЛ_РЯДОК,0),0)),"")-1)</f>
        <v/>
      </c>
      <c r="DU47" s="70" t="str">
        <f aca="false">IF(OR(DU16="",ЕТАЛОН_ПЛ="",IFERROR(INDEX(БАЗА_ЦІНИ,5,IFERROR(MATCH(ЕТАЛОН_ПЛ,ПЛ_РЯДОК,0),0)),"")=""),"",DU16-IFERROR(INDEX(БАЗА_ЦІНИ,5,IFERROR(MATCH(ЕТАЛОН_ПЛ,ПЛ_РЯДОК,0),0)),""))</f>
        <v/>
      </c>
      <c r="DV47" s="71" t="str">
        <f aca="false">IF(OR(DU16="",ЕТАЛОН_ПЛ="",IFERROR(INDEX(БАЗА_ЦІНИ,5,IFERROR(MATCH(ЕТАЛОН_ПЛ,ПЛ_РЯДОК,0),0)),"")="",IFERROR(INDEX(БАЗА_ЦІНИ,5,IFERROR(MATCH(ЕТАЛОН_ПЛ,ПЛ_РЯДОК,0),0)),"")=0),"",DU16/IFERROR(INDEX(БАЗА_ЦІНИ,5,IFERROR(MATCH(ЕТАЛОН_ПЛ,ПЛ_РЯДОК,0),0)),"")-1)</f>
        <v/>
      </c>
      <c r="DW47" s="70" t="str">
        <f aca="false">IF(OR(DW16="",ЕТАЛОН_ПЛ="",IFERROR(INDEX(БАЗА_ЦІНИ,5,IFERROR(MATCH(ЕТАЛОН_ПЛ,ПЛ_РЯДОК,0),0)),"")=""),"",DW16-IFERROR(INDEX(БАЗА_ЦІНИ,5,IFERROR(MATCH(ЕТАЛОН_ПЛ,ПЛ_РЯДОК,0),0)),""))</f>
        <v/>
      </c>
      <c r="DX47" s="71" t="str">
        <f aca="false">IF(OR(DW16="",ЕТАЛОН_ПЛ="",IFERROR(INDEX(БАЗА_ЦІНИ,5,IFERROR(MATCH(ЕТАЛОН_ПЛ,ПЛ_РЯДОК,0),0)),"")="",IFERROR(INDEX(БАЗА_ЦІНИ,5,IFERROR(MATCH(ЕТАЛОН_ПЛ,ПЛ_РЯДОК,0),0)),"")=0),"",DW16/IFERROR(INDEX(БАЗА_ЦІНИ,5,IFERROR(MATCH(ЕТАЛОН_ПЛ,ПЛ_РЯДОК,0),0)),"")-1)</f>
        <v/>
      </c>
      <c r="DY47" s="70" t="str">
        <f aca="false">IF(OR(DY16="",ЕТАЛОН_ПЛ="",IFERROR(INDEX(БАЗА_ЦІНИ,5,IFERROR(MATCH(ЕТАЛОН_ПЛ,ПЛ_РЯДОК,0),0)),"")=""),"",DY16-IFERROR(INDEX(БАЗА_ЦІНИ,5,IFERROR(MATCH(ЕТАЛОН_ПЛ,ПЛ_РЯДОК,0),0)),""))</f>
        <v/>
      </c>
      <c r="DZ47" s="71" t="str">
        <f aca="false">IF(OR(DY16="",ЕТАЛОН_ПЛ="",IFERROR(INDEX(БАЗА_ЦІНИ,5,IFERROR(MATCH(ЕТАЛОН_ПЛ,ПЛ_РЯДОК,0),0)),"")="",IFERROR(INDEX(БАЗА_ЦІНИ,5,IFERROR(MATCH(ЕТАЛОН_ПЛ,ПЛ_РЯДОК,0),0)),"")=0),"",DY16/IFERROR(INDEX(БАЗА_ЦІНИ,5,IFERROR(MATCH(ЕТАЛОН_ПЛ,ПЛ_РЯДОК,0),0)),"")-1)</f>
        <v/>
      </c>
      <c r="EA47" s="70" t="str">
        <f aca="false">IF(OR(EA16="",ЕТАЛОН_ПЛ="",IFERROR(INDEX(БАЗА_ЦІНИ,5,IFERROR(MATCH(ЕТАЛОН_ПЛ,ПЛ_РЯДОК,0),0)),"")=""),"",EA16-IFERROR(INDEX(БАЗА_ЦІНИ,5,IFERROR(MATCH(ЕТАЛОН_ПЛ,ПЛ_РЯДОК,0),0)),""))</f>
        <v/>
      </c>
      <c r="EB47" s="71" t="str">
        <f aca="false">IF(OR(EA16="",ЕТАЛОН_ПЛ="",IFERROR(INDEX(БАЗА_ЦІНИ,5,IFERROR(MATCH(ЕТАЛОН_ПЛ,ПЛ_РЯДОК,0),0)),"")="",IFERROR(INDEX(БАЗА_ЦІНИ,5,IFERROR(MATCH(ЕТАЛОН_ПЛ,ПЛ_РЯДОК,0),0)),"")=0),"",EA16/IFERROR(INDEX(БАЗА_ЦІНИ,5,IFERROR(MATCH(ЕТАЛОН_ПЛ,ПЛ_РЯДОК,0),0)),"")-1)</f>
        <v/>
      </c>
      <c r="EC47" s="70" t="str">
        <f aca="false">IF(OR(EC16="",ЕТАЛОН_ПЛ="",IFERROR(INDEX(БАЗА_ЦІНИ,5,IFERROR(MATCH(ЕТАЛОН_ПЛ,ПЛ_РЯДОК,0),0)),"")=""),"",EC16-IFERROR(INDEX(БАЗА_ЦІНИ,5,IFERROR(MATCH(ЕТАЛОН_ПЛ,ПЛ_РЯДОК,0),0)),""))</f>
        <v/>
      </c>
      <c r="ED47" s="71" t="str">
        <f aca="false">IF(OR(EC16="",ЕТАЛОН_ПЛ="",IFERROR(INDEX(БАЗА_ЦІНИ,5,IFERROR(MATCH(ЕТАЛОН_ПЛ,ПЛ_РЯДОК,0),0)),"")="",IFERROR(INDEX(БАЗА_ЦІНИ,5,IFERROR(MATCH(ЕТАЛОН_ПЛ,ПЛ_РЯДОК,0),0)),"")=0),"",EC16/IFERROR(INDEX(БАЗА_ЦІНИ,5,IFERROR(MATCH(ЕТАЛОН_ПЛ,ПЛ_РЯДОК,0),0)),"")-1)</f>
        <v/>
      </c>
      <c r="EE47" s="70" t="str">
        <f aca="false">IF(OR(EE16="",ЕТАЛОН_ПЛ="",IFERROR(INDEX(БАЗА_ЦІНИ,5,IFERROR(MATCH(ЕТАЛОН_ПЛ,ПЛ_РЯДОК,0),0)),"")=""),"",EE16-IFERROR(INDEX(БАЗА_ЦІНИ,5,IFERROR(MATCH(ЕТАЛОН_ПЛ,ПЛ_РЯДОК,0),0)),""))</f>
        <v/>
      </c>
      <c r="EF47" s="71" t="str">
        <f aca="false">IF(OR(EE16="",ЕТАЛОН_ПЛ="",IFERROR(INDEX(БАЗА_ЦІНИ,5,IFERROR(MATCH(ЕТАЛОН_ПЛ,ПЛ_РЯДОК,0),0)),"")="",IFERROR(INDEX(БАЗА_ЦІНИ,5,IFERROR(MATCH(ЕТАЛОН_ПЛ,ПЛ_РЯДОК,0),0)),"")=0),"",EE16/IFERROR(INDEX(БАЗА_ЦІНИ,5,IFERROR(MATCH(ЕТАЛОН_ПЛ,ПЛ_РЯДОК,0),0)),"")-1)</f>
        <v/>
      </c>
      <c r="EG47" s="70" t="str">
        <f aca="false">IF(OR(EG16="",ЕТАЛОН_ПЛ="",IFERROR(INDEX(БАЗА_ЦІНИ,5,IFERROR(MATCH(ЕТАЛОН_ПЛ,ПЛ_РЯДОК,0),0)),"")=""),"",EG16-IFERROR(INDEX(БАЗА_ЦІНИ,5,IFERROR(MATCH(ЕТАЛОН_ПЛ,ПЛ_РЯДОК,0),0)),""))</f>
        <v/>
      </c>
      <c r="EH47" s="71" t="str">
        <f aca="false">IF(OR(EG16="",ЕТАЛОН_ПЛ="",IFERROR(INDEX(БАЗА_ЦІНИ,5,IFERROR(MATCH(ЕТАЛОН_ПЛ,ПЛ_РЯДОК,0),0)),"")="",IFERROR(INDEX(БАЗА_ЦІНИ,5,IFERROR(MATCH(ЕТАЛОН_ПЛ,ПЛ_РЯДОК,0),0)),"")=0),"",EG16/IFERROR(INDEX(БАЗА_ЦІНИ,5,IFERROR(MATCH(ЕТАЛОН_ПЛ,ПЛ_РЯДОК,0),0)),"")-1)</f>
        <v/>
      </c>
      <c r="EI47" s="70" t="str">
        <f aca="false">IF(OR(EI16="",ЕТАЛОН_ПЛ="",IFERROR(INDEX(БАЗА_ЦІНИ,5,IFERROR(MATCH(ЕТАЛОН_ПЛ,ПЛ_РЯДОК,0),0)),"")=""),"",EI16-IFERROR(INDEX(БАЗА_ЦІНИ,5,IFERROR(MATCH(ЕТАЛОН_ПЛ,ПЛ_РЯДОК,0),0)),""))</f>
        <v/>
      </c>
      <c r="EJ47" s="71" t="str">
        <f aca="false">IF(OR(EI16="",ЕТАЛОН_ПЛ="",IFERROR(INDEX(БАЗА_ЦІНИ,5,IFERROR(MATCH(ЕТАЛОН_ПЛ,ПЛ_РЯДОК,0),0)),"")="",IFERROR(INDEX(БАЗА_ЦІНИ,5,IFERROR(MATCH(ЕТАЛОН_ПЛ,ПЛ_РЯДОК,0),0)),"")=0),"",EI16/IFERROR(INDEX(БАЗА_ЦІНИ,5,IFERROR(MATCH(ЕТАЛОН_ПЛ,ПЛ_РЯДОК,0),0)),"")-1)</f>
        <v/>
      </c>
      <c r="EK47" s="70" t="str">
        <f aca="false">IF(OR(EK16="",ЕТАЛОН_ПЛ="",IFERROR(INDEX(БАЗА_ЦІНИ,5,IFERROR(MATCH(ЕТАЛОН_ПЛ,ПЛ_РЯДОК,0),0)),"")=""),"",EK16-IFERROR(INDEX(БАЗА_ЦІНИ,5,IFERROR(MATCH(ЕТАЛОН_ПЛ,ПЛ_РЯДОК,0),0)),""))</f>
        <v/>
      </c>
      <c r="EL47" s="71" t="str">
        <f aca="false">IF(OR(EK16="",ЕТАЛОН_ПЛ="",IFERROR(INDEX(БАЗА_ЦІНИ,5,IFERROR(MATCH(ЕТАЛОН_ПЛ,ПЛ_РЯДОК,0),0)),"")="",IFERROR(INDEX(БАЗА_ЦІНИ,5,IFERROR(MATCH(ЕТАЛОН_ПЛ,ПЛ_РЯДОК,0),0)),"")=0),"",EK16/IFERROR(INDEX(БАЗА_ЦІНИ,5,IFERROR(MATCH(ЕТАЛОН_ПЛ,ПЛ_РЯДОК,0),0)),"")-1)</f>
        <v/>
      </c>
      <c r="EM47" s="70" t="str">
        <f aca="false">IF(OR(EM16="",ЕТАЛОН_ПЛ="",IFERROR(INDEX(БАЗА_ЦІНИ,5,IFERROR(MATCH(ЕТАЛОН_ПЛ,ПЛ_РЯДОК,0),0)),"")=""),"",EM16-IFERROR(INDEX(БАЗА_ЦІНИ,5,IFERROR(MATCH(ЕТАЛОН_ПЛ,ПЛ_РЯДОК,0),0)),""))</f>
        <v/>
      </c>
      <c r="EN47" s="71" t="str">
        <f aca="false">IF(OR(EM16="",ЕТАЛОН_ПЛ="",IFERROR(INDEX(БАЗА_ЦІНИ,5,IFERROR(MATCH(ЕТАЛОН_ПЛ,ПЛ_РЯДОК,0),0)),"")="",IFERROR(INDEX(БАЗА_ЦІНИ,5,IFERROR(MATCH(ЕТАЛОН_ПЛ,ПЛ_РЯДОК,0),0)),"")=0),"",EM16/IFERROR(INDEX(БАЗА_ЦІНИ,5,IFERROR(MATCH(ЕТАЛОН_ПЛ,ПЛ_РЯДОК,0),0)),"")-1)</f>
        <v/>
      </c>
      <c r="EO47" s="70" t="str">
        <f aca="false">IF(OR(EO16="",ЕТАЛОН_ПЛ="",IFERROR(INDEX(БАЗА_ЦІНИ,5,IFERROR(MATCH(ЕТАЛОН_ПЛ,ПЛ_РЯДОК,0),0)),"")=""),"",EO16-IFERROR(INDEX(БАЗА_ЦІНИ,5,IFERROR(MATCH(ЕТАЛОН_ПЛ,ПЛ_РЯДОК,0),0)),""))</f>
        <v/>
      </c>
      <c r="EP47" s="71" t="str">
        <f aca="false">IF(OR(EO16="",ЕТАЛОН_ПЛ="",IFERROR(INDEX(БАЗА_ЦІНИ,5,IFERROR(MATCH(ЕТАЛОН_ПЛ,ПЛ_РЯДОК,0),0)),"")="",IFERROR(INDEX(БАЗА_ЦІНИ,5,IFERROR(MATCH(ЕТАЛОН_ПЛ,ПЛ_РЯДОК,0),0)),"")=0),"",EO16/IFERROR(INDEX(БАЗА_ЦІНИ,5,IFERROR(MATCH(ЕТАЛОН_ПЛ,ПЛ_РЯДОК,0),0)),"")-1)</f>
        <v/>
      </c>
      <c r="EQ47" s="70" t="str">
        <f aca="false">IF(OR(EQ16="",ЕТАЛОН_ПЛ="",IFERROR(INDEX(БАЗА_ЦІНИ,5,IFERROR(MATCH(ЕТАЛОН_ПЛ,ПЛ_РЯДОК,0),0)),"")=""),"",EQ16-IFERROR(INDEX(БАЗА_ЦІНИ,5,IFERROR(MATCH(ЕТАЛОН_ПЛ,ПЛ_РЯДОК,0),0)),""))</f>
        <v/>
      </c>
      <c r="ER47" s="71" t="str">
        <f aca="false">IF(OR(EQ16="",ЕТАЛОН_ПЛ="",IFERROR(INDEX(БАЗА_ЦІНИ,5,IFERROR(MATCH(ЕТАЛОН_ПЛ,ПЛ_РЯДОК,0),0)),"")="",IFERROR(INDEX(БАЗА_ЦІНИ,5,IFERROR(MATCH(ЕТАЛОН_ПЛ,ПЛ_РЯДОК,0),0)),"")=0),"",EQ16/IFERROR(INDEX(БАЗА_ЦІНИ,5,IFERROR(MATCH(ЕТАЛОН_ПЛ,ПЛ_РЯДОК,0),0)),"")-1)</f>
        <v/>
      </c>
      <c r="ES47" s="70" t="str">
        <f aca="false">IF(OR(ES16="",ЕТАЛОН_ПЛ="",IFERROR(INDEX(БАЗА_ЦІНИ,5,IFERROR(MATCH(ЕТАЛОН_ПЛ,ПЛ_РЯДОК,0),0)),"")=""),"",ES16-IFERROR(INDEX(БАЗА_ЦІНИ,5,IFERROR(MATCH(ЕТАЛОН_ПЛ,ПЛ_РЯДОК,0),0)),""))</f>
        <v/>
      </c>
      <c r="ET47" s="71" t="str">
        <f aca="false">IF(OR(ES16="",ЕТАЛОН_ПЛ="",IFERROR(INDEX(БАЗА_ЦІНИ,5,IFERROR(MATCH(ЕТАЛОН_ПЛ,ПЛ_РЯДОК,0),0)),"")="",IFERROR(INDEX(БАЗА_ЦІНИ,5,IFERROR(MATCH(ЕТАЛОН_ПЛ,ПЛ_РЯДОК,0),0)),"")=0),"",ES16/IFERROR(INDEX(БАЗА_ЦІНИ,5,IFERROR(MATCH(ЕТАЛОН_ПЛ,ПЛ_РЯДОК,0),0)),"")-1)</f>
        <v/>
      </c>
      <c r="EU47" s="70" t="str">
        <f aca="false">IF(OR(EU16="",ЕТАЛОН_ПЛ="",IFERROR(INDEX(БАЗА_ЦІНИ,5,IFERROR(MATCH(ЕТАЛОН_ПЛ,ПЛ_РЯДОК,0),0)),"")=""),"",EU16-IFERROR(INDEX(БАЗА_ЦІНИ,5,IFERROR(MATCH(ЕТАЛОН_ПЛ,ПЛ_РЯДОК,0),0)),""))</f>
        <v/>
      </c>
      <c r="EV47" s="71" t="str">
        <f aca="false">IF(OR(EU16="",ЕТАЛОН_ПЛ="",IFERROR(INDEX(БАЗА_ЦІНИ,5,IFERROR(MATCH(ЕТАЛОН_ПЛ,ПЛ_РЯДОК,0),0)),"")="",IFERROR(INDEX(БАЗА_ЦІНИ,5,IFERROR(MATCH(ЕТАЛОН_ПЛ,ПЛ_РЯДОК,0),0)),"")=0),"",EU16/IFERROR(INDEX(БАЗА_ЦІНИ,5,IFERROR(MATCH(ЕТАЛОН_ПЛ,ПЛ_РЯДОК,0),0)),"")-1)</f>
        <v/>
      </c>
      <c r="EW47" s="70" t="str">
        <f aca="false">IF(OR(EW16="",ЕТАЛОН_ПЛ="",IFERROR(INDEX(БАЗА_ЦІНИ,5,IFERROR(MATCH(ЕТАЛОН_ПЛ,ПЛ_РЯДОК,0),0)),"")=""),"",EW16-IFERROR(INDEX(БАЗА_ЦІНИ,5,IFERROR(MATCH(ЕТАЛОН_ПЛ,ПЛ_РЯДОК,0),0)),""))</f>
        <v/>
      </c>
      <c r="EX47" s="71" t="str">
        <f aca="false">IF(OR(EW16="",ЕТАЛОН_ПЛ="",IFERROR(INDEX(БАЗА_ЦІНИ,5,IFERROR(MATCH(ЕТАЛОН_ПЛ,ПЛ_РЯДОК,0),0)),"")="",IFERROR(INDEX(БАЗА_ЦІНИ,5,IFERROR(MATCH(ЕТАЛОН_ПЛ,ПЛ_РЯДОК,0),0)),"")=0),"",EW16/IFERROR(INDEX(БАЗА_ЦІНИ,5,IFERROR(MATCH(ЕТАЛОН_ПЛ,ПЛ_РЯДОК,0),0)),"")-1)</f>
        <v/>
      </c>
      <c r="EY47" s="70" t="str">
        <f aca="false">IF(OR(EY16="",ЕТАЛОН_ПЛ="",IFERROR(INDEX(БАЗА_ЦІНИ,5,IFERROR(MATCH(ЕТАЛОН_ПЛ,ПЛ_РЯДОК,0),0)),"")=""),"",EY16-IFERROR(INDEX(БАЗА_ЦІНИ,5,IFERROR(MATCH(ЕТАЛОН_ПЛ,ПЛ_РЯДОК,0),0)),""))</f>
        <v/>
      </c>
      <c r="EZ47" s="71" t="str">
        <f aca="false">IF(OR(EY16="",ЕТАЛОН_ПЛ="",IFERROR(INDEX(БАЗА_ЦІНИ,5,IFERROR(MATCH(ЕТАЛОН_ПЛ,ПЛ_РЯДОК,0),0)),"")="",IFERROR(INDEX(БАЗА_ЦІНИ,5,IFERROR(MATCH(ЕТАЛОН_ПЛ,ПЛ_РЯДОК,0),0)),"")=0),"",EY16/IFERROR(INDEX(БАЗА_ЦІНИ,5,IFERROR(MATCH(ЕТАЛОН_ПЛ,ПЛ_РЯДОК,0),0)),"")-1)</f>
        <v/>
      </c>
      <c r="FA47" s="70" t="str">
        <f aca="false">IF(OR(FA16="",ЕТАЛОН_ПЛ="",IFERROR(INDEX(БАЗА_ЦІНИ,5,IFERROR(MATCH(ЕТАЛОН_ПЛ,ПЛ_РЯДОК,0),0)),"")=""),"",FA16-IFERROR(INDEX(БАЗА_ЦІНИ,5,IFERROR(MATCH(ЕТАЛОН_ПЛ,ПЛ_РЯДОК,0),0)),""))</f>
        <v/>
      </c>
      <c r="FB47" s="71" t="str">
        <f aca="false">IF(OR(FA16="",ЕТАЛОН_ПЛ="",IFERROR(INDEX(БАЗА_ЦІНИ,5,IFERROR(MATCH(ЕТАЛОН_ПЛ,ПЛ_РЯДОК,0),0)),"")="",IFERROR(INDEX(БАЗА_ЦІНИ,5,IFERROR(MATCH(ЕТАЛОН_ПЛ,ПЛ_РЯДОК,0),0)),"")=0),"",FA16/IFERROR(INDEX(БАЗА_ЦІНИ,5,IFERROR(MATCH(ЕТАЛОН_ПЛ,ПЛ_РЯДОК,0),0)),"")-1)</f>
        <v/>
      </c>
      <c r="FC47" s="70" t="str">
        <f aca="false">IF(OR(FC16="",ЕТАЛОН_ПЛ="",IFERROR(INDEX(БАЗА_ЦІНИ,5,IFERROR(MATCH(ЕТАЛОН_ПЛ,ПЛ_РЯДОК,0),0)),"")=""),"",FC16-IFERROR(INDEX(БАЗА_ЦІНИ,5,IFERROR(MATCH(ЕТАЛОН_ПЛ,ПЛ_РЯДОК,0),0)),""))</f>
        <v/>
      </c>
      <c r="FD47" s="71" t="str">
        <f aca="false">IF(OR(FC16="",ЕТАЛОН_ПЛ="",IFERROR(INDEX(БАЗА_ЦІНИ,5,IFERROR(MATCH(ЕТАЛОН_ПЛ,ПЛ_РЯДОК,0),0)),"")="",IFERROR(INDEX(БАЗА_ЦІНИ,5,IFERROR(MATCH(ЕТАЛОН_ПЛ,ПЛ_РЯДОК,0),0)),"")=0),"",FC16/IFERROR(INDEX(БАЗА_ЦІНИ,5,IFERROR(MATCH(ЕТАЛОН_ПЛ,ПЛ_РЯДОК,0),0)),"")-1)</f>
        <v/>
      </c>
      <c r="FE47" s="70" t="str">
        <f aca="false">IF(OR(FE16="",ЕТАЛОН_ПЛ="",IFERROR(INDEX(БАЗА_ЦІНИ,5,IFERROR(MATCH(ЕТАЛОН_ПЛ,ПЛ_РЯДОК,0),0)),"")=""),"",FE16-IFERROR(INDEX(БАЗА_ЦІНИ,5,IFERROR(MATCH(ЕТАЛОН_ПЛ,ПЛ_РЯДОК,0),0)),""))</f>
        <v/>
      </c>
      <c r="FF47" s="71" t="str">
        <f aca="false">IF(OR(FE16="",ЕТАЛОН_ПЛ="",IFERROR(INDEX(БАЗА_ЦІНИ,5,IFERROR(MATCH(ЕТАЛОН_ПЛ,ПЛ_РЯДОК,0),0)),"")="",IFERROR(INDEX(БАЗА_ЦІНИ,5,IFERROR(MATCH(ЕТАЛОН_ПЛ,ПЛ_РЯДОК,0),0)),"")=0),"",FE16/IFERROR(INDEX(БАЗА_ЦІНИ,5,IFERROR(MATCH(ЕТАЛОН_ПЛ,ПЛ_РЯДОК,0),0)),"")-1)</f>
        <v/>
      </c>
      <c r="FG47" s="70" t="str">
        <f aca="false">IF(OR(FG16="",ЕТАЛОН_ПЛ="",IFERROR(INDEX(БАЗА_ЦІНИ,5,IFERROR(MATCH(ЕТАЛОН_ПЛ,ПЛ_РЯДОК,0),0)),"")=""),"",FG16-IFERROR(INDEX(БАЗА_ЦІНИ,5,IFERROR(MATCH(ЕТАЛОН_ПЛ,ПЛ_РЯДОК,0),0)),""))</f>
        <v/>
      </c>
      <c r="FH47" s="71" t="str">
        <f aca="false">IF(OR(FG16="",ЕТАЛОН_ПЛ="",IFERROR(INDEX(БАЗА_ЦІНИ,5,IFERROR(MATCH(ЕТАЛОН_ПЛ,ПЛ_РЯДОК,0),0)),"")="",IFERROR(INDEX(БАЗА_ЦІНИ,5,IFERROR(MATCH(ЕТАЛОН_ПЛ,ПЛ_РЯДОК,0),0)),"")=0),"",FG16/IFERROR(INDEX(БАЗА_ЦІНИ,5,IFERROR(MATCH(ЕТАЛОН_ПЛ,ПЛ_РЯДОК,0),0)),"")-1)</f>
        <v/>
      </c>
      <c r="FI47" s="70" t="str">
        <f aca="false">IF(OR(FI16="",ЕТАЛОН_ПЛ="",IFERROR(INDEX(БАЗА_ЦІНИ,5,IFERROR(MATCH(ЕТАЛОН_ПЛ,ПЛ_РЯДОК,0),0)),"")=""),"",FI16-IFERROR(INDEX(БАЗА_ЦІНИ,5,IFERROR(MATCH(ЕТАЛОН_ПЛ,ПЛ_РЯДОК,0),0)),""))</f>
        <v/>
      </c>
      <c r="FJ47" s="71" t="str">
        <f aca="false">IF(OR(FI16="",ЕТАЛОН_ПЛ="",IFERROR(INDEX(БАЗА_ЦІНИ,5,IFERROR(MATCH(ЕТАЛОН_ПЛ,ПЛ_РЯДОК,0),0)),"")="",IFERROR(INDEX(БАЗА_ЦІНИ,5,IFERROR(MATCH(ЕТАЛОН_ПЛ,ПЛ_РЯДОК,0),0)),"")=0),"",FI16/IFERROR(INDEX(БАЗА_ЦІНИ,5,IFERROR(MATCH(ЕТАЛОН_ПЛ,ПЛ_РЯДОК,0),0)),"")-1)</f>
        <v/>
      </c>
      <c r="FK47" s="70" t="str">
        <f aca="false">IF(OR(FK16="",ЕТАЛОН_ПЛ="",IFERROR(INDEX(БАЗА_ЦІНИ,5,IFERROR(MATCH(ЕТАЛОН_ПЛ,ПЛ_РЯДОК,0),0)),"")=""),"",FK16-IFERROR(INDEX(БАЗА_ЦІНИ,5,IFERROR(MATCH(ЕТАЛОН_ПЛ,ПЛ_РЯДОК,0),0)),""))</f>
        <v/>
      </c>
      <c r="FL47" s="71" t="str">
        <f aca="false">IF(OR(FK16="",ЕТАЛОН_ПЛ="",IFERROR(INDEX(БАЗА_ЦІНИ,5,IFERROR(MATCH(ЕТАЛОН_ПЛ,ПЛ_РЯДОК,0),0)),"")="",IFERROR(INDEX(БАЗА_ЦІНИ,5,IFERROR(MATCH(ЕТАЛОН_ПЛ,ПЛ_РЯДОК,0),0)),"")=0),"",FK16/IFERROR(INDEX(БАЗА_ЦІНИ,5,IFERROR(MATCH(ЕТАЛОН_ПЛ,ПЛ_РЯДОК,0),0)),"")-1)</f>
        <v/>
      </c>
      <c r="FM47" s="70" t="str">
        <f aca="false">IF(OR(FM16="",ЕТАЛОН_ПЛ="",IFERROR(INDEX(БАЗА_ЦІНИ,5,IFERROR(MATCH(ЕТАЛОН_ПЛ,ПЛ_РЯДОК,0),0)),"")=""),"",FM16-IFERROR(INDEX(БАЗА_ЦІНИ,5,IFERROR(MATCH(ЕТАЛОН_ПЛ,ПЛ_РЯДОК,0),0)),""))</f>
        <v/>
      </c>
      <c r="FN47" s="71" t="str">
        <f aca="false">IF(OR(FM16="",ЕТАЛОН_ПЛ="",IFERROR(INDEX(БАЗА_ЦІНИ,5,IFERROR(MATCH(ЕТАЛОН_ПЛ,ПЛ_РЯДОК,0),0)),"")="",IFERROR(INDEX(БАЗА_ЦІНИ,5,IFERROR(MATCH(ЕТАЛОН_ПЛ,ПЛ_РЯДОК,0),0)),"")=0),"",FM16/IFERROR(INDEX(БАЗА_ЦІНИ,5,IFERROR(MATCH(ЕТАЛОН_ПЛ,ПЛ_РЯДОК,0),0)),"")-1)</f>
        <v/>
      </c>
      <c r="FO47" s="70" t="str">
        <f aca="false">IF(OR(FO16="",ЕТАЛОН_ПЛ="",IFERROR(INDEX(БАЗА_ЦІНИ,5,IFERROR(MATCH(ЕТАЛОН_ПЛ,ПЛ_РЯДОК,0),0)),"")=""),"",FO16-IFERROR(INDEX(БАЗА_ЦІНИ,5,IFERROR(MATCH(ЕТАЛОН_ПЛ,ПЛ_РЯДОК,0),0)),""))</f>
        <v/>
      </c>
      <c r="FP47" s="71" t="str">
        <f aca="false">IF(OR(FO16="",ЕТАЛОН_ПЛ="",IFERROR(INDEX(БАЗА_ЦІНИ,5,IFERROR(MATCH(ЕТАЛОН_ПЛ,ПЛ_РЯДОК,0),0)),"")="",IFERROR(INDEX(БАЗА_ЦІНИ,5,IFERROR(MATCH(ЕТАЛОН_ПЛ,ПЛ_РЯДОК,0),0)),"")=0),"",FO16/IFERROR(INDEX(БАЗА_ЦІНИ,5,IFERROR(MATCH(ЕТАЛОН_ПЛ,ПЛ_РЯДОК,0),0)),"")-1)</f>
        <v/>
      </c>
      <c r="FQ47" s="70" t="str">
        <f aca="false">IF(OR(FQ16="",ЕТАЛОН_ПЛ="",IFERROR(INDEX(БАЗА_ЦІНИ,5,IFERROR(MATCH(ЕТАЛОН_ПЛ,ПЛ_РЯДОК,0),0)),"")=""),"",FQ16-IFERROR(INDEX(БАЗА_ЦІНИ,5,IFERROR(MATCH(ЕТАЛОН_ПЛ,ПЛ_РЯДОК,0),0)),""))</f>
        <v/>
      </c>
      <c r="FR47" s="71" t="str">
        <f aca="false">IF(OR(FQ16="",ЕТАЛОН_ПЛ="",IFERROR(INDEX(БАЗА_ЦІНИ,5,IFERROR(MATCH(ЕТАЛОН_ПЛ,ПЛ_РЯДОК,0),0)),"")="",IFERROR(INDEX(БАЗА_ЦІНИ,5,IFERROR(MATCH(ЕТАЛОН_ПЛ,ПЛ_РЯДОК,0),0)),"")=0),"",FQ16/IFERROR(INDEX(БАЗА_ЦІНИ,5,IFERROR(MATCH(ЕТАЛОН_ПЛ,ПЛ_РЯДОК,0),0)),"")-1)</f>
        <v/>
      </c>
      <c r="FS47" s="70" t="str">
        <f aca="false">IF(OR(FS16="",ЕТАЛОН_ПЛ="",IFERROR(INDEX(БАЗА_ЦІНИ,5,IFERROR(MATCH(ЕТАЛОН_ПЛ,ПЛ_РЯДОК,0),0)),"")=""),"",FS16-IFERROR(INDEX(БАЗА_ЦІНИ,5,IFERROR(MATCH(ЕТАЛОН_ПЛ,ПЛ_РЯДОК,0),0)),""))</f>
        <v/>
      </c>
      <c r="FT47" s="71" t="str">
        <f aca="false">IF(OR(FS16="",ЕТАЛОН_ПЛ="",IFERROR(INDEX(БАЗА_ЦІНИ,5,IFERROR(MATCH(ЕТАЛОН_ПЛ,ПЛ_РЯДОК,0),0)),"")="",IFERROR(INDEX(БАЗА_ЦІНИ,5,IFERROR(MATCH(ЕТАЛОН_ПЛ,ПЛ_РЯДОК,0),0)),"")=0),"",FS16/IFERROR(INDEX(БАЗА_ЦІНИ,5,IFERROR(MATCH(ЕТАЛОН_ПЛ,ПЛ_РЯДОК,0),0)),"")-1)</f>
        <v/>
      </c>
      <c r="FU47" s="70" t="str">
        <f aca="false">IF(OR(FU16="",ЕТАЛОН_ПЛ="",IFERROR(INDEX(БАЗА_ЦІНИ,5,IFERROR(MATCH(ЕТАЛОН_ПЛ,ПЛ_РЯДОК,0),0)),"")=""),"",FU16-IFERROR(INDEX(БАЗА_ЦІНИ,5,IFERROR(MATCH(ЕТАЛОН_ПЛ,ПЛ_РЯДОК,0),0)),""))</f>
        <v/>
      </c>
      <c r="FV47" s="71" t="str">
        <f aca="false">IF(OR(FU16="",ЕТАЛОН_ПЛ="",IFERROR(INDEX(БАЗА_ЦІНИ,5,IFERROR(MATCH(ЕТАЛОН_ПЛ,ПЛ_РЯДОК,0),0)),"")="",IFERROR(INDEX(БАЗА_ЦІНИ,5,IFERROR(MATCH(ЕТАЛОН_ПЛ,ПЛ_РЯДОК,0),0)),"")=0),"",FU16/IFERROR(INDEX(БАЗА_ЦІНИ,5,IFERROR(MATCH(ЕТАЛОН_ПЛ,ПЛ_РЯДОК,0),0)),"")-1)</f>
        <v/>
      </c>
      <c r="FW47" s="70" t="str">
        <f aca="false">IF(OR(FW16="",ЕТАЛОН_ПЛ="",IFERROR(INDEX(БАЗА_ЦІНИ,5,IFERROR(MATCH(ЕТАЛОН_ПЛ,ПЛ_РЯДОК,0),0)),"")=""),"",FW16-IFERROR(INDEX(БАЗА_ЦІНИ,5,IFERROR(MATCH(ЕТАЛОН_ПЛ,ПЛ_РЯДОК,0),0)),""))</f>
        <v/>
      </c>
      <c r="FX47" s="71" t="str">
        <f aca="false">IF(OR(FW16="",ЕТАЛОН_ПЛ="",IFERROR(INDEX(БАЗА_ЦІНИ,5,IFERROR(MATCH(ЕТАЛОН_ПЛ,ПЛ_РЯДОК,0),0)),"")="",IFERROR(INDEX(БАЗА_ЦІНИ,5,IFERROR(MATCH(ЕТАЛОН_ПЛ,ПЛ_РЯДОК,0),0)),"")=0),"",FW16/IFERROR(INDEX(БАЗА_ЦІНИ,5,IFERROR(MATCH(ЕТАЛОН_ПЛ,ПЛ_РЯДОК,0),0)),"")-1)</f>
        <v/>
      </c>
      <c r="FY47" s="70" t="str">
        <f aca="false">IF(OR(FY16="",ЕТАЛОН_ПЛ="",IFERROR(INDEX(БАЗА_ЦІНИ,5,IFERROR(MATCH(ЕТАЛОН_ПЛ,ПЛ_РЯДОК,0),0)),"")=""),"",FY16-IFERROR(INDEX(БАЗА_ЦІНИ,5,IFERROR(MATCH(ЕТАЛОН_ПЛ,ПЛ_РЯДОК,0),0)),""))</f>
        <v/>
      </c>
      <c r="FZ47" s="71" t="str">
        <f aca="false">IF(OR(FY16="",ЕТАЛОН_ПЛ="",IFERROR(INDEX(БАЗА_ЦІНИ,5,IFERROR(MATCH(ЕТАЛОН_ПЛ,ПЛ_РЯДОК,0),0)),"")="",IFERROR(INDEX(БАЗА_ЦІНИ,5,IFERROR(MATCH(ЕТАЛОН_ПЛ,ПЛ_РЯДОК,0),0)),"")=0),"",FY16/IFERROR(INDEX(БАЗА_ЦІНИ,5,IFERROR(MATCH(ЕТАЛОН_ПЛ,ПЛ_РЯДОК,0),0)),"")-1)</f>
        <v/>
      </c>
      <c r="GA47" s="70" t="str">
        <f aca="false">IF(OR(GA16="",ЕТАЛОН_ПЛ="",IFERROR(INDEX(БАЗА_ЦІНИ,5,IFERROR(MATCH(ЕТАЛОН_ПЛ,ПЛ_РЯДОК,0),0)),"")=""),"",GA16-IFERROR(INDEX(БАЗА_ЦІНИ,5,IFERROR(MATCH(ЕТАЛОН_ПЛ,ПЛ_РЯДОК,0),0)),""))</f>
        <v/>
      </c>
      <c r="GB47" s="71" t="str">
        <f aca="false">IF(OR(GA16="",ЕТАЛОН_ПЛ="",IFERROR(INDEX(БАЗА_ЦІНИ,5,IFERROR(MATCH(ЕТАЛОН_ПЛ,ПЛ_РЯДОК,0),0)),"")="",IFERROR(INDEX(БАЗА_ЦІНИ,5,IFERROR(MATCH(ЕТАЛОН_ПЛ,ПЛ_РЯДОК,0),0)),"")=0),"",GA16/IFERROR(INDEX(БАЗА_ЦІНИ,5,IFERROR(MATCH(ЕТАЛОН_ПЛ,ПЛ_РЯДОК,0),0)),"")-1)</f>
        <v/>
      </c>
      <c r="GC47" s="70" t="str">
        <f aca="false">IF(OR(GC16="",ЕТАЛОН_ПЛ="",IFERROR(INDEX(БАЗА_ЦІНИ,5,IFERROR(MATCH(ЕТАЛОН_ПЛ,ПЛ_РЯДОК,0),0)),"")=""),"",GC16-IFERROR(INDEX(БАЗА_ЦІНИ,5,IFERROR(MATCH(ЕТАЛОН_ПЛ,ПЛ_РЯДОК,0),0)),""))</f>
        <v/>
      </c>
      <c r="GD47" s="71" t="str">
        <f aca="false">IF(OR(GC16="",ЕТАЛОН_ПЛ="",IFERROR(INDEX(БАЗА_ЦІНИ,5,IFERROR(MATCH(ЕТАЛОН_ПЛ,ПЛ_РЯДОК,0),0)),"")="",IFERROR(INDEX(БАЗА_ЦІНИ,5,IFERROR(MATCH(ЕТАЛОН_ПЛ,ПЛ_РЯДОК,0),0)),"")=0),"",GC16/IFERROR(INDEX(БАЗА_ЦІНИ,5,IFERROR(MATCH(ЕТАЛОН_ПЛ,ПЛ_РЯДОК,0),0)),"")-1)</f>
        <v/>
      </c>
      <c r="GE47" s="70" t="str">
        <f aca="false">IF(OR(GE16="",ЕТАЛОН_ПЛ="",IFERROR(INDEX(БАЗА_ЦІНИ,5,IFERROR(MATCH(ЕТАЛОН_ПЛ,ПЛ_РЯДОК,0),0)),"")=""),"",GE16-IFERROR(INDEX(БАЗА_ЦІНИ,5,IFERROR(MATCH(ЕТАЛОН_ПЛ,ПЛ_РЯДОК,0),0)),""))</f>
        <v/>
      </c>
      <c r="GF47" s="71" t="str">
        <f aca="false">IF(OR(GE16="",ЕТАЛОН_ПЛ="",IFERROR(INDEX(БАЗА_ЦІНИ,5,IFERROR(MATCH(ЕТАЛОН_ПЛ,ПЛ_РЯДОК,0),0)),"")="",IFERROR(INDEX(БАЗА_ЦІНИ,5,IFERROR(MATCH(ЕТАЛОН_ПЛ,ПЛ_РЯДОК,0),0)),"")=0),"",GE16/IFERROR(INDEX(БАЗА_ЦІНИ,5,IFERROR(MATCH(ЕТАЛОН_ПЛ,ПЛ_РЯДОК,0),0)),"")-1)</f>
        <v/>
      </c>
      <c r="GG47" s="70" t="str">
        <f aca="false">IF(OR(GG16="",ЕТАЛОН_ПЛ="",IFERROR(INDEX(БАЗА_ЦІНИ,5,IFERROR(MATCH(ЕТАЛОН_ПЛ,ПЛ_РЯДОК,0),0)),"")=""),"",GG16-IFERROR(INDEX(БАЗА_ЦІНИ,5,IFERROR(MATCH(ЕТАЛОН_ПЛ,ПЛ_РЯДОК,0),0)),""))</f>
        <v/>
      </c>
      <c r="GH47" s="71" t="str">
        <f aca="false">IF(OR(GG16="",ЕТАЛОН_ПЛ="",IFERROR(INDEX(БАЗА_ЦІНИ,5,IFERROR(MATCH(ЕТАЛОН_ПЛ,ПЛ_РЯДОК,0),0)),"")="",IFERROR(INDEX(БАЗА_ЦІНИ,5,IFERROR(MATCH(ЕТАЛОН_ПЛ,ПЛ_РЯДОК,0),0)),"")=0),"",GG16/IFERROR(INDEX(БАЗА_ЦІНИ,5,IFERROR(MATCH(ЕТАЛОН_ПЛ,ПЛ_РЯДОК,0),0)),"")-1)</f>
        <v/>
      </c>
      <c r="GI47" s="70" t="str">
        <f aca="false">IF(OR(GI16="",ЕТАЛОН_ПЛ="",IFERROR(INDEX(БАЗА_ЦІНИ,5,IFERROR(MATCH(ЕТАЛОН_ПЛ,ПЛ_РЯДОК,0),0)),"")=""),"",GI16-IFERROR(INDEX(БАЗА_ЦІНИ,5,IFERROR(MATCH(ЕТАЛОН_ПЛ,ПЛ_РЯДОК,0),0)),""))</f>
        <v/>
      </c>
      <c r="GJ47" s="71" t="str">
        <f aca="false">IF(OR(GI16="",ЕТАЛОН_ПЛ="",IFERROR(INDEX(БАЗА_ЦІНИ,5,IFERROR(MATCH(ЕТАЛОН_ПЛ,ПЛ_РЯДОК,0),0)),"")="",IFERROR(INDEX(БАЗА_ЦІНИ,5,IFERROR(MATCH(ЕТАЛОН_ПЛ,ПЛ_РЯДОК,0),0)),"")=0),"",GI16/IFERROR(INDEX(БАЗА_ЦІНИ,5,IFERROR(MATCH(ЕТАЛОН_ПЛ,ПЛ_РЯДОК,0),0)),"")-1)</f>
        <v/>
      </c>
      <c r="GK47" s="70" t="str">
        <f aca="false">IF(OR(GK16="",ЕТАЛОН_ПЛ="",IFERROR(INDEX(БАЗА_ЦІНИ,5,IFERROR(MATCH(ЕТАЛОН_ПЛ,ПЛ_РЯДОК,0),0)),"")=""),"",GK16-IFERROR(INDEX(БАЗА_ЦІНИ,5,IFERROR(MATCH(ЕТАЛОН_ПЛ,ПЛ_РЯДОК,0),0)),""))</f>
        <v/>
      </c>
      <c r="GL47" s="71" t="str">
        <f aca="false">IF(OR(GK16="",ЕТАЛОН_ПЛ="",IFERROR(INDEX(БАЗА_ЦІНИ,5,IFERROR(MATCH(ЕТАЛОН_ПЛ,ПЛ_РЯДОК,0),0)),"")="",IFERROR(INDEX(БАЗА_ЦІНИ,5,IFERROR(MATCH(ЕТАЛОН_ПЛ,ПЛ_РЯДОК,0),0)),"")=0),"",GK16/IFERROR(INDEX(БАЗА_ЦІНИ,5,IFERROR(MATCH(ЕТАЛОН_ПЛ,ПЛ_РЯДОК,0),0)),"")-1)</f>
        <v/>
      </c>
      <c r="GM47" s="70" t="str">
        <f aca="false">IF(OR(GM16="",ЕТАЛОН_ПЛ="",IFERROR(INDEX(БАЗА_ЦІНИ,5,IFERROR(MATCH(ЕТАЛОН_ПЛ,ПЛ_РЯДОК,0),0)),"")=""),"",GM16-IFERROR(INDEX(БАЗА_ЦІНИ,5,IFERROR(MATCH(ЕТАЛОН_ПЛ,ПЛ_РЯДОК,0),0)),""))</f>
        <v/>
      </c>
      <c r="GN47" s="71" t="str">
        <f aca="false">IF(OR(GM16="",ЕТАЛОН_ПЛ="",IFERROR(INDEX(БАЗА_ЦІНИ,5,IFERROR(MATCH(ЕТАЛОН_ПЛ,ПЛ_РЯДОК,0),0)),"")="",IFERROR(INDEX(БАЗА_ЦІНИ,5,IFERROR(MATCH(ЕТАЛОН_ПЛ,ПЛ_РЯДОК,0),0)),"")=0),"",GM16/IFERROR(INDEX(БАЗА_ЦІНИ,5,IFERROR(MATCH(ЕТАЛОН_ПЛ,ПЛ_РЯДОК,0),0)),"")-1)</f>
        <v/>
      </c>
      <c r="GO47" s="70" t="str">
        <f aca="false">IF(OR(GO16="",ЕТАЛОН_ПЛ="",IFERROR(INDEX(БАЗА_ЦІНИ,5,IFERROR(MATCH(ЕТАЛОН_ПЛ,ПЛ_РЯДОК,0),0)),"")=""),"",GO16-IFERROR(INDEX(БАЗА_ЦІНИ,5,IFERROR(MATCH(ЕТАЛОН_ПЛ,ПЛ_РЯДОК,0),0)),""))</f>
        <v/>
      </c>
      <c r="GP47" s="71" t="str">
        <f aca="false">IF(OR(GO16="",ЕТАЛОН_ПЛ="",IFERROR(INDEX(БАЗА_ЦІНИ,5,IFERROR(MATCH(ЕТАЛОН_ПЛ,ПЛ_РЯДОК,0),0)),"")="",IFERROR(INDEX(БАЗА_ЦІНИ,5,IFERROR(MATCH(ЕТАЛОН_ПЛ,ПЛ_РЯДОК,0),0)),"")=0),"",GO16/IFERROR(INDEX(БАЗА_ЦІНИ,5,IFERROR(MATCH(ЕТАЛОН_ПЛ,ПЛ_РЯДОК,0),0)),"")-1)</f>
        <v/>
      </c>
      <c r="GQ47" s="70" t="str">
        <f aca="false">IF(OR(GQ16="",ЕТАЛОН_ПЛ="",IFERROR(INDEX(БАЗА_ЦІНИ,5,IFERROR(MATCH(ЕТАЛОН_ПЛ,ПЛ_РЯДОК,0),0)),"")=""),"",GQ16-IFERROR(INDEX(БАЗА_ЦІНИ,5,IFERROR(MATCH(ЕТАЛОН_ПЛ,ПЛ_РЯДОК,0),0)),""))</f>
        <v/>
      </c>
      <c r="GR47" s="71" t="str">
        <f aca="false">IF(OR(GQ16="",ЕТАЛОН_ПЛ="",IFERROR(INDEX(БАЗА_ЦІНИ,5,IFERROR(MATCH(ЕТАЛОН_ПЛ,ПЛ_РЯДОК,0),0)),"")="",IFERROR(INDEX(БАЗА_ЦІНИ,5,IFERROR(MATCH(ЕТАЛОН_ПЛ,ПЛ_РЯДОК,0),0)),"")=0),"",GQ16/IFERROR(INDEX(БАЗА_ЦІНИ,5,IFERROR(MATCH(ЕТАЛОН_ПЛ,ПЛ_РЯДОК,0),0)),"")-1)</f>
        <v/>
      </c>
      <c r="GS47" s="70" t="str">
        <f aca="false">IF(OR(GS16="",ЕТАЛОН_ПЛ="",IFERROR(INDEX(БАЗА_ЦІНИ,5,IFERROR(MATCH(ЕТАЛОН_ПЛ,ПЛ_РЯДОК,0),0)),"")=""),"",GS16-IFERROR(INDEX(БАЗА_ЦІНИ,5,IFERROR(MATCH(ЕТАЛОН_ПЛ,ПЛ_РЯДОК,0),0)),""))</f>
        <v/>
      </c>
      <c r="GT47" s="71" t="str">
        <f aca="false">IF(OR(GS16="",ЕТАЛОН_ПЛ="",IFERROR(INDEX(БАЗА_ЦІНИ,5,IFERROR(MATCH(ЕТАЛОН_ПЛ,ПЛ_РЯДОК,0),0)),"")="",IFERROR(INDEX(БАЗА_ЦІНИ,5,IFERROR(MATCH(ЕТАЛОН_ПЛ,ПЛ_РЯДОК,0),0)),"")=0),"",GS16/IFERROR(INDEX(БАЗА_ЦІНИ,5,IFERROR(MATCH(ЕТАЛОН_ПЛ,ПЛ_РЯДОК,0),0)),"")-1)</f>
        <v/>
      </c>
      <c r="GU47" s="70" t="str">
        <f aca="false">IF(OR(GU16="",ЕТАЛОН_ПЛ="",IFERROR(INDEX(БАЗА_ЦІНИ,5,IFERROR(MATCH(ЕТАЛОН_ПЛ,ПЛ_РЯДОК,0),0)),"")=""),"",GU16-IFERROR(INDEX(БАЗА_ЦІНИ,5,IFERROR(MATCH(ЕТАЛОН_ПЛ,ПЛ_РЯДОК,0),0)),""))</f>
        <v/>
      </c>
      <c r="GV47" s="71" t="str">
        <f aca="false">IF(OR(GU16="",ЕТАЛОН_ПЛ="",IFERROR(INDEX(БАЗА_ЦІНИ,5,IFERROR(MATCH(ЕТАЛОН_ПЛ,ПЛ_РЯДОК,0),0)),"")="",IFERROR(INDEX(БАЗА_ЦІНИ,5,IFERROR(MATCH(ЕТАЛОН_ПЛ,ПЛ_РЯДОК,0),0)),"")=0),"",GU16/IFERROR(INDEX(БАЗА_ЦІНИ,5,IFERROR(MATCH(ЕТАЛОН_ПЛ,ПЛ_РЯДОК,0),0)),"")-1)</f>
        <v/>
      </c>
      <c r="GW47" s="70" t="str">
        <f aca="false">IF(OR(GW16="",ЕТАЛОН_ПЛ="",IFERROR(INDEX(БАЗА_ЦІНИ,5,IFERROR(MATCH(ЕТАЛОН_ПЛ,ПЛ_РЯДОК,0),0)),"")=""),"",GW16-IFERROR(INDEX(БАЗА_ЦІНИ,5,IFERROR(MATCH(ЕТАЛОН_ПЛ,ПЛ_РЯДОК,0),0)),""))</f>
        <v/>
      </c>
      <c r="GX47" s="71" t="str">
        <f aca="false">IF(OR(GW16="",ЕТАЛОН_ПЛ="",IFERROR(INDEX(БАЗА_ЦІНИ,5,IFERROR(MATCH(ЕТАЛОН_ПЛ,ПЛ_РЯДОК,0),0)),"")="",IFERROR(INDEX(БАЗА_ЦІНИ,5,IFERROR(MATCH(ЕТАЛОН_ПЛ,ПЛ_РЯДОК,0),0)),"")=0),"",GW16/IFERROR(INDEX(БАЗА_ЦІНИ,5,IFERROR(MATCH(ЕТАЛОН_ПЛ,ПЛ_РЯДОК,0),0)),"")-1)</f>
        <v/>
      </c>
      <c r="GY47" s="70" t="str">
        <f aca="false">IF(OR(GY16="",ЕТАЛОН_ПЛ="",IFERROR(INDEX(БАЗА_ЦІНИ,5,IFERROR(MATCH(ЕТАЛОН_ПЛ,ПЛ_РЯДОК,0),0)),"")=""),"",GY16-IFERROR(INDEX(БАЗА_ЦІНИ,5,IFERROR(MATCH(ЕТАЛОН_ПЛ,ПЛ_РЯДОК,0),0)),""))</f>
        <v/>
      </c>
      <c r="GZ47" s="71" t="str">
        <f aca="false">IF(OR(GY16="",ЕТАЛОН_ПЛ="",IFERROR(INDEX(БАЗА_ЦІНИ,5,IFERROR(MATCH(ЕТАЛОН_ПЛ,ПЛ_РЯДОК,0),0)),"")="",IFERROR(INDEX(БАЗА_ЦІНИ,5,IFERROR(MATCH(ЕТАЛОН_ПЛ,ПЛ_РЯДОК,0),0)),"")=0),"",GY16/IFERROR(INDEX(БАЗА_ЦІНИ,5,IFERROR(MATCH(ЕТАЛОН_ПЛ,ПЛ_РЯДОК,0),0)),"")-1)</f>
        <v/>
      </c>
    </row>
    <row r="48" customFormat="false" ht="15" hidden="false" customHeight="false" outlineLevel="0" collapsed="false">
      <c r="A48" s="4"/>
      <c r="B48" s="36"/>
      <c r="C48" s="36"/>
      <c r="D48" s="49"/>
      <c r="E48" s="50"/>
      <c r="H48" s="23" t="str">
        <f aca="false">IF('Довідник категорій'!B10="","",'Довідник категорій'!B10)</f>
        <v/>
      </c>
      <c r="I48" s="70" t="str">
        <f aca="false">IF(OR(I17="",ЕТАЛОН_ПЛ="",IFERROR(INDEX(БАЗА_ЦІНИ,6,IFERROR(MATCH(ЕТАЛОН_ПЛ,ПЛ_РЯДОК,0),0)),"")=""),"",I17-IFERROR(INDEX(БАЗА_ЦІНИ,6,IFERROR(MATCH(ЕТАЛОН_ПЛ,ПЛ_РЯДОК,0),0)),""))</f>
        <v/>
      </c>
      <c r="J48" s="71" t="str">
        <f aca="false">IF(OR(I17="",ЕТАЛОН_ПЛ="",IFERROR(INDEX(БАЗА_ЦІНИ,6,IFERROR(MATCH(ЕТАЛОН_ПЛ,ПЛ_РЯДОК,0),0)),"")="",IFERROR(INDEX(БАЗА_ЦІНИ,6,IFERROR(MATCH(ЕТАЛОН_ПЛ,ПЛ_РЯДОК,0),0)),"")=0),"",I17/IFERROR(INDEX(БАЗА_ЦІНИ,6,IFERROR(MATCH(ЕТАЛОН_ПЛ,ПЛ_РЯДОК,0),0)),"")-1)</f>
        <v/>
      </c>
      <c r="K48" s="70" t="str">
        <f aca="false">IF(OR(K17="",ЕТАЛОН_ПЛ="",IFERROR(INDEX(БАЗА_ЦІНИ,6,IFERROR(MATCH(ЕТАЛОН_ПЛ,ПЛ_РЯДОК,0),0)),"")=""),"",K17-IFERROR(INDEX(БАЗА_ЦІНИ,6,IFERROR(MATCH(ЕТАЛОН_ПЛ,ПЛ_РЯДОК,0),0)),""))</f>
        <v/>
      </c>
      <c r="L48" s="71" t="str">
        <f aca="false">IF(OR(K17="",ЕТАЛОН_ПЛ="",IFERROR(INDEX(БАЗА_ЦІНИ,6,IFERROR(MATCH(ЕТАЛОН_ПЛ,ПЛ_РЯДОК,0),0)),"")="",IFERROR(INDEX(БАЗА_ЦІНИ,6,IFERROR(MATCH(ЕТАЛОН_ПЛ,ПЛ_РЯДОК,0),0)),"")=0),"",K17/IFERROR(INDEX(БАЗА_ЦІНИ,6,IFERROR(MATCH(ЕТАЛОН_ПЛ,ПЛ_РЯДОК,0),0)),"")-1)</f>
        <v/>
      </c>
      <c r="M48" s="70" t="str">
        <f aca="false">IF(OR(M17="",ЕТАЛОН_ПЛ="",IFERROR(INDEX(БАЗА_ЦІНИ,6,IFERROR(MATCH(ЕТАЛОН_ПЛ,ПЛ_РЯДОК,0),0)),"")=""),"",M17-IFERROR(INDEX(БАЗА_ЦІНИ,6,IFERROR(MATCH(ЕТАЛОН_ПЛ,ПЛ_РЯДОК,0),0)),""))</f>
        <v/>
      </c>
      <c r="N48" s="71" t="str">
        <f aca="false">IF(OR(M17="",ЕТАЛОН_ПЛ="",IFERROR(INDEX(БАЗА_ЦІНИ,6,IFERROR(MATCH(ЕТАЛОН_ПЛ,ПЛ_РЯДОК,0),0)),"")="",IFERROR(INDEX(БАЗА_ЦІНИ,6,IFERROR(MATCH(ЕТАЛОН_ПЛ,ПЛ_РЯДОК,0),0)),"")=0),"",M17/IFERROR(INDEX(БАЗА_ЦІНИ,6,IFERROR(MATCH(ЕТАЛОН_ПЛ,ПЛ_РЯДОК,0),0)),"")-1)</f>
        <v/>
      </c>
      <c r="O48" s="70" t="str">
        <f aca="false">IF(OR(O17="",ЕТАЛОН_ПЛ="",IFERROR(INDEX(БАЗА_ЦІНИ,6,IFERROR(MATCH(ЕТАЛОН_ПЛ,ПЛ_РЯДОК,0),0)),"")=""),"",O17-IFERROR(INDEX(БАЗА_ЦІНИ,6,IFERROR(MATCH(ЕТАЛОН_ПЛ,ПЛ_РЯДОК,0),0)),""))</f>
        <v/>
      </c>
      <c r="P48" s="71" t="str">
        <f aca="false">IF(OR(O17="",ЕТАЛОН_ПЛ="",IFERROR(INDEX(БАЗА_ЦІНИ,6,IFERROR(MATCH(ЕТАЛОН_ПЛ,ПЛ_РЯДОК,0),0)),"")="",IFERROR(INDEX(БАЗА_ЦІНИ,6,IFERROR(MATCH(ЕТАЛОН_ПЛ,ПЛ_РЯДОК,0),0)),"")=0),"",O17/IFERROR(INDEX(БАЗА_ЦІНИ,6,IFERROR(MATCH(ЕТАЛОН_ПЛ,ПЛ_РЯДОК,0),0)),"")-1)</f>
        <v/>
      </c>
      <c r="Q48" s="70" t="str">
        <f aca="false">IF(OR(Q17="",ЕТАЛОН_ПЛ="",IFERROR(INDEX(БАЗА_ЦІНИ,6,IFERROR(MATCH(ЕТАЛОН_ПЛ,ПЛ_РЯДОК,0),0)),"")=""),"",Q17-IFERROR(INDEX(БАЗА_ЦІНИ,6,IFERROR(MATCH(ЕТАЛОН_ПЛ,ПЛ_РЯДОК,0),0)),""))</f>
        <v/>
      </c>
      <c r="R48" s="71" t="str">
        <f aca="false">IF(OR(Q17="",ЕТАЛОН_ПЛ="",IFERROR(INDEX(БАЗА_ЦІНИ,6,IFERROR(MATCH(ЕТАЛОН_ПЛ,ПЛ_РЯДОК,0),0)),"")="",IFERROR(INDEX(БАЗА_ЦІНИ,6,IFERROR(MATCH(ЕТАЛОН_ПЛ,ПЛ_РЯДОК,0),0)),"")=0),"",Q17/IFERROR(INDEX(БАЗА_ЦІНИ,6,IFERROR(MATCH(ЕТАЛОН_ПЛ,ПЛ_РЯДОК,0),0)),"")-1)</f>
        <v/>
      </c>
      <c r="S48" s="70" t="str">
        <f aca="false">IF(OR(S17="",ЕТАЛОН_ПЛ="",IFERROR(INDEX(БАЗА_ЦІНИ,6,IFERROR(MATCH(ЕТАЛОН_ПЛ,ПЛ_РЯДОК,0),0)),"")=""),"",S17-IFERROR(INDEX(БАЗА_ЦІНИ,6,IFERROR(MATCH(ЕТАЛОН_ПЛ,ПЛ_РЯДОК,0),0)),""))</f>
        <v/>
      </c>
      <c r="T48" s="71" t="str">
        <f aca="false">IF(OR(S17="",ЕТАЛОН_ПЛ="",IFERROR(INDEX(БАЗА_ЦІНИ,6,IFERROR(MATCH(ЕТАЛОН_ПЛ,ПЛ_РЯДОК,0),0)),"")="",IFERROR(INDEX(БАЗА_ЦІНИ,6,IFERROR(MATCH(ЕТАЛОН_ПЛ,ПЛ_РЯДОК,0),0)),"")=0),"",S17/IFERROR(INDEX(БАЗА_ЦІНИ,6,IFERROR(MATCH(ЕТАЛОН_ПЛ,ПЛ_РЯДОК,0),0)),"")-1)</f>
        <v/>
      </c>
      <c r="U48" s="70" t="str">
        <f aca="false">IF(OR(U17="",ЕТАЛОН_ПЛ="",IFERROR(INDEX(БАЗА_ЦІНИ,6,IFERROR(MATCH(ЕТАЛОН_ПЛ,ПЛ_РЯДОК,0),0)),"")=""),"",U17-IFERROR(INDEX(БАЗА_ЦІНИ,6,IFERROR(MATCH(ЕТАЛОН_ПЛ,ПЛ_РЯДОК,0),0)),""))</f>
        <v/>
      </c>
      <c r="V48" s="71" t="str">
        <f aca="false">IF(OR(U17="",ЕТАЛОН_ПЛ="",IFERROR(INDEX(БАЗА_ЦІНИ,6,IFERROR(MATCH(ЕТАЛОН_ПЛ,ПЛ_РЯДОК,0),0)),"")="",IFERROR(INDEX(БАЗА_ЦІНИ,6,IFERROR(MATCH(ЕТАЛОН_ПЛ,ПЛ_РЯДОК,0),0)),"")=0),"",U17/IFERROR(INDEX(БАЗА_ЦІНИ,6,IFERROR(MATCH(ЕТАЛОН_ПЛ,ПЛ_РЯДОК,0),0)),"")-1)</f>
        <v/>
      </c>
      <c r="W48" s="70" t="str">
        <f aca="false">IF(OR(W17="",ЕТАЛОН_ПЛ="",IFERROR(INDEX(БАЗА_ЦІНИ,6,IFERROR(MATCH(ЕТАЛОН_ПЛ,ПЛ_РЯДОК,0),0)),"")=""),"",W17-IFERROR(INDEX(БАЗА_ЦІНИ,6,IFERROR(MATCH(ЕТАЛОН_ПЛ,ПЛ_РЯДОК,0),0)),""))</f>
        <v/>
      </c>
      <c r="X48" s="71" t="str">
        <f aca="false">IF(OR(W17="",ЕТАЛОН_ПЛ="",IFERROR(INDEX(БАЗА_ЦІНИ,6,IFERROR(MATCH(ЕТАЛОН_ПЛ,ПЛ_РЯДОК,0),0)),"")="",IFERROR(INDEX(БАЗА_ЦІНИ,6,IFERROR(MATCH(ЕТАЛОН_ПЛ,ПЛ_РЯДОК,0),0)),"")=0),"",W17/IFERROR(INDEX(БАЗА_ЦІНИ,6,IFERROR(MATCH(ЕТАЛОН_ПЛ,ПЛ_РЯДОК,0),0)),"")-1)</f>
        <v/>
      </c>
      <c r="Y48" s="70" t="str">
        <f aca="false">IF(OR(Y17="",ЕТАЛОН_ПЛ="",IFERROR(INDEX(БАЗА_ЦІНИ,6,IFERROR(MATCH(ЕТАЛОН_ПЛ,ПЛ_РЯДОК,0),0)),"")=""),"",Y17-IFERROR(INDEX(БАЗА_ЦІНИ,6,IFERROR(MATCH(ЕТАЛОН_ПЛ,ПЛ_РЯДОК,0),0)),""))</f>
        <v/>
      </c>
      <c r="Z48" s="71" t="str">
        <f aca="false">IF(OR(Y17="",ЕТАЛОН_ПЛ="",IFERROR(INDEX(БАЗА_ЦІНИ,6,IFERROR(MATCH(ЕТАЛОН_ПЛ,ПЛ_РЯДОК,0),0)),"")="",IFERROR(INDEX(БАЗА_ЦІНИ,6,IFERROR(MATCH(ЕТАЛОН_ПЛ,ПЛ_РЯДОК,0),0)),"")=0),"",Y17/IFERROR(INDEX(БАЗА_ЦІНИ,6,IFERROR(MATCH(ЕТАЛОН_ПЛ,ПЛ_РЯДОК,0),0)),"")-1)</f>
        <v/>
      </c>
      <c r="AA48" s="70" t="str">
        <f aca="false">IF(OR(AA17="",ЕТАЛОН_ПЛ="",IFERROR(INDEX(БАЗА_ЦІНИ,6,IFERROR(MATCH(ЕТАЛОН_ПЛ,ПЛ_РЯДОК,0),0)),"")=""),"",AA17-IFERROR(INDEX(БАЗА_ЦІНИ,6,IFERROR(MATCH(ЕТАЛОН_ПЛ,ПЛ_РЯДОК,0),0)),""))</f>
        <v/>
      </c>
      <c r="AB48" s="71" t="str">
        <f aca="false">IF(OR(AA17="",ЕТАЛОН_ПЛ="",IFERROR(INDEX(БАЗА_ЦІНИ,6,IFERROR(MATCH(ЕТАЛОН_ПЛ,ПЛ_РЯДОК,0),0)),"")="",IFERROR(INDEX(БАЗА_ЦІНИ,6,IFERROR(MATCH(ЕТАЛОН_ПЛ,ПЛ_РЯДОК,0),0)),"")=0),"",AA17/IFERROR(INDEX(БАЗА_ЦІНИ,6,IFERROR(MATCH(ЕТАЛОН_ПЛ,ПЛ_РЯДОК,0),0)),"")-1)</f>
        <v/>
      </c>
      <c r="AC48" s="70" t="str">
        <f aca="false">IF(OR(AC17="",ЕТАЛОН_ПЛ="",IFERROR(INDEX(БАЗА_ЦІНИ,6,IFERROR(MATCH(ЕТАЛОН_ПЛ,ПЛ_РЯДОК,0),0)),"")=""),"",AC17-IFERROR(INDEX(БАЗА_ЦІНИ,6,IFERROR(MATCH(ЕТАЛОН_ПЛ,ПЛ_РЯДОК,0),0)),""))</f>
        <v/>
      </c>
      <c r="AD48" s="71" t="str">
        <f aca="false">IF(OR(AC17="",ЕТАЛОН_ПЛ="",IFERROR(INDEX(БАЗА_ЦІНИ,6,IFERROR(MATCH(ЕТАЛОН_ПЛ,ПЛ_РЯДОК,0),0)),"")="",IFERROR(INDEX(БАЗА_ЦІНИ,6,IFERROR(MATCH(ЕТАЛОН_ПЛ,ПЛ_РЯДОК,0),0)),"")=0),"",AC17/IFERROR(INDEX(БАЗА_ЦІНИ,6,IFERROR(MATCH(ЕТАЛОН_ПЛ,ПЛ_РЯДОК,0),0)),"")-1)</f>
        <v/>
      </c>
      <c r="AE48" s="70" t="str">
        <f aca="false">IF(OR(AE17="",ЕТАЛОН_ПЛ="",IFERROR(INDEX(БАЗА_ЦІНИ,6,IFERROR(MATCH(ЕТАЛОН_ПЛ,ПЛ_РЯДОК,0),0)),"")=""),"",AE17-IFERROR(INDEX(БАЗА_ЦІНИ,6,IFERROR(MATCH(ЕТАЛОН_ПЛ,ПЛ_РЯДОК,0),0)),""))</f>
        <v/>
      </c>
      <c r="AF48" s="71" t="str">
        <f aca="false">IF(OR(AE17="",ЕТАЛОН_ПЛ="",IFERROR(INDEX(БАЗА_ЦІНИ,6,IFERROR(MATCH(ЕТАЛОН_ПЛ,ПЛ_РЯДОК,0),0)),"")="",IFERROR(INDEX(БАЗА_ЦІНИ,6,IFERROR(MATCH(ЕТАЛОН_ПЛ,ПЛ_РЯДОК,0),0)),"")=0),"",AE17/IFERROR(INDEX(БАЗА_ЦІНИ,6,IFERROR(MATCH(ЕТАЛОН_ПЛ,ПЛ_РЯДОК,0),0)),"")-1)</f>
        <v/>
      </c>
      <c r="AG48" s="70" t="str">
        <f aca="false">IF(OR(AG17="",ЕТАЛОН_ПЛ="",IFERROR(INDEX(БАЗА_ЦІНИ,6,IFERROR(MATCH(ЕТАЛОН_ПЛ,ПЛ_РЯДОК,0),0)),"")=""),"",AG17-IFERROR(INDEX(БАЗА_ЦІНИ,6,IFERROR(MATCH(ЕТАЛОН_ПЛ,ПЛ_РЯДОК,0),0)),""))</f>
        <v/>
      </c>
      <c r="AH48" s="71" t="str">
        <f aca="false">IF(OR(AG17="",ЕТАЛОН_ПЛ="",IFERROR(INDEX(БАЗА_ЦІНИ,6,IFERROR(MATCH(ЕТАЛОН_ПЛ,ПЛ_РЯДОК,0),0)),"")="",IFERROR(INDEX(БАЗА_ЦІНИ,6,IFERROR(MATCH(ЕТАЛОН_ПЛ,ПЛ_РЯДОК,0),0)),"")=0),"",AG17/IFERROR(INDEX(БАЗА_ЦІНИ,6,IFERROR(MATCH(ЕТАЛОН_ПЛ,ПЛ_РЯДОК,0),0)),"")-1)</f>
        <v/>
      </c>
      <c r="AI48" s="70" t="str">
        <f aca="false">IF(OR(AI17="",ЕТАЛОН_ПЛ="",IFERROR(INDEX(БАЗА_ЦІНИ,6,IFERROR(MATCH(ЕТАЛОН_ПЛ,ПЛ_РЯДОК,0),0)),"")=""),"",AI17-IFERROR(INDEX(БАЗА_ЦІНИ,6,IFERROR(MATCH(ЕТАЛОН_ПЛ,ПЛ_РЯДОК,0),0)),""))</f>
        <v/>
      </c>
      <c r="AJ48" s="71" t="str">
        <f aca="false">IF(OR(AI17="",ЕТАЛОН_ПЛ="",IFERROR(INDEX(БАЗА_ЦІНИ,6,IFERROR(MATCH(ЕТАЛОН_ПЛ,ПЛ_РЯДОК,0),0)),"")="",IFERROR(INDEX(БАЗА_ЦІНИ,6,IFERROR(MATCH(ЕТАЛОН_ПЛ,ПЛ_РЯДОК,0),0)),"")=0),"",AI17/IFERROR(INDEX(БАЗА_ЦІНИ,6,IFERROR(MATCH(ЕТАЛОН_ПЛ,ПЛ_РЯДОК,0),0)),"")-1)</f>
        <v/>
      </c>
      <c r="AK48" s="70" t="str">
        <f aca="false">IF(OR(AK17="",ЕТАЛОН_ПЛ="",IFERROR(INDEX(БАЗА_ЦІНИ,6,IFERROR(MATCH(ЕТАЛОН_ПЛ,ПЛ_РЯДОК,0),0)),"")=""),"",AK17-IFERROR(INDEX(БАЗА_ЦІНИ,6,IFERROR(MATCH(ЕТАЛОН_ПЛ,ПЛ_РЯДОК,0),0)),""))</f>
        <v/>
      </c>
      <c r="AL48" s="71" t="str">
        <f aca="false">IF(OR(AK17="",ЕТАЛОН_ПЛ="",IFERROR(INDEX(БАЗА_ЦІНИ,6,IFERROR(MATCH(ЕТАЛОН_ПЛ,ПЛ_РЯДОК,0),0)),"")="",IFERROR(INDEX(БАЗА_ЦІНИ,6,IFERROR(MATCH(ЕТАЛОН_ПЛ,ПЛ_РЯДОК,0),0)),"")=0),"",AK17/IFERROR(INDEX(БАЗА_ЦІНИ,6,IFERROR(MATCH(ЕТАЛОН_ПЛ,ПЛ_РЯДОК,0),0)),"")-1)</f>
        <v/>
      </c>
      <c r="AM48" s="70" t="str">
        <f aca="false">IF(OR(AM17="",ЕТАЛОН_ПЛ="",IFERROR(INDEX(БАЗА_ЦІНИ,6,IFERROR(MATCH(ЕТАЛОН_ПЛ,ПЛ_РЯДОК,0),0)),"")=""),"",AM17-IFERROR(INDEX(БАЗА_ЦІНИ,6,IFERROR(MATCH(ЕТАЛОН_ПЛ,ПЛ_РЯДОК,0),0)),""))</f>
        <v/>
      </c>
      <c r="AN48" s="71" t="str">
        <f aca="false">IF(OR(AM17="",ЕТАЛОН_ПЛ="",IFERROR(INDEX(БАЗА_ЦІНИ,6,IFERROR(MATCH(ЕТАЛОН_ПЛ,ПЛ_РЯДОК,0),0)),"")="",IFERROR(INDEX(БАЗА_ЦІНИ,6,IFERROR(MATCH(ЕТАЛОН_ПЛ,ПЛ_РЯДОК,0),0)),"")=0),"",AM17/IFERROR(INDEX(БАЗА_ЦІНИ,6,IFERROR(MATCH(ЕТАЛОН_ПЛ,ПЛ_РЯДОК,0),0)),"")-1)</f>
        <v/>
      </c>
      <c r="AO48" s="70" t="str">
        <f aca="false">IF(OR(AO17="",ЕТАЛОН_ПЛ="",IFERROR(INDEX(БАЗА_ЦІНИ,6,IFERROR(MATCH(ЕТАЛОН_ПЛ,ПЛ_РЯДОК,0),0)),"")=""),"",AO17-IFERROR(INDEX(БАЗА_ЦІНИ,6,IFERROR(MATCH(ЕТАЛОН_ПЛ,ПЛ_РЯДОК,0),0)),""))</f>
        <v/>
      </c>
      <c r="AP48" s="71" t="str">
        <f aca="false">IF(OR(AO17="",ЕТАЛОН_ПЛ="",IFERROR(INDEX(БАЗА_ЦІНИ,6,IFERROR(MATCH(ЕТАЛОН_ПЛ,ПЛ_РЯДОК,0),0)),"")="",IFERROR(INDEX(БАЗА_ЦІНИ,6,IFERROR(MATCH(ЕТАЛОН_ПЛ,ПЛ_РЯДОК,0),0)),"")=0),"",AO17/IFERROR(INDEX(БАЗА_ЦІНИ,6,IFERROR(MATCH(ЕТАЛОН_ПЛ,ПЛ_РЯДОК,0),0)),"")-1)</f>
        <v/>
      </c>
      <c r="AQ48" s="70" t="str">
        <f aca="false">IF(OR(AQ17="",ЕТАЛОН_ПЛ="",IFERROR(INDEX(БАЗА_ЦІНИ,6,IFERROR(MATCH(ЕТАЛОН_ПЛ,ПЛ_РЯДОК,0),0)),"")=""),"",AQ17-IFERROR(INDEX(БАЗА_ЦІНИ,6,IFERROR(MATCH(ЕТАЛОН_ПЛ,ПЛ_РЯДОК,0),0)),""))</f>
        <v/>
      </c>
      <c r="AR48" s="71" t="str">
        <f aca="false">IF(OR(AQ17="",ЕТАЛОН_ПЛ="",IFERROR(INDEX(БАЗА_ЦІНИ,6,IFERROR(MATCH(ЕТАЛОН_ПЛ,ПЛ_РЯДОК,0),0)),"")="",IFERROR(INDEX(БАЗА_ЦІНИ,6,IFERROR(MATCH(ЕТАЛОН_ПЛ,ПЛ_РЯДОК,0),0)),"")=0),"",AQ17/IFERROR(INDEX(БАЗА_ЦІНИ,6,IFERROR(MATCH(ЕТАЛОН_ПЛ,ПЛ_РЯДОК,0),0)),"")-1)</f>
        <v/>
      </c>
      <c r="AS48" s="70" t="str">
        <f aca="false">IF(OR(AS17="",ЕТАЛОН_ПЛ="",IFERROR(INDEX(БАЗА_ЦІНИ,6,IFERROR(MATCH(ЕТАЛОН_ПЛ,ПЛ_РЯДОК,0),0)),"")=""),"",AS17-IFERROR(INDEX(БАЗА_ЦІНИ,6,IFERROR(MATCH(ЕТАЛОН_ПЛ,ПЛ_РЯДОК,0),0)),""))</f>
        <v/>
      </c>
      <c r="AT48" s="71" t="str">
        <f aca="false">IF(OR(AS17="",ЕТАЛОН_ПЛ="",IFERROR(INDEX(БАЗА_ЦІНИ,6,IFERROR(MATCH(ЕТАЛОН_ПЛ,ПЛ_РЯДОК,0),0)),"")="",IFERROR(INDEX(БАЗА_ЦІНИ,6,IFERROR(MATCH(ЕТАЛОН_ПЛ,ПЛ_РЯДОК,0),0)),"")=0),"",AS17/IFERROR(INDEX(БАЗА_ЦІНИ,6,IFERROR(MATCH(ЕТАЛОН_ПЛ,ПЛ_РЯДОК,0),0)),"")-1)</f>
        <v/>
      </c>
      <c r="AU48" s="70" t="str">
        <f aca="false">IF(OR(AU17="",ЕТАЛОН_ПЛ="",IFERROR(INDEX(БАЗА_ЦІНИ,6,IFERROR(MATCH(ЕТАЛОН_ПЛ,ПЛ_РЯДОК,0),0)),"")=""),"",AU17-IFERROR(INDEX(БАЗА_ЦІНИ,6,IFERROR(MATCH(ЕТАЛОН_ПЛ,ПЛ_РЯДОК,0),0)),""))</f>
        <v/>
      </c>
      <c r="AV48" s="71" t="str">
        <f aca="false">IF(OR(AU17="",ЕТАЛОН_ПЛ="",IFERROR(INDEX(БАЗА_ЦІНИ,6,IFERROR(MATCH(ЕТАЛОН_ПЛ,ПЛ_РЯДОК,0),0)),"")="",IFERROR(INDEX(БАЗА_ЦІНИ,6,IFERROR(MATCH(ЕТАЛОН_ПЛ,ПЛ_РЯДОК,0),0)),"")=0),"",AU17/IFERROR(INDEX(БАЗА_ЦІНИ,6,IFERROR(MATCH(ЕТАЛОН_ПЛ,ПЛ_РЯДОК,0),0)),"")-1)</f>
        <v/>
      </c>
      <c r="AW48" s="70" t="str">
        <f aca="false">IF(OR(AW17="",ЕТАЛОН_ПЛ="",IFERROR(INDEX(БАЗА_ЦІНИ,6,IFERROR(MATCH(ЕТАЛОН_ПЛ,ПЛ_РЯДОК,0),0)),"")=""),"",AW17-IFERROR(INDEX(БАЗА_ЦІНИ,6,IFERROR(MATCH(ЕТАЛОН_ПЛ,ПЛ_РЯДОК,0),0)),""))</f>
        <v/>
      </c>
      <c r="AX48" s="71" t="str">
        <f aca="false">IF(OR(AW17="",ЕТАЛОН_ПЛ="",IFERROR(INDEX(БАЗА_ЦІНИ,6,IFERROR(MATCH(ЕТАЛОН_ПЛ,ПЛ_РЯДОК,0),0)),"")="",IFERROR(INDEX(БАЗА_ЦІНИ,6,IFERROR(MATCH(ЕТАЛОН_ПЛ,ПЛ_РЯДОК,0),0)),"")=0),"",AW17/IFERROR(INDEX(БАЗА_ЦІНИ,6,IFERROR(MATCH(ЕТАЛОН_ПЛ,ПЛ_РЯДОК,0),0)),"")-1)</f>
        <v/>
      </c>
      <c r="AY48" s="70" t="str">
        <f aca="false">IF(OR(AY17="",ЕТАЛОН_ПЛ="",IFERROR(INDEX(БАЗА_ЦІНИ,6,IFERROR(MATCH(ЕТАЛОН_ПЛ,ПЛ_РЯДОК,0),0)),"")=""),"",AY17-IFERROR(INDEX(БАЗА_ЦІНИ,6,IFERROR(MATCH(ЕТАЛОН_ПЛ,ПЛ_РЯДОК,0),0)),""))</f>
        <v/>
      </c>
      <c r="AZ48" s="71" t="str">
        <f aca="false">IF(OR(AY17="",ЕТАЛОН_ПЛ="",IFERROR(INDEX(БАЗА_ЦІНИ,6,IFERROR(MATCH(ЕТАЛОН_ПЛ,ПЛ_РЯДОК,0),0)),"")="",IFERROR(INDEX(БАЗА_ЦІНИ,6,IFERROR(MATCH(ЕТАЛОН_ПЛ,ПЛ_РЯДОК,0),0)),"")=0),"",AY17/IFERROR(INDEX(БАЗА_ЦІНИ,6,IFERROR(MATCH(ЕТАЛОН_ПЛ,ПЛ_РЯДОК,0),0)),"")-1)</f>
        <v/>
      </c>
      <c r="BA48" s="70" t="str">
        <f aca="false">IF(OR(BA17="",ЕТАЛОН_ПЛ="",IFERROR(INDEX(БАЗА_ЦІНИ,6,IFERROR(MATCH(ЕТАЛОН_ПЛ,ПЛ_РЯДОК,0),0)),"")=""),"",BA17-IFERROR(INDEX(БАЗА_ЦІНИ,6,IFERROR(MATCH(ЕТАЛОН_ПЛ,ПЛ_РЯДОК,0),0)),""))</f>
        <v/>
      </c>
      <c r="BB48" s="71" t="str">
        <f aca="false">IF(OR(BA17="",ЕТАЛОН_ПЛ="",IFERROR(INDEX(БАЗА_ЦІНИ,6,IFERROR(MATCH(ЕТАЛОН_ПЛ,ПЛ_РЯДОК,0),0)),"")="",IFERROR(INDEX(БАЗА_ЦІНИ,6,IFERROR(MATCH(ЕТАЛОН_ПЛ,ПЛ_РЯДОК,0),0)),"")=0),"",BA17/IFERROR(INDEX(БАЗА_ЦІНИ,6,IFERROR(MATCH(ЕТАЛОН_ПЛ,ПЛ_РЯДОК,0),0)),"")-1)</f>
        <v/>
      </c>
      <c r="BC48" s="70" t="str">
        <f aca="false">IF(OR(BC17="",ЕТАЛОН_ПЛ="",IFERROR(INDEX(БАЗА_ЦІНИ,6,IFERROR(MATCH(ЕТАЛОН_ПЛ,ПЛ_РЯДОК,0),0)),"")=""),"",BC17-IFERROR(INDEX(БАЗА_ЦІНИ,6,IFERROR(MATCH(ЕТАЛОН_ПЛ,ПЛ_РЯДОК,0),0)),""))</f>
        <v/>
      </c>
      <c r="BD48" s="71" t="str">
        <f aca="false">IF(OR(BC17="",ЕТАЛОН_ПЛ="",IFERROR(INDEX(БАЗА_ЦІНИ,6,IFERROR(MATCH(ЕТАЛОН_ПЛ,ПЛ_РЯДОК,0),0)),"")="",IFERROR(INDEX(БАЗА_ЦІНИ,6,IFERROR(MATCH(ЕТАЛОН_ПЛ,ПЛ_РЯДОК,0),0)),"")=0),"",BC17/IFERROR(INDEX(БАЗА_ЦІНИ,6,IFERROR(MATCH(ЕТАЛОН_ПЛ,ПЛ_РЯДОК,0),0)),"")-1)</f>
        <v/>
      </c>
      <c r="BE48" s="70" t="str">
        <f aca="false">IF(OR(BE17="",ЕТАЛОН_ПЛ="",IFERROR(INDEX(БАЗА_ЦІНИ,6,IFERROR(MATCH(ЕТАЛОН_ПЛ,ПЛ_РЯДОК,0),0)),"")=""),"",BE17-IFERROR(INDEX(БАЗА_ЦІНИ,6,IFERROR(MATCH(ЕТАЛОН_ПЛ,ПЛ_РЯДОК,0),0)),""))</f>
        <v/>
      </c>
      <c r="BF48" s="71" t="str">
        <f aca="false">IF(OR(BE17="",ЕТАЛОН_ПЛ="",IFERROR(INDEX(БАЗА_ЦІНИ,6,IFERROR(MATCH(ЕТАЛОН_ПЛ,ПЛ_РЯДОК,0),0)),"")="",IFERROR(INDEX(БАЗА_ЦІНИ,6,IFERROR(MATCH(ЕТАЛОН_ПЛ,ПЛ_РЯДОК,0),0)),"")=0),"",BE17/IFERROR(INDEX(БАЗА_ЦІНИ,6,IFERROR(MATCH(ЕТАЛОН_ПЛ,ПЛ_РЯДОК,0),0)),"")-1)</f>
        <v/>
      </c>
      <c r="BG48" s="70" t="str">
        <f aca="false">IF(OR(BG17="",ЕТАЛОН_ПЛ="",IFERROR(INDEX(БАЗА_ЦІНИ,6,IFERROR(MATCH(ЕТАЛОН_ПЛ,ПЛ_РЯДОК,0),0)),"")=""),"",BG17-IFERROR(INDEX(БАЗА_ЦІНИ,6,IFERROR(MATCH(ЕТАЛОН_ПЛ,ПЛ_РЯДОК,0),0)),""))</f>
        <v/>
      </c>
      <c r="BH48" s="71" t="str">
        <f aca="false">IF(OR(BG17="",ЕТАЛОН_ПЛ="",IFERROR(INDEX(БАЗА_ЦІНИ,6,IFERROR(MATCH(ЕТАЛОН_ПЛ,ПЛ_РЯДОК,0),0)),"")="",IFERROR(INDEX(БАЗА_ЦІНИ,6,IFERROR(MATCH(ЕТАЛОН_ПЛ,ПЛ_РЯДОК,0),0)),"")=0),"",BG17/IFERROR(INDEX(БАЗА_ЦІНИ,6,IFERROR(MATCH(ЕТАЛОН_ПЛ,ПЛ_РЯДОК,0),0)),"")-1)</f>
        <v/>
      </c>
      <c r="BI48" s="70" t="str">
        <f aca="false">IF(OR(BI17="",ЕТАЛОН_ПЛ="",IFERROR(INDEX(БАЗА_ЦІНИ,6,IFERROR(MATCH(ЕТАЛОН_ПЛ,ПЛ_РЯДОК,0),0)),"")=""),"",BI17-IFERROR(INDEX(БАЗА_ЦІНИ,6,IFERROR(MATCH(ЕТАЛОН_ПЛ,ПЛ_РЯДОК,0),0)),""))</f>
        <v/>
      </c>
      <c r="BJ48" s="71" t="str">
        <f aca="false">IF(OR(BI17="",ЕТАЛОН_ПЛ="",IFERROR(INDEX(БАЗА_ЦІНИ,6,IFERROR(MATCH(ЕТАЛОН_ПЛ,ПЛ_РЯДОК,0),0)),"")="",IFERROR(INDEX(БАЗА_ЦІНИ,6,IFERROR(MATCH(ЕТАЛОН_ПЛ,ПЛ_РЯДОК,0),0)),"")=0),"",BI17/IFERROR(INDEX(БАЗА_ЦІНИ,6,IFERROR(MATCH(ЕТАЛОН_ПЛ,ПЛ_РЯДОК,0),0)),"")-1)</f>
        <v/>
      </c>
      <c r="BK48" s="70" t="str">
        <f aca="false">IF(OR(BK17="",ЕТАЛОН_ПЛ="",IFERROR(INDEX(БАЗА_ЦІНИ,6,IFERROR(MATCH(ЕТАЛОН_ПЛ,ПЛ_РЯДОК,0),0)),"")=""),"",BK17-IFERROR(INDEX(БАЗА_ЦІНИ,6,IFERROR(MATCH(ЕТАЛОН_ПЛ,ПЛ_РЯДОК,0),0)),""))</f>
        <v/>
      </c>
      <c r="BL48" s="71" t="str">
        <f aca="false">IF(OR(BK17="",ЕТАЛОН_ПЛ="",IFERROR(INDEX(БАЗА_ЦІНИ,6,IFERROR(MATCH(ЕТАЛОН_ПЛ,ПЛ_РЯДОК,0),0)),"")="",IFERROR(INDEX(БАЗА_ЦІНИ,6,IFERROR(MATCH(ЕТАЛОН_ПЛ,ПЛ_РЯДОК,0),0)),"")=0),"",BK17/IFERROR(INDEX(БАЗА_ЦІНИ,6,IFERROR(MATCH(ЕТАЛОН_ПЛ,ПЛ_РЯДОК,0),0)),"")-1)</f>
        <v/>
      </c>
      <c r="BM48" s="70" t="str">
        <f aca="false">IF(OR(BM17="",ЕТАЛОН_ПЛ="",IFERROR(INDEX(БАЗА_ЦІНИ,6,IFERROR(MATCH(ЕТАЛОН_ПЛ,ПЛ_РЯДОК,0),0)),"")=""),"",BM17-IFERROR(INDEX(БАЗА_ЦІНИ,6,IFERROR(MATCH(ЕТАЛОН_ПЛ,ПЛ_РЯДОК,0),0)),""))</f>
        <v/>
      </c>
      <c r="BN48" s="71" t="str">
        <f aca="false">IF(OR(BM17="",ЕТАЛОН_ПЛ="",IFERROR(INDEX(БАЗА_ЦІНИ,6,IFERROR(MATCH(ЕТАЛОН_ПЛ,ПЛ_РЯДОК,0),0)),"")="",IFERROR(INDEX(БАЗА_ЦІНИ,6,IFERROR(MATCH(ЕТАЛОН_ПЛ,ПЛ_РЯДОК,0),0)),"")=0),"",BM17/IFERROR(INDEX(БАЗА_ЦІНИ,6,IFERROR(MATCH(ЕТАЛОН_ПЛ,ПЛ_РЯДОК,0),0)),"")-1)</f>
        <v/>
      </c>
      <c r="BO48" s="70" t="str">
        <f aca="false">IF(OR(BO17="",ЕТАЛОН_ПЛ="",IFERROR(INDEX(БАЗА_ЦІНИ,6,IFERROR(MATCH(ЕТАЛОН_ПЛ,ПЛ_РЯДОК,0),0)),"")=""),"",BO17-IFERROR(INDEX(БАЗА_ЦІНИ,6,IFERROR(MATCH(ЕТАЛОН_ПЛ,ПЛ_РЯДОК,0),0)),""))</f>
        <v/>
      </c>
      <c r="BP48" s="71" t="str">
        <f aca="false">IF(OR(BO17="",ЕТАЛОН_ПЛ="",IFERROR(INDEX(БАЗА_ЦІНИ,6,IFERROR(MATCH(ЕТАЛОН_ПЛ,ПЛ_РЯДОК,0),0)),"")="",IFERROR(INDEX(БАЗА_ЦІНИ,6,IFERROR(MATCH(ЕТАЛОН_ПЛ,ПЛ_РЯДОК,0),0)),"")=0),"",BO17/IFERROR(INDEX(БАЗА_ЦІНИ,6,IFERROR(MATCH(ЕТАЛОН_ПЛ,ПЛ_РЯДОК,0),0)),"")-1)</f>
        <v/>
      </c>
      <c r="BQ48" s="70" t="str">
        <f aca="false">IF(OR(BQ17="",ЕТАЛОН_ПЛ="",IFERROR(INDEX(БАЗА_ЦІНИ,6,IFERROR(MATCH(ЕТАЛОН_ПЛ,ПЛ_РЯДОК,0),0)),"")=""),"",BQ17-IFERROR(INDEX(БАЗА_ЦІНИ,6,IFERROR(MATCH(ЕТАЛОН_ПЛ,ПЛ_РЯДОК,0),0)),""))</f>
        <v/>
      </c>
      <c r="BR48" s="71" t="str">
        <f aca="false">IF(OR(BQ17="",ЕТАЛОН_ПЛ="",IFERROR(INDEX(БАЗА_ЦІНИ,6,IFERROR(MATCH(ЕТАЛОН_ПЛ,ПЛ_РЯДОК,0),0)),"")="",IFERROR(INDEX(БАЗА_ЦІНИ,6,IFERROR(MATCH(ЕТАЛОН_ПЛ,ПЛ_РЯДОК,0),0)),"")=0),"",BQ17/IFERROR(INDEX(БАЗА_ЦІНИ,6,IFERROR(MATCH(ЕТАЛОН_ПЛ,ПЛ_РЯДОК,0),0)),"")-1)</f>
        <v/>
      </c>
      <c r="BS48" s="70" t="str">
        <f aca="false">IF(OR(BS17="",ЕТАЛОН_ПЛ="",IFERROR(INDEX(БАЗА_ЦІНИ,6,IFERROR(MATCH(ЕТАЛОН_ПЛ,ПЛ_РЯДОК,0),0)),"")=""),"",BS17-IFERROR(INDEX(БАЗА_ЦІНИ,6,IFERROR(MATCH(ЕТАЛОН_ПЛ,ПЛ_РЯДОК,0),0)),""))</f>
        <v/>
      </c>
      <c r="BT48" s="71" t="str">
        <f aca="false">IF(OR(BS17="",ЕТАЛОН_ПЛ="",IFERROR(INDEX(БАЗА_ЦІНИ,6,IFERROR(MATCH(ЕТАЛОН_ПЛ,ПЛ_РЯДОК,0),0)),"")="",IFERROR(INDEX(БАЗА_ЦІНИ,6,IFERROR(MATCH(ЕТАЛОН_ПЛ,ПЛ_РЯДОК,0),0)),"")=0),"",BS17/IFERROR(INDEX(БАЗА_ЦІНИ,6,IFERROR(MATCH(ЕТАЛОН_ПЛ,ПЛ_РЯДОК,0),0)),"")-1)</f>
        <v/>
      </c>
      <c r="BU48" s="70" t="str">
        <f aca="false">IF(OR(BU17="",ЕТАЛОН_ПЛ="",IFERROR(INDEX(БАЗА_ЦІНИ,6,IFERROR(MATCH(ЕТАЛОН_ПЛ,ПЛ_РЯДОК,0),0)),"")=""),"",BU17-IFERROR(INDEX(БАЗА_ЦІНИ,6,IFERROR(MATCH(ЕТАЛОН_ПЛ,ПЛ_РЯДОК,0),0)),""))</f>
        <v/>
      </c>
      <c r="BV48" s="71" t="str">
        <f aca="false">IF(OR(BU17="",ЕТАЛОН_ПЛ="",IFERROR(INDEX(БАЗА_ЦІНИ,6,IFERROR(MATCH(ЕТАЛОН_ПЛ,ПЛ_РЯДОК,0),0)),"")="",IFERROR(INDEX(БАЗА_ЦІНИ,6,IFERROR(MATCH(ЕТАЛОН_ПЛ,ПЛ_РЯДОК,0),0)),"")=0),"",BU17/IFERROR(INDEX(БАЗА_ЦІНИ,6,IFERROR(MATCH(ЕТАЛОН_ПЛ,ПЛ_РЯДОК,0),0)),"")-1)</f>
        <v/>
      </c>
      <c r="BW48" s="70" t="str">
        <f aca="false">IF(OR(BW17="",ЕТАЛОН_ПЛ="",IFERROR(INDEX(БАЗА_ЦІНИ,6,IFERROR(MATCH(ЕТАЛОН_ПЛ,ПЛ_РЯДОК,0),0)),"")=""),"",BW17-IFERROR(INDEX(БАЗА_ЦІНИ,6,IFERROR(MATCH(ЕТАЛОН_ПЛ,ПЛ_РЯДОК,0),0)),""))</f>
        <v/>
      </c>
      <c r="BX48" s="71" t="str">
        <f aca="false">IF(OR(BW17="",ЕТАЛОН_ПЛ="",IFERROR(INDEX(БАЗА_ЦІНИ,6,IFERROR(MATCH(ЕТАЛОН_ПЛ,ПЛ_РЯДОК,0),0)),"")="",IFERROR(INDEX(БАЗА_ЦІНИ,6,IFERROR(MATCH(ЕТАЛОН_ПЛ,ПЛ_РЯДОК,0),0)),"")=0),"",BW17/IFERROR(INDEX(БАЗА_ЦІНИ,6,IFERROR(MATCH(ЕТАЛОН_ПЛ,ПЛ_РЯДОК,0),0)),"")-1)</f>
        <v/>
      </c>
      <c r="BY48" s="70" t="str">
        <f aca="false">IF(OR(BY17="",ЕТАЛОН_ПЛ="",IFERROR(INDEX(БАЗА_ЦІНИ,6,IFERROR(MATCH(ЕТАЛОН_ПЛ,ПЛ_РЯДОК,0),0)),"")=""),"",BY17-IFERROR(INDEX(БАЗА_ЦІНИ,6,IFERROR(MATCH(ЕТАЛОН_ПЛ,ПЛ_РЯДОК,0),0)),""))</f>
        <v/>
      </c>
      <c r="BZ48" s="71" t="str">
        <f aca="false">IF(OR(BY17="",ЕТАЛОН_ПЛ="",IFERROR(INDEX(БАЗА_ЦІНИ,6,IFERROR(MATCH(ЕТАЛОН_ПЛ,ПЛ_РЯДОК,0),0)),"")="",IFERROR(INDEX(БАЗА_ЦІНИ,6,IFERROR(MATCH(ЕТАЛОН_ПЛ,ПЛ_РЯДОК,0),0)),"")=0),"",BY17/IFERROR(INDEX(БАЗА_ЦІНИ,6,IFERROR(MATCH(ЕТАЛОН_ПЛ,ПЛ_РЯДОК,0),0)),"")-1)</f>
        <v/>
      </c>
      <c r="CA48" s="70" t="str">
        <f aca="false">IF(OR(CA17="",ЕТАЛОН_ПЛ="",IFERROR(INDEX(БАЗА_ЦІНИ,6,IFERROR(MATCH(ЕТАЛОН_ПЛ,ПЛ_РЯДОК,0),0)),"")=""),"",CA17-IFERROR(INDEX(БАЗА_ЦІНИ,6,IFERROR(MATCH(ЕТАЛОН_ПЛ,ПЛ_РЯДОК,0),0)),""))</f>
        <v/>
      </c>
      <c r="CB48" s="71" t="str">
        <f aca="false">IF(OR(CA17="",ЕТАЛОН_ПЛ="",IFERROR(INDEX(БАЗА_ЦІНИ,6,IFERROR(MATCH(ЕТАЛОН_ПЛ,ПЛ_РЯДОК,0),0)),"")="",IFERROR(INDEX(БАЗА_ЦІНИ,6,IFERROR(MATCH(ЕТАЛОН_ПЛ,ПЛ_РЯДОК,0),0)),"")=0),"",CA17/IFERROR(INDEX(БАЗА_ЦІНИ,6,IFERROR(MATCH(ЕТАЛОН_ПЛ,ПЛ_РЯДОК,0),0)),"")-1)</f>
        <v/>
      </c>
      <c r="CC48" s="70" t="str">
        <f aca="false">IF(OR(CC17="",ЕТАЛОН_ПЛ="",IFERROR(INDEX(БАЗА_ЦІНИ,6,IFERROR(MATCH(ЕТАЛОН_ПЛ,ПЛ_РЯДОК,0),0)),"")=""),"",CC17-IFERROR(INDEX(БАЗА_ЦІНИ,6,IFERROR(MATCH(ЕТАЛОН_ПЛ,ПЛ_РЯДОК,0),0)),""))</f>
        <v/>
      </c>
      <c r="CD48" s="71" t="str">
        <f aca="false">IF(OR(CC17="",ЕТАЛОН_ПЛ="",IFERROR(INDEX(БАЗА_ЦІНИ,6,IFERROR(MATCH(ЕТАЛОН_ПЛ,ПЛ_РЯДОК,0),0)),"")="",IFERROR(INDEX(БАЗА_ЦІНИ,6,IFERROR(MATCH(ЕТАЛОН_ПЛ,ПЛ_РЯДОК,0),0)),"")=0),"",CC17/IFERROR(INDEX(БАЗА_ЦІНИ,6,IFERROR(MATCH(ЕТАЛОН_ПЛ,ПЛ_РЯДОК,0),0)),"")-1)</f>
        <v/>
      </c>
      <c r="CE48" s="70" t="str">
        <f aca="false">IF(OR(CE17="",ЕТАЛОН_ПЛ="",IFERROR(INDEX(БАЗА_ЦІНИ,6,IFERROR(MATCH(ЕТАЛОН_ПЛ,ПЛ_РЯДОК,0),0)),"")=""),"",CE17-IFERROR(INDEX(БАЗА_ЦІНИ,6,IFERROR(MATCH(ЕТАЛОН_ПЛ,ПЛ_РЯДОК,0),0)),""))</f>
        <v/>
      </c>
      <c r="CF48" s="71" t="str">
        <f aca="false">IF(OR(CE17="",ЕТАЛОН_ПЛ="",IFERROR(INDEX(БАЗА_ЦІНИ,6,IFERROR(MATCH(ЕТАЛОН_ПЛ,ПЛ_РЯДОК,0),0)),"")="",IFERROR(INDEX(БАЗА_ЦІНИ,6,IFERROR(MATCH(ЕТАЛОН_ПЛ,ПЛ_РЯДОК,0),0)),"")=0),"",CE17/IFERROR(INDEX(БАЗА_ЦІНИ,6,IFERROR(MATCH(ЕТАЛОН_ПЛ,ПЛ_РЯДОК,0),0)),"")-1)</f>
        <v/>
      </c>
      <c r="CG48" s="70" t="str">
        <f aca="false">IF(OR(CG17="",ЕТАЛОН_ПЛ="",IFERROR(INDEX(БАЗА_ЦІНИ,6,IFERROR(MATCH(ЕТАЛОН_ПЛ,ПЛ_РЯДОК,0),0)),"")=""),"",CG17-IFERROR(INDEX(БАЗА_ЦІНИ,6,IFERROR(MATCH(ЕТАЛОН_ПЛ,ПЛ_РЯДОК,0),0)),""))</f>
        <v/>
      </c>
      <c r="CH48" s="71" t="str">
        <f aca="false">IF(OR(CG17="",ЕТАЛОН_ПЛ="",IFERROR(INDEX(БАЗА_ЦІНИ,6,IFERROR(MATCH(ЕТАЛОН_ПЛ,ПЛ_РЯДОК,0),0)),"")="",IFERROR(INDEX(БАЗА_ЦІНИ,6,IFERROR(MATCH(ЕТАЛОН_ПЛ,ПЛ_РЯДОК,0),0)),"")=0),"",CG17/IFERROR(INDEX(БАЗА_ЦІНИ,6,IFERROR(MATCH(ЕТАЛОН_ПЛ,ПЛ_РЯДОК,0),0)),"")-1)</f>
        <v/>
      </c>
      <c r="CI48" s="70" t="str">
        <f aca="false">IF(OR(CI17="",ЕТАЛОН_ПЛ="",IFERROR(INDEX(БАЗА_ЦІНИ,6,IFERROR(MATCH(ЕТАЛОН_ПЛ,ПЛ_РЯДОК,0),0)),"")=""),"",CI17-IFERROR(INDEX(БАЗА_ЦІНИ,6,IFERROR(MATCH(ЕТАЛОН_ПЛ,ПЛ_РЯДОК,0),0)),""))</f>
        <v/>
      </c>
      <c r="CJ48" s="71" t="str">
        <f aca="false">IF(OR(CI17="",ЕТАЛОН_ПЛ="",IFERROR(INDEX(БАЗА_ЦІНИ,6,IFERROR(MATCH(ЕТАЛОН_ПЛ,ПЛ_РЯДОК,0),0)),"")="",IFERROR(INDEX(БАЗА_ЦІНИ,6,IFERROR(MATCH(ЕТАЛОН_ПЛ,ПЛ_РЯДОК,0),0)),"")=0),"",CI17/IFERROR(INDEX(БАЗА_ЦІНИ,6,IFERROR(MATCH(ЕТАЛОН_ПЛ,ПЛ_РЯДОК,0),0)),"")-1)</f>
        <v/>
      </c>
      <c r="CK48" s="70" t="str">
        <f aca="false">IF(OR(CK17="",ЕТАЛОН_ПЛ="",IFERROR(INDEX(БАЗА_ЦІНИ,6,IFERROR(MATCH(ЕТАЛОН_ПЛ,ПЛ_РЯДОК,0),0)),"")=""),"",CK17-IFERROR(INDEX(БАЗА_ЦІНИ,6,IFERROR(MATCH(ЕТАЛОН_ПЛ,ПЛ_РЯДОК,0),0)),""))</f>
        <v/>
      </c>
      <c r="CL48" s="71" t="str">
        <f aca="false">IF(OR(CK17="",ЕТАЛОН_ПЛ="",IFERROR(INDEX(БАЗА_ЦІНИ,6,IFERROR(MATCH(ЕТАЛОН_ПЛ,ПЛ_РЯДОК,0),0)),"")="",IFERROR(INDEX(БАЗА_ЦІНИ,6,IFERROR(MATCH(ЕТАЛОН_ПЛ,ПЛ_РЯДОК,0),0)),"")=0),"",CK17/IFERROR(INDEX(БАЗА_ЦІНИ,6,IFERROR(MATCH(ЕТАЛОН_ПЛ,ПЛ_РЯДОК,0),0)),"")-1)</f>
        <v/>
      </c>
      <c r="CM48" s="70" t="str">
        <f aca="false">IF(OR(CM17="",ЕТАЛОН_ПЛ="",IFERROR(INDEX(БАЗА_ЦІНИ,6,IFERROR(MATCH(ЕТАЛОН_ПЛ,ПЛ_РЯДОК,0),0)),"")=""),"",CM17-IFERROR(INDEX(БАЗА_ЦІНИ,6,IFERROR(MATCH(ЕТАЛОН_ПЛ,ПЛ_РЯДОК,0),0)),""))</f>
        <v/>
      </c>
      <c r="CN48" s="71" t="str">
        <f aca="false">IF(OR(CM17="",ЕТАЛОН_ПЛ="",IFERROR(INDEX(БАЗА_ЦІНИ,6,IFERROR(MATCH(ЕТАЛОН_ПЛ,ПЛ_РЯДОК,0),0)),"")="",IFERROR(INDEX(БАЗА_ЦІНИ,6,IFERROR(MATCH(ЕТАЛОН_ПЛ,ПЛ_РЯДОК,0),0)),"")=0),"",CM17/IFERROR(INDEX(БАЗА_ЦІНИ,6,IFERROR(MATCH(ЕТАЛОН_ПЛ,ПЛ_РЯДОК,0),0)),"")-1)</f>
        <v/>
      </c>
      <c r="CO48" s="70" t="str">
        <f aca="false">IF(OR(CO17="",ЕТАЛОН_ПЛ="",IFERROR(INDEX(БАЗА_ЦІНИ,6,IFERROR(MATCH(ЕТАЛОН_ПЛ,ПЛ_РЯДОК,0),0)),"")=""),"",CO17-IFERROR(INDEX(БАЗА_ЦІНИ,6,IFERROR(MATCH(ЕТАЛОН_ПЛ,ПЛ_РЯДОК,0),0)),""))</f>
        <v/>
      </c>
      <c r="CP48" s="71" t="str">
        <f aca="false">IF(OR(CO17="",ЕТАЛОН_ПЛ="",IFERROR(INDEX(БАЗА_ЦІНИ,6,IFERROR(MATCH(ЕТАЛОН_ПЛ,ПЛ_РЯДОК,0),0)),"")="",IFERROR(INDEX(БАЗА_ЦІНИ,6,IFERROR(MATCH(ЕТАЛОН_ПЛ,ПЛ_РЯДОК,0),0)),"")=0),"",CO17/IFERROR(INDEX(БАЗА_ЦІНИ,6,IFERROR(MATCH(ЕТАЛОН_ПЛ,ПЛ_РЯДОК,0),0)),"")-1)</f>
        <v/>
      </c>
      <c r="CQ48" s="70" t="str">
        <f aca="false">IF(OR(CQ17="",ЕТАЛОН_ПЛ="",IFERROR(INDEX(БАЗА_ЦІНИ,6,IFERROR(MATCH(ЕТАЛОН_ПЛ,ПЛ_РЯДОК,0),0)),"")=""),"",CQ17-IFERROR(INDEX(БАЗА_ЦІНИ,6,IFERROR(MATCH(ЕТАЛОН_ПЛ,ПЛ_РЯДОК,0),0)),""))</f>
        <v/>
      </c>
      <c r="CR48" s="71" t="str">
        <f aca="false">IF(OR(CQ17="",ЕТАЛОН_ПЛ="",IFERROR(INDEX(БАЗА_ЦІНИ,6,IFERROR(MATCH(ЕТАЛОН_ПЛ,ПЛ_РЯДОК,0),0)),"")="",IFERROR(INDEX(БАЗА_ЦІНИ,6,IFERROR(MATCH(ЕТАЛОН_ПЛ,ПЛ_РЯДОК,0),0)),"")=0),"",CQ17/IFERROR(INDEX(БАЗА_ЦІНИ,6,IFERROR(MATCH(ЕТАЛОН_ПЛ,ПЛ_РЯДОК,0),0)),"")-1)</f>
        <v/>
      </c>
      <c r="CS48" s="70" t="str">
        <f aca="false">IF(OR(CS17="",ЕТАЛОН_ПЛ="",IFERROR(INDEX(БАЗА_ЦІНИ,6,IFERROR(MATCH(ЕТАЛОН_ПЛ,ПЛ_РЯДОК,0),0)),"")=""),"",CS17-IFERROR(INDEX(БАЗА_ЦІНИ,6,IFERROR(MATCH(ЕТАЛОН_ПЛ,ПЛ_РЯДОК,0),0)),""))</f>
        <v/>
      </c>
      <c r="CT48" s="71" t="str">
        <f aca="false">IF(OR(CS17="",ЕТАЛОН_ПЛ="",IFERROR(INDEX(БАЗА_ЦІНИ,6,IFERROR(MATCH(ЕТАЛОН_ПЛ,ПЛ_РЯДОК,0),0)),"")="",IFERROR(INDEX(БАЗА_ЦІНИ,6,IFERROR(MATCH(ЕТАЛОН_ПЛ,ПЛ_РЯДОК,0),0)),"")=0),"",CS17/IFERROR(INDEX(БАЗА_ЦІНИ,6,IFERROR(MATCH(ЕТАЛОН_ПЛ,ПЛ_РЯДОК,0),0)),"")-1)</f>
        <v/>
      </c>
      <c r="CU48" s="70" t="str">
        <f aca="false">IF(OR(CU17="",ЕТАЛОН_ПЛ="",IFERROR(INDEX(БАЗА_ЦІНИ,6,IFERROR(MATCH(ЕТАЛОН_ПЛ,ПЛ_РЯДОК,0),0)),"")=""),"",CU17-IFERROR(INDEX(БАЗА_ЦІНИ,6,IFERROR(MATCH(ЕТАЛОН_ПЛ,ПЛ_РЯДОК,0),0)),""))</f>
        <v/>
      </c>
      <c r="CV48" s="71" t="str">
        <f aca="false">IF(OR(CU17="",ЕТАЛОН_ПЛ="",IFERROR(INDEX(БАЗА_ЦІНИ,6,IFERROR(MATCH(ЕТАЛОН_ПЛ,ПЛ_РЯДОК,0),0)),"")="",IFERROR(INDEX(БАЗА_ЦІНИ,6,IFERROR(MATCH(ЕТАЛОН_ПЛ,ПЛ_РЯДОК,0),0)),"")=0),"",CU17/IFERROR(INDEX(БАЗА_ЦІНИ,6,IFERROR(MATCH(ЕТАЛОН_ПЛ,ПЛ_РЯДОК,0),0)),"")-1)</f>
        <v/>
      </c>
      <c r="CW48" s="70" t="str">
        <f aca="false">IF(OR(CW17="",ЕТАЛОН_ПЛ="",IFERROR(INDEX(БАЗА_ЦІНИ,6,IFERROR(MATCH(ЕТАЛОН_ПЛ,ПЛ_РЯДОК,0),0)),"")=""),"",CW17-IFERROR(INDEX(БАЗА_ЦІНИ,6,IFERROR(MATCH(ЕТАЛОН_ПЛ,ПЛ_РЯДОК,0),0)),""))</f>
        <v/>
      </c>
      <c r="CX48" s="71" t="str">
        <f aca="false">IF(OR(CW17="",ЕТАЛОН_ПЛ="",IFERROR(INDEX(БАЗА_ЦІНИ,6,IFERROR(MATCH(ЕТАЛОН_ПЛ,ПЛ_РЯДОК,0),0)),"")="",IFERROR(INDEX(БАЗА_ЦІНИ,6,IFERROR(MATCH(ЕТАЛОН_ПЛ,ПЛ_РЯДОК,0),0)),"")=0),"",CW17/IFERROR(INDEX(БАЗА_ЦІНИ,6,IFERROR(MATCH(ЕТАЛОН_ПЛ,ПЛ_РЯДОК,0),0)),"")-1)</f>
        <v/>
      </c>
      <c r="CY48" s="70" t="str">
        <f aca="false">IF(OR(CY17="",ЕТАЛОН_ПЛ="",IFERROR(INDEX(БАЗА_ЦІНИ,6,IFERROR(MATCH(ЕТАЛОН_ПЛ,ПЛ_РЯДОК,0),0)),"")=""),"",CY17-IFERROR(INDEX(БАЗА_ЦІНИ,6,IFERROR(MATCH(ЕТАЛОН_ПЛ,ПЛ_РЯДОК,0),0)),""))</f>
        <v/>
      </c>
      <c r="CZ48" s="71" t="str">
        <f aca="false">IF(OR(CY17="",ЕТАЛОН_ПЛ="",IFERROR(INDEX(БАЗА_ЦІНИ,6,IFERROR(MATCH(ЕТАЛОН_ПЛ,ПЛ_РЯДОК,0),0)),"")="",IFERROR(INDEX(БАЗА_ЦІНИ,6,IFERROR(MATCH(ЕТАЛОН_ПЛ,ПЛ_РЯДОК,0),0)),"")=0),"",CY17/IFERROR(INDEX(БАЗА_ЦІНИ,6,IFERROR(MATCH(ЕТАЛОН_ПЛ,ПЛ_РЯДОК,0),0)),"")-1)</f>
        <v/>
      </c>
      <c r="DA48" s="70" t="str">
        <f aca="false">IF(OR(DA17="",ЕТАЛОН_ПЛ="",IFERROR(INDEX(БАЗА_ЦІНИ,6,IFERROR(MATCH(ЕТАЛОН_ПЛ,ПЛ_РЯДОК,0),0)),"")=""),"",DA17-IFERROR(INDEX(БАЗА_ЦІНИ,6,IFERROR(MATCH(ЕТАЛОН_ПЛ,ПЛ_РЯДОК,0),0)),""))</f>
        <v/>
      </c>
      <c r="DB48" s="71" t="str">
        <f aca="false">IF(OR(DA17="",ЕТАЛОН_ПЛ="",IFERROR(INDEX(БАЗА_ЦІНИ,6,IFERROR(MATCH(ЕТАЛОН_ПЛ,ПЛ_РЯДОК,0),0)),"")="",IFERROR(INDEX(БАЗА_ЦІНИ,6,IFERROR(MATCH(ЕТАЛОН_ПЛ,ПЛ_РЯДОК,0),0)),"")=0),"",DA17/IFERROR(INDEX(БАЗА_ЦІНИ,6,IFERROR(MATCH(ЕТАЛОН_ПЛ,ПЛ_РЯДОК,0),0)),"")-1)</f>
        <v/>
      </c>
      <c r="DC48" s="70" t="str">
        <f aca="false">IF(OR(DC17="",ЕТАЛОН_ПЛ="",IFERROR(INDEX(БАЗА_ЦІНИ,6,IFERROR(MATCH(ЕТАЛОН_ПЛ,ПЛ_РЯДОК,0),0)),"")=""),"",DC17-IFERROR(INDEX(БАЗА_ЦІНИ,6,IFERROR(MATCH(ЕТАЛОН_ПЛ,ПЛ_РЯДОК,0),0)),""))</f>
        <v/>
      </c>
      <c r="DD48" s="71" t="str">
        <f aca="false">IF(OR(DC17="",ЕТАЛОН_ПЛ="",IFERROR(INDEX(БАЗА_ЦІНИ,6,IFERROR(MATCH(ЕТАЛОН_ПЛ,ПЛ_РЯДОК,0),0)),"")="",IFERROR(INDEX(БАЗА_ЦІНИ,6,IFERROR(MATCH(ЕТАЛОН_ПЛ,ПЛ_РЯДОК,0),0)),"")=0),"",DC17/IFERROR(INDEX(БАЗА_ЦІНИ,6,IFERROR(MATCH(ЕТАЛОН_ПЛ,ПЛ_РЯДОК,0),0)),"")-1)</f>
        <v/>
      </c>
      <c r="DE48" s="70" t="str">
        <f aca="false">IF(OR(DE17="",ЕТАЛОН_ПЛ="",IFERROR(INDEX(БАЗА_ЦІНИ,6,IFERROR(MATCH(ЕТАЛОН_ПЛ,ПЛ_РЯДОК,0),0)),"")=""),"",DE17-IFERROR(INDEX(БАЗА_ЦІНИ,6,IFERROR(MATCH(ЕТАЛОН_ПЛ,ПЛ_РЯДОК,0),0)),""))</f>
        <v/>
      </c>
      <c r="DF48" s="71" t="str">
        <f aca="false">IF(OR(DE17="",ЕТАЛОН_ПЛ="",IFERROR(INDEX(БАЗА_ЦІНИ,6,IFERROR(MATCH(ЕТАЛОН_ПЛ,ПЛ_РЯДОК,0),0)),"")="",IFERROR(INDEX(БАЗА_ЦІНИ,6,IFERROR(MATCH(ЕТАЛОН_ПЛ,ПЛ_РЯДОК,0),0)),"")=0),"",DE17/IFERROR(INDEX(БАЗА_ЦІНИ,6,IFERROR(MATCH(ЕТАЛОН_ПЛ,ПЛ_РЯДОК,0),0)),"")-1)</f>
        <v/>
      </c>
      <c r="DG48" s="70" t="str">
        <f aca="false">IF(OR(DG17="",ЕТАЛОН_ПЛ="",IFERROR(INDEX(БАЗА_ЦІНИ,6,IFERROR(MATCH(ЕТАЛОН_ПЛ,ПЛ_РЯДОК,0),0)),"")=""),"",DG17-IFERROR(INDEX(БАЗА_ЦІНИ,6,IFERROR(MATCH(ЕТАЛОН_ПЛ,ПЛ_РЯДОК,0),0)),""))</f>
        <v/>
      </c>
      <c r="DH48" s="71" t="str">
        <f aca="false">IF(OR(DG17="",ЕТАЛОН_ПЛ="",IFERROR(INDEX(БАЗА_ЦІНИ,6,IFERROR(MATCH(ЕТАЛОН_ПЛ,ПЛ_РЯДОК,0),0)),"")="",IFERROR(INDEX(БАЗА_ЦІНИ,6,IFERROR(MATCH(ЕТАЛОН_ПЛ,ПЛ_РЯДОК,0),0)),"")=0),"",DG17/IFERROR(INDEX(БАЗА_ЦІНИ,6,IFERROR(MATCH(ЕТАЛОН_ПЛ,ПЛ_РЯДОК,0),0)),"")-1)</f>
        <v/>
      </c>
      <c r="DI48" s="70" t="str">
        <f aca="false">IF(OR(DI17="",ЕТАЛОН_ПЛ="",IFERROR(INDEX(БАЗА_ЦІНИ,6,IFERROR(MATCH(ЕТАЛОН_ПЛ,ПЛ_РЯДОК,0),0)),"")=""),"",DI17-IFERROR(INDEX(БАЗА_ЦІНИ,6,IFERROR(MATCH(ЕТАЛОН_ПЛ,ПЛ_РЯДОК,0),0)),""))</f>
        <v/>
      </c>
      <c r="DJ48" s="71" t="str">
        <f aca="false">IF(OR(DI17="",ЕТАЛОН_ПЛ="",IFERROR(INDEX(БАЗА_ЦІНИ,6,IFERROR(MATCH(ЕТАЛОН_ПЛ,ПЛ_РЯДОК,0),0)),"")="",IFERROR(INDEX(БАЗА_ЦІНИ,6,IFERROR(MATCH(ЕТАЛОН_ПЛ,ПЛ_РЯДОК,0),0)),"")=0),"",DI17/IFERROR(INDEX(БАЗА_ЦІНИ,6,IFERROR(MATCH(ЕТАЛОН_ПЛ,ПЛ_РЯДОК,0),0)),"")-1)</f>
        <v/>
      </c>
      <c r="DK48" s="70" t="str">
        <f aca="false">IF(OR(DK17="",ЕТАЛОН_ПЛ="",IFERROR(INDEX(БАЗА_ЦІНИ,6,IFERROR(MATCH(ЕТАЛОН_ПЛ,ПЛ_РЯДОК,0),0)),"")=""),"",DK17-IFERROR(INDEX(БАЗА_ЦІНИ,6,IFERROR(MATCH(ЕТАЛОН_ПЛ,ПЛ_РЯДОК,0),0)),""))</f>
        <v/>
      </c>
      <c r="DL48" s="71" t="str">
        <f aca="false">IF(OR(DK17="",ЕТАЛОН_ПЛ="",IFERROR(INDEX(БАЗА_ЦІНИ,6,IFERROR(MATCH(ЕТАЛОН_ПЛ,ПЛ_РЯДОК,0),0)),"")="",IFERROR(INDEX(БАЗА_ЦІНИ,6,IFERROR(MATCH(ЕТАЛОН_ПЛ,ПЛ_РЯДОК,0),0)),"")=0),"",DK17/IFERROR(INDEX(БАЗА_ЦІНИ,6,IFERROR(MATCH(ЕТАЛОН_ПЛ,ПЛ_РЯДОК,0),0)),"")-1)</f>
        <v/>
      </c>
      <c r="DM48" s="70" t="str">
        <f aca="false">IF(OR(DM17="",ЕТАЛОН_ПЛ="",IFERROR(INDEX(БАЗА_ЦІНИ,6,IFERROR(MATCH(ЕТАЛОН_ПЛ,ПЛ_РЯДОК,0),0)),"")=""),"",DM17-IFERROR(INDEX(БАЗА_ЦІНИ,6,IFERROR(MATCH(ЕТАЛОН_ПЛ,ПЛ_РЯДОК,0),0)),""))</f>
        <v/>
      </c>
      <c r="DN48" s="71" t="str">
        <f aca="false">IF(OR(DM17="",ЕТАЛОН_ПЛ="",IFERROR(INDEX(БАЗА_ЦІНИ,6,IFERROR(MATCH(ЕТАЛОН_ПЛ,ПЛ_РЯДОК,0),0)),"")="",IFERROR(INDEX(БАЗА_ЦІНИ,6,IFERROR(MATCH(ЕТАЛОН_ПЛ,ПЛ_РЯДОК,0),0)),"")=0),"",DM17/IFERROR(INDEX(БАЗА_ЦІНИ,6,IFERROR(MATCH(ЕТАЛОН_ПЛ,ПЛ_РЯДОК,0),0)),"")-1)</f>
        <v/>
      </c>
      <c r="DO48" s="70" t="str">
        <f aca="false">IF(OR(DO17="",ЕТАЛОН_ПЛ="",IFERROR(INDEX(БАЗА_ЦІНИ,6,IFERROR(MATCH(ЕТАЛОН_ПЛ,ПЛ_РЯДОК,0),0)),"")=""),"",DO17-IFERROR(INDEX(БАЗА_ЦІНИ,6,IFERROR(MATCH(ЕТАЛОН_ПЛ,ПЛ_РЯДОК,0),0)),""))</f>
        <v/>
      </c>
      <c r="DP48" s="71" t="str">
        <f aca="false">IF(OR(DO17="",ЕТАЛОН_ПЛ="",IFERROR(INDEX(БАЗА_ЦІНИ,6,IFERROR(MATCH(ЕТАЛОН_ПЛ,ПЛ_РЯДОК,0),0)),"")="",IFERROR(INDEX(БАЗА_ЦІНИ,6,IFERROR(MATCH(ЕТАЛОН_ПЛ,ПЛ_РЯДОК,0),0)),"")=0),"",DO17/IFERROR(INDEX(БАЗА_ЦІНИ,6,IFERROR(MATCH(ЕТАЛОН_ПЛ,ПЛ_РЯДОК,0),0)),"")-1)</f>
        <v/>
      </c>
      <c r="DQ48" s="70" t="str">
        <f aca="false">IF(OR(DQ17="",ЕТАЛОН_ПЛ="",IFERROR(INDEX(БАЗА_ЦІНИ,6,IFERROR(MATCH(ЕТАЛОН_ПЛ,ПЛ_РЯДОК,0),0)),"")=""),"",DQ17-IFERROR(INDEX(БАЗА_ЦІНИ,6,IFERROR(MATCH(ЕТАЛОН_ПЛ,ПЛ_РЯДОК,0),0)),""))</f>
        <v/>
      </c>
      <c r="DR48" s="71" t="str">
        <f aca="false">IF(OR(DQ17="",ЕТАЛОН_ПЛ="",IFERROR(INDEX(БАЗА_ЦІНИ,6,IFERROR(MATCH(ЕТАЛОН_ПЛ,ПЛ_РЯДОК,0),0)),"")="",IFERROR(INDEX(БАЗА_ЦІНИ,6,IFERROR(MATCH(ЕТАЛОН_ПЛ,ПЛ_РЯДОК,0),0)),"")=0),"",DQ17/IFERROR(INDEX(БАЗА_ЦІНИ,6,IFERROR(MATCH(ЕТАЛОН_ПЛ,ПЛ_РЯДОК,0),0)),"")-1)</f>
        <v/>
      </c>
      <c r="DS48" s="70" t="str">
        <f aca="false">IF(OR(DS17="",ЕТАЛОН_ПЛ="",IFERROR(INDEX(БАЗА_ЦІНИ,6,IFERROR(MATCH(ЕТАЛОН_ПЛ,ПЛ_РЯДОК,0),0)),"")=""),"",DS17-IFERROR(INDEX(БАЗА_ЦІНИ,6,IFERROR(MATCH(ЕТАЛОН_ПЛ,ПЛ_РЯДОК,0),0)),""))</f>
        <v/>
      </c>
      <c r="DT48" s="71" t="str">
        <f aca="false">IF(OR(DS17="",ЕТАЛОН_ПЛ="",IFERROR(INDEX(БАЗА_ЦІНИ,6,IFERROR(MATCH(ЕТАЛОН_ПЛ,ПЛ_РЯДОК,0),0)),"")="",IFERROR(INDEX(БАЗА_ЦІНИ,6,IFERROR(MATCH(ЕТАЛОН_ПЛ,ПЛ_РЯДОК,0),0)),"")=0),"",DS17/IFERROR(INDEX(БАЗА_ЦІНИ,6,IFERROR(MATCH(ЕТАЛОН_ПЛ,ПЛ_РЯДОК,0),0)),"")-1)</f>
        <v/>
      </c>
      <c r="DU48" s="70" t="str">
        <f aca="false">IF(OR(DU17="",ЕТАЛОН_ПЛ="",IFERROR(INDEX(БАЗА_ЦІНИ,6,IFERROR(MATCH(ЕТАЛОН_ПЛ,ПЛ_РЯДОК,0),0)),"")=""),"",DU17-IFERROR(INDEX(БАЗА_ЦІНИ,6,IFERROR(MATCH(ЕТАЛОН_ПЛ,ПЛ_РЯДОК,0),0)),""))</f>
        <v/>
      </c>
      <c r="DV48" s="71" t="str">
        <f aca="false">IF(OR(DU17="",ЕТАЛОН_ПЛ="",IFERROR(INDEX(БАЗА_ЦІНИ,6,IFERROR(MATCH(ЕТАЛОН_ПЛ,ПЛ_РЯДОК,0),0)),"")="",IFERROR(INDEX(БАЗА_ЦІНИ,6,IFERROR(MATCH(ЕТАЛОН_ПЛ,ПЛ_РЯДОК,0),0)),"")=0),"",DU17/IFERROR(INDEX(БАЗА_ЦІНИ,6,IFERROR(MATCH(ЕТАЛОН_ПЛ,ПЛ_РЯДОК,0),0)),"")-1)</f>
        <v/>
      </c>
      <c r="DW48" s="70" t="str">
        <f aca="false">IF(OR(DW17="",ЕТАЛОН_ПЛ="",IFERROR(INDEX(БАЗА_ЦІНИ,6,IFERROR(MATCH(ЕТАЛОН_ПЛ,ПЛ_РЯДОК,0),0)),"")=""),"",DW17-IFERROR(INDEX(БАЗА_ЦІНИ,6,IFERROR(MATCH(ЕТАЛОН_ПЛ,ПЛ_РЯДОК,0),0)),""))</f>
        <v/>
      </c>
      <c r="DX48" s="71" t="str">
        <f aca="false">IF(OR(DW17="",ЕТАЛОН_ПЛ="",IFERROR(INDEX(БАЗА_ЦІНИ,6,IFERROR(MATCH(ЕТАЛОН_ПЛ,ПЛ_РЯДОК,0),0)),"")="",IFERROR(INDEX(БАЗА_ЦІНИ,6,IFERROR(MATCH(ЕТАЛОН_ПЛ,ПЛ_РЯДОК,0),0)),"")=0),"",DW17/IFERROR(INDEX(БАЗА_ЦІНИ,6,IFERROR(MATCH(ЕТАЛОН_ПЛ,ПЛ_РЯДОК,0),0)),"")-1)</f>
        <v/>
      </c>
      <c r="DY48" s="70" t="str">
        <f aca="false">IF(OR(DY17="",ЕТАЛОН_ПЛ="",IFERROR(INDEX(БАЗА_ЦІНИ,6,IFERROR(MATCH(ЕТАЛОН_ПЛ,ПЛ_РЯДОК,0),0)),"")=""),"",DY17-IFERROR(INDEX(БАЗА_ЦІНИ,6,IFERROR(MATCH(ЕТАЛОН_ПЛ,ПЛ_РЯДОК,0),0)),""))</f>
        <v/>
      </c>
      <c r="DZ48" s="71" t="str">
        <f aca="false">IF(OR(DY17="",ЕТАЛОН_ПЛ="",IFERROR(INDEX(БАЗА_ЦІНИ,6,IFERROR(MATCH(ЕТАЛОН_ПЛ,ПЛ_РЯДОК,0),0)),"")="",IFERROR(INDEX(БАЗА_ЦІНИ,6,IFERROR(MATCH(ЕТАЛОН_ПЛ,ПЛ_РЯДОК,0),0)),"")=0),"",DY17/IFERROR(INDEX(БАЗА_ЦІНИ,6,IFERROR(MATCH(ЕТАЛОН_ПЛ,ПЛ_РЯДОК,0),0)),"")-1)</f>
        <v/>
      </c>
      <c r="EA48" s="70" t="str">
        <f aca="false">IF(OR(EA17="",ЕТАЛОН_ПЛ="",IFERROR(INDEX(БАЗА_ЦІНИ,6,IFERROR(MATCH(ЕТАЛОН_ПЛ,ПЛ_РЯДОК,0),0)),"")=""),"",EA17-IFERROR(INDEX(БАЗА_ЦІНИ,6,IFERROR(MATCH(ЕТАЛОН_ПЛ,ПЛ_РЯДОК,0),0)),""))</f>
        <v/>
      </c>
      <c r="EB48" s="71" t="str">
        <f aca="false">IF(OR(EA17="",ЕТАЛОН_ПЛ="",IFERROR(INDEX(БАЗА_ЦІНИ,6,IFERROR(MATCH(ЕТАЛОН_ПЛ,ПЛ_РЯДОК,0),0)),"")="",IFERROR(INDEX(БАЗА_ЦІНИ,6,IFERROR(MATCH(ЕТАЛОН_ПЛ,ПЛ_РЯДОК,0),0)),"")=0),"",EA17/IFERROR(INDEX(БАЗА_ЦІНИ,6,IFERROR(MATCH(ЕТАЛОН_ПЛ,ПЛ_РЯДОК,0),0)),"")-1)</f>
        <v/>
      </c>
      <c r="EC48" s="70" t="str">
        <f aca="false">IF(OR(EC17="",ЕТАЛОН_ПЛ="",IFERROR(INDEX(БАЗА_ЦІНИ,6,IFERROR(MATCH(ЕТАЛОН_ПЛ,ПЛ_РЯДОК,0),0)),"")=""),"",EC17-IFERROR(INDEX(БАЗА_ЦІНИ,6,IFERROR(MATCH(ЕТАЛОН_ПЛ,ПЛ_РЯДОК,0),0)),""))</f>
        <v/>
      </c>
      <c r="ED48" s="71" t="str">
        <f aca="false">IF(OR(EC17="",ЕТАЛОН_ПЛ="",IFERROR(INDEX(БАЗА_ЦІНИ,6,IFERROR(MATCH(ЕТАЛОН_ПЛ,ПЛ_РЯДОК,0),0)),"")="",IFERROR(INDEX(БАЗА_ЦІНИ,6,IFERROR(MATCH(ЕТАЛОН_ПЛ,ПЛ_РЯДОК,0),0)),"")=0),"",EC17/IFERROR(INDEX(БАЗА_ЦІНИ,6,IFERROR(MATCH(ЕТАЛОН_ПЛ,ПЛ_РЯДОК,0),0)),"")-1)</f>
        <v/>
      </c>
      <c r="EE48" s="70" t="str">
        <f aca="false">IF(OR(EE17="",ЕТАЛОН_ПЛ="",IFERROR(INDEX(БАЗА_ЦІНИ,6,IFERROR(MATCH(ЕТАЛОН_ПЛ,ПЛ_РЯДОК,0),0)),"")=""),"",EE17-IFERROR(INDEX(БАЗА_ЦІНИ,6,IFERROR(MATCH(ЕТАЛОН_ПЛ,ПЛ_РЯДОК,0),0)),""))</f>
        <v/>
      </c>
      <c r="EF48" s="71" t="str">
        <f aca="false">IF(OR(EE17="",ЕТАЛОН_ПЛ="",IFERROR(INDEX(БАЗА_ЦІНИ,6,IFERROR(MATCH(ЕТАЛОН_ПЛ,ПЛ_РЯДОК,0),0)),"")="",IFERROR(INDEX(БАЗА_ЦІНИ,6,IFERROR(MATCH(ЕТАЛОН_ПЛ,ПЛ_РЯДОК,0),0)),"")=0),"",EE17/IFERROR(INDEX(БАЗА_ЦІНИ,6,IFERROR(MATCH(ЕТАЛОН_ПЛ,ПЛ_РЯДОК,0),0)),"")-1)</f>
        <v/>
      </c>
      <c r="EG48" s="70" t="str">
        <f aca="false">IF(OR(EG17="",ЕТАЛОН_ПЛ="",IFERROR(INDEX(БАЗА_ЦІНИ,6,IFERROR(MATCH(ЕТАЛОН_ПЛ,ПЛ_РЯДОК,0),0)),"")=""),"",EG17-IFERROR(INDEX(БАЗА_ЦІНИ,6,IFERROR(MATCH(ЕТАЛОН_ПЛ,ПЛ_РЯДОК,0),0)),""))</f>
        <v/>
      </c>
      <c r="EH48" s="71" t="str">
        <f aca="false">IF(OR(EG17="",ЕТАЛОН_ПЛ="",IFERROR(INDEX(БАЗА_ЦІНИ,6,IFERROR(MATCH(ЕТАЛОН_ПЛ,ПЛ_РЯДОК,0),0)),"")="",IFERROR(INDEX(БАЗА_ЦІНИ,6,IFERROR(MATCH(ЕТАЛОН_ПЛ,ПЛ_РЯДОК,0),0)),"")=0),"",EG17/IFERROR(INDEX(БАЗА_ЦІНИ,6,IFERROR(MATCH(ЕТАЛОН_ПЛ,ПЛ_РЯДОК,0),0)),"")-1)</f>
        <v/>
      </c>
      <c r="EI48" s="70" t="str">
        <f aca="false">IF(OR(EI17="",ЕТАЛОН_ПЛ="",IFERROR(INDEX(БАЗА_ЦІНИ,6,IFERROR(MATCH(ЕТАЛОН_ПЛ,ПЛ_РЯДОК,0),0)),"")=""),"",EI17-IFERROR(INDEX(БАЗА_ЦІНИ,6,IFERROR(MATCH(ЕТАЛОН_ПЛ,ПЛ_РЯДОК,0),0)),""))</f>
        <v/>
      </c>
      <c r="EJ48" s="71" t="str">
        <f aca="false">IF(OR(EI17="",ЕТАЛОН_ПЛ="",IFERROR(INDEX(БАЗА_ЦІНИ,6,IFERROR(MATCH(ЕТАЛОН_ПЛ,ПЛ_РЯДОК,0),0)),"")="",IFERROR(INDEX(БАЗА_ЦІНИ,6,IFERROR(MATCH(ЕТАЛОН_ПЛ,ПЛ_РЯДОК,0),0)),"")=0),"",EI17/IFERROR(INDEX(БАЗА_ЦІНИ,6,IFERROR(MATCH(ЕТАЛОН_ПЛ,ПЛ_РЯДОК,0),0)),"")-1)</f>
        <v/>
      </c>
      <c r="EK48" s="70" t="str">
        <f aca="false">IF(OR(EK17="",ЕТАЛОН_ПЛ="",IFERROR(INDEX(БАЗА_ЦІНИ,6,IFERROR(MATCH(ЕТАЛОН_ПЛ,ПЛ_РЯДОК,0),0)),"")=""),"",EK17-IFERROR(INDEX(БАЗА_ЦІНИ,6,IFERROR(MATCH(ЕТАЛОН_ПЛ,ПЛ_РЯДОК,0),0)),""))</f>
        <v/>
      </c>
      <c r="EL48" s="71" t="str">
        <f aca="false">IF(OR(EK17="",ЕТАЛОН_ПЛ="",IFERROR(INDEX(БАЗА_ЦІНИ,6,IFERROR(MATCH(ЕТАЛОН_ПЛ,ПЛ_РЯДОК,0),0)),"")="",IFERROR(INDEX(БАЗА_ЦІНИ,6,IFERROR(MATCH(ЕТАЛОН_ПЛ,ПЛ_РЯДОК,0),0)),"")=0),"",EK17/IFERROR(INDEX(БАЗА_ЦІНИ,6,IFERROR(MATCH(ЕТАЛОН_ПЛ,ПЛ_РЯДОК,0),0)),"")-1)</f>
        <v/>
      </c>
      <c r="EM48" s="70" t="str">
        <f aca="false">IF(OR(EM17="",ЕТАЛОН_ПЛ="",IFERROR(INDEX(БАЗА_ЦІНИ,6,IFERROR(MATCH(ЕТАЛОН_ПЛ,ПЛ_РЯДОК,0),0)),"")=""),"",EM17-IFERROR(INDEX(БАЗА_ЦІНИ,6,IFERROR(MATCH(ЕТАЛОН_ПЛ,ПЛ_РЯДОК,0),0)),""))</f>
        <v/>
      </c>
      <c r="EN48" s="71" t="str">
        <f aca="false">IF(OR(EM17="",ЕТАЛОН_ПЛ="",IFERROR(INDEX(БАЗА_ЦІНИ,6,IFERROR(MATCH(ЕТАЛОН_ПЛ,ПЛ_РЯДОК,0),0)),"")="",IFERROR(INDEX(БАЗА_ЦІНИ,6,IFERROR(MATCH(ЕТАЛОН_ПЛ,ПЛ_РЯДОК,0),0)),"")=0),"",EM17/IFERROR(INDEX(БАЗА_ЦІНИ,6,IFERROR(MATCH(ЕТАЛОН_ПЛ,ПЛ_РЯДОК,0),0)),"")-1)</f>
        <v/>
      </c>
      <c r="EO48" s="70" t="str">
        <f aca="false">IF(OR(EO17="",ЕТАЛОН_ПЛ="",IFERROR(INDEX(БАЗА_ЦІНИ,6,IFERROR(MATCH(ЕТАЛОН_ПЛ,ПЛ_РЯДОК,0),0)),"")=""),"",EO17-IFERROR(INDEX(БАЗА_ЦІНИ,6,IFERROR(MATCH(ЕТАЛОН_ПЛ,ПЛ_РЯДОК,0),0)),""))</f>
        <v/>
      </c>
      <c r="EP48" s="71" t="str">
        <f aca="false">IF(OR(EO17="",ЕТАЛОН_ПЛ="",IFERROR(INDEX(БАЗА_ЦІНИ,6,IFERROR(MATCH(ЕТАЛОН_ПЛ,ПЛ_РЯДОК,0),0)),"")="",IFERROR(INDEX(БАЗА_ЦІНИ,6,IFERROR(MATCH(ЕТАЛОН_ПЛ,ПЛ_РЯДОК,0),0)),"")=0),"",EO17/IFERROR(INDEX(БАЗА_ЦІНИ,6,IFERROR(MATCH(ЕТАЛОН_ПЛ,ПЛ_РЯДОК,0),0)),"")-1)</f>
        <v/>
      </c>
      <c r="EQ48" s="70" t="str">
        <f aca="false">IF(OR(EQ17="",ЕТАЛОН_ПЛ="",IFERROR(INDEX(БАЗА_ЦІНИ,6,IFERROR(MATCH(ЕТАЛОН_ПЛ,ПЛ_РЯДОК,0),0)),"")=""),"",EQ17-IFERROR(INDEX(БАЗА_ЦІНИ,6,IFERROR(MATCH(ЕТАЛОН_ПЛ,ПЛ_РЯДОК,0),0)),""))</f>
        <v/>
      </c>
      <c r="ER48" s="71" t="str">
        <f aca="false">IF(OR(EQ17="",ЕТАЛОН_ПЛ="",IFERROR(INDEX(БАЗА_ЦІНИ,6,IFERROR(MATCH(ЕТАЛОН_ПЛ,ПЛ_РЯДОК,0),0)),"")="",IFERROR(INDEX(БАЗА_ЦІНИ,6,IFERROR(MATCH(ЕТАЛОН_ПЛ,ПЛ_РЯДОК,0),0)),"")=0),"",EQ17/IFERROR(INDEX(БАЗА_ЦІНИ,6,IFERROR(MATCH(ЕТАЛОН_ПЛ,ПЛ_РЯДОК,0),0)),"")-1)</f>
        <v/>
      </c>
      <c r="ES48" s="70" t="str">
        <f aca="false">IF(OR(ES17="",ЕТАЛОН_ПЛ="",IFERROR(INDEX(БАЗА_ЦІНИ,6,IFERROR(MATCH(ЕТАЛОН_ПЛ,ПЛ_РЯДОК,0),0)),"")=""),"",ES17-IFERROR(INDEX(БАЗА_ЦІНИ,6,IFERROR(MATCH(ЕТАЛОН_ПЛ,ПЛ_РЯДОК,0),0)),""))</f>
        <v/>
      </c>
      <c r="ET48" s="71" t="str">
        <f aca="false">IF(OR(ES17="",ЕТАЛОН_ПЛ="",IFERROR(INDEX(БАЗА_ЦІНИ,6,IFERROR(MATCH(ЕТАЛОН_ПЛ,ПЛ_РЯДОК,0),0)),"")="",IFERROR(INDEX(БАЗА_ЦІНИ,6,IFERROR(MATCH(ЕТАЛОН_ПЛ,ПЛ_РЯДОК,0),0)),"")=0),"",ES17/IFERROR(INDEX(БАЗА_ЦІНИ,6,IFERROR(MATCH(ЕТАЛОН_ПЛ,ПЛ_РЯДОК,0),0)),"")-1)</f>
        <v/>
      </c>
      <c r="EU48" s="70" t="str">
        <f aca="false">IF(OR(EU17="",ЕТАЛОН_ПЛ="",IFERROR(INDEX(БАЗА_ЦІНИ,6,IFERROR(MATCH(ЕТАЛОН_ПЛ,ПЛ_РЯДОК,0),0)),"")=""),"",EU17-IFERROR(INDEX(БАЗА_ЦІНИ,6,IFERROR(MATCH(ЕТАЛОН_ПЛ,ПЛ_РЯДОК,0),0)),""))</f>
        <v/>
      </c>
      <c r="EV48" s="71" t="str">
        <f aca="false">IF(OR(EU17="",ЕТАЛОН_ПЛ="",IFERROR(INDEX(БАЗА_ЦІНИ,6,IFERROR(MATCH(ЕТАЛОН_ПЛ,ПЛ_РЯДОК,0),0)),"")="",IFERROR(INDEX(БАЗА_ЦІНИ,6,IFERROR(MATCH(ЕТАЛОН_ПЛ,ПЛ_РЯДОК,0),0)),"")=0),"",EU17/IFERROR(INDEX(БАЗА_ЦІНИ,6,IFERROR(MATCH(ЕТАЛОН_ПЛ,ПЛ_РЯДОК,0),0)),"")-1)</f>
        <v/>
      </c>
      <c r="EW48" s="70" t="str">
        <f aca="false">IF(OR(EW17="",ЕТАЛОН_ПЛ="",IFERROR(INDEX(БАЗА_ЦІНИ,6,IFERROR(MATCH(ЕТАЛОН_ПЛ,ПЛ_РЯДОК,0),0)),"")=""),"",EW17-IFERROR(INDEX(БАЗА_ЦІНИ,6,IFERROR(MATCH(ЕТАЛОН_ПЛ,ПЛ_РЯДОК,0),0)),""))</f>
        <v/>
      </c>
      <c r="EX48" s="71" t="str">
        <f aca="false">IF(OR(EW17="",ЕТАЛОН_ПЛ="",IFERROR(INDEX(БАЗА_ЦІНИ,6,IFERROR(MATCH(ЕТАЛОН_ПЛ,ПЛ_РЯДОК,0),0)),"")="",IFERROR(INDEX(БАЗА_ЦІНИ,6,IFERROR(MATCH(ЕТАЛОН_ПЛ,ПЛ_РЯДОК,0),0)),"")=0),"",EW17/IFERROR(INDEX(БАЗА_ЦІНИ,6,IFERROR(MATCH(ЕТАЛОН_ПЛ,ПЛ_РЯДОК,0),0)),"")-1)</f>
        <v/>
      </c>
      <c r="EY48" s="70" t="str">
        <f aca="false">IF(OR(EY17="",ЕТАЛОН_ПЛ="",IFERROR(INDEX(БАЗА_ЦІНИ,6,IFERROR(MATCH(ЕТАЛОН_ПЛ,ПЛ_РЯДОК,0),0)),"")=""),"",EY17-IFERROR(INDEX(БАЗА_ЦІНИ,6,IFERROR(MATCH(ЕТАЛОН_ПЛ,ПЛ_РЯДОК,0),0)),""))</f>
        <v/>
      </c>
      <c r="EZ48" s="71" t="str">
        <f aca="false">IF(OR(EY17="",ЕТАЛОН_ПЛ="",IFERROR(INDEX(БАЗА_ЦІНИ,6,IFERROR(MATCH(ЕТАЛОН_ПЛ,ПЛ_РЯДОК,0),0)),"")="",IFERROR(INDEX(БАЗА_ЦІНИ,6,IFERROR(MATCH(ЕТАЛОН_ПЛ,ПЛ_РЯДОК,0),0)),"")=0),"",EY17/IFERROR(INDEX(БАЗА_ЦІНИ,6,IFERROR(MATCH(ЕТАЛОН_ПЛ,ПЛ_РЯДОК,0),0)),"")-1)</f>
        <v/>
      </c>
      <c r="FA48" s="70" t="str">
        <f aca="false">IF(OR(FA17="",ЕТАЛОН_ПЛ="",IFERROR(INDEX(БАЗА_ЦІНИ,6,IFERROR(MATCH(ЕТАЛОН_ПЛ,ПЛ_РЯДОК,0),0)),"")=""),"",FA17-IFERROR(INDEX(БАЗА_ЦІНИ,6,IFERROR(MATCH(ЕТАЛОН_ПЛ,ПЛ_РЯДОК,0),0)),""))</f>
        <v/>
      </c>
      <c r="FB48" s="71" t="str">
        <f aca="false">IF(OR(FA17="",ЕТАЛОН_ПЛ="",IFERROR(INDEX(БАЗА_ЦІНИ,6,IFERROR(MATCH(ЕТАЛОН_ПЛ,ПЛ_РЯДОК,0),0)),"")="",IFERROR(INDEX(БАЗА_ЦІНИ,6,IFERROR(MATCH(ЕТАЛОН_ПЛ,ПЛ_РЯДОК,0),0)),"")=0),"",FA17/IFERROR(INDEX(БАЗА_ЦІНИ,6,IFERROR(MATCH(ЕТАЛОН_ПЛ,ПЛ_РЯДОК,0),0)),"")-1)</f>
        <v/>
      </c>
      <c r="FC48" s="70" t="str">
        <f aca="false">IF(OR(FC17="",ЕТАЛОН_ПЛ="",IFERROR(INDEX(БАЗА_ЦІНИ,6,IFERROR(MATCH(ЕТАЛОН_ПЛ,ПЛ_РЯДОК,0),0)),"")=""),"",FC17-IFERROR(INDEX(БАЗА_ЦІНИ,6,IFERROR(MATCH(ЕТАЛОН_ПЛ,ПЛ_РЯДОК,0),0)),""))</f>
        <v/>
      </c>
      <c r="FD48" s="71" t="str">
        <f aca="false">IF(OR(FC17="",ЕТАЛОН_ПЛ="",IFERROR(INDEX(БАЗА_ЦІНИ,6,IFERROR(MATCH(ЕТАЛОН_ПЛ,ПЛ_РЯДОК,0),0)),"")="",IFERROR(INDEX(БАЗА_ЦІНИ,6,IFERROR(MATCH(ЕТАЛОН_ПЛ,ПЛ_РЯДОК,0),0)),"")=0),"",FC17/IFERROR(INDEX(БАЗА_ЦІНИ,6,IFERROR(MATCH(ЕТАЛОН_ПЛ,ПЛ_РЯДОК,0),0)),"")-1)</f>
        <v/>
      </c>
      <c r="FE48" s="70" t="str">
        <f aca="false">IF(OR(FE17="",ЕТАЛОН_ПЛ="",IFERROR(INDEX(БАЗА_ЦІНИ,6,IFERROR(MATCH(ЕТАЛОН_ПЛ,ПЛ_РЯДОК,0),0)),"")=""),"",FE17-IFERROR(INDEX(БАЗА_ЦІНИ,6,IFERROR(MATCH(ЕТАЛОН_ПЛ,ПЛ_РЯДОК,0),0)),""))</f>
        <v/>
      </c>
      <c r="FF48" s="71" t="str">
        <f aca="false">IF(OR(FE17="",ЕТАЛОН_ПЛ="",IFERROR(INDEX(БАЗА_ЦІНИ,6,IFERROR(MATCH(ЕТАЛОН_ПЛ,ПЛ_РЯДОК,0),0)),"")="",IFERROR(INDEX(БАЗА_ЦІНИ,6,IFERROR(MATCH(ЕТАЛОН_ПЛ,ПЛ_РЯДОК,0),0)),"")=0),"",FE17/IFERROR(INDEX(БАЗА_ЦІНИ,6,IFERROR(MATCH(ЕТАЛОН_ПЛ,ПЛ_РЯДОК,0),0)),"")-1)</f>
        <v/>
      </c>
      <c r="FG48" s="70" t="str">
        <f aca="false">IF(OR(FG17="",ЕТАЛОН_ПЛ="",IFERROR(INDEX(БАЗА_ЦІНИ,6,IFERROR(MATCH(ЕТАЛОН_ПЛ,ПЛ_РЯДОК,0),0)),"")=""),"",FG17-IFERROR(INDEX(БАЗА_ЦІНИ,6,IFERROR(MATCH(ЕТАЛОН_ПЛ,ПЛ_РЯДОК,0),0)),""))</f>
        <v/>
      </c>
      <c r="FH48" s="71" t="str">
        <f aca="false">IF(OR(FG17="",ЕТАЛОН_ПЛ="",IFERROR(INDEX(БАЗА_ЦІНИ,6,IFERROR(MATCH(ЕТАЛОН_ПЛ,ПЛ_РЯДОК,0),0)),"")="",IFERROR(INDEX(БАЗА_ЦІНИ,6,IFERROR(MATCH(ЕТАЛОН_ПЛ,ПЛ_РЯДОК,0),0)),"")=0),"",FG17/IFERROR(INDEX(БАЗА_ЦІНИ,6,IFERROR(MATCH(ЕТАЛОН_ПЛ,ПЛ_РЯДОК,0),0)),"")-1)</f>
        <v/>
      </c>
      <c r="FI48" s="70" t="str">
        <f aca="false">IF(OR(FI17="",ЕТАЛОН_ПЛ="",IFERROR(INDEX(БАЗА_ЦІНИ,6,IFERROR(MATCH(ЕТАЛОН_ПЛ,ПЛ_РЯДОК,0),0)),"")=""),"",FI17-IFERROR(INDEX(БАЗА_ЦІНИ,6,IFERROR(MATCH(ЕТАЛОН_ПЛ,ПЛ_РЯДОК,0),0)),""))</f>
        <v/>
      </c>
      <c r="FJ48" s="71" t="str">
        <f aca="false">IF(OR(FI17="",ЕТАЛОН_ПЛ="",IFERROR(INDEX(БАЗА_ЦІНИ,6,IFERROR(MATCH(ЕТАЛОН_ПЛ,ПЛ_РЯДОК,0),0)),"")="",IFERROR(INDEX(БАЗА_ЦІНИ,6,IFERROR(MATCH(ЕТАЛОН_ПЛ,ПЛ_РЯДОК,0),0)),"")=0),"",FI17/IFERROR(INDEX(БАЗА_ЦІНИ,6,IFERROR(MATCH(ЕТАЛОН_ПЛ,ПЛ_РЯДОК,0),0)),"")-1)</f>
        <v/>
      </c>
      <c r="FK48" s="70" t="str">
        <f aca="false">IF(OR(FK17="",ЕТАЛОН_ПЛ="",IFERROR(INDEX(БАЗА_ЦІНИ,6,IFERROR(MATCH(ЕТАЛОН_ПЛ,ПЛ_РЯДОК,0),0)),"")=""),"",FK17-IFERROR(INDEX(БАЗА_ЦІНИ,6,IFERROR(MATCH(ЕТАЛОН_ПЛ,ПЛ_РЯДОК,0),0)),""))</f>
        <v/>
      </c>
      <c r="FL48" s="71" t="str">
        <f aca="false">IF(OR(FK17="",ЕТАЛОН_ПЛ="",IFERROR(INDEX(БАЗА_ЦІНИ,6,IFERROR(MATCH(ЕТАЛОН_ПЛ,ПЛ_РЯДОК,0),0)),"")="",IFERROR(INDEX(БАЗА_ЦІНИ,6,IFERROR(MATCH(ЕТАЛОН_ПЛ,ПЛ_РЯДОК,0),0)),"")=0),"",FK17/IFERROR(INDEX(БАЗА_ЦІНИ,6,IFERROR(MATCH(ЕТАЛОН_ПЛ,ПЛ_РЯДОК,0),0)),"")-1)</f>
        <v/>
      </c>
      <c r="FM48" s="70" t="str">
        <f aca="false">IF(OR(FM17="",ЕТАЛОН_ПЛ="",IFERROR(INDEX(БАЗА_ЦІНИ,6,IFERROR(MATCH(ЕТАЛОН_ПЛ,ПЛ_РЯДОК,0),0)),"")=""),"",FM17-IFERROR(INDEX(БАЗА_ЦІНИ,6,IFERROR(MATCH(ЕТАЛОН_ПЛ,ПЛ_РЯДОК,0),0)),""))</f>
        <v/>
      </c>
      <c r="FN48" s="71" t="str">
        <f aca="false">IF(OR(FM17="",ЕТАЛОН_ПЛ="",IFERROR(INDEX(БАЗА_ЦІНИ,6,IFERROR(MATCH(ЕТАЛОН_ПЛ,ПЛ_РЯДОК,0),0)),"")="",IFERROR(INDEX(БАЗА_ЦІНИ,6,IFERROR(MATCH(ЕТАЛОН_ПЛ,ПЛ_РЯДОК,0),0)),"")=0),"",FM17/IFERROR(INDEX(БАЗА_ЦІНИ,6,IFERROR(MATCH(ЕТАЛОН_ПЛ,ПЛ_РЯДОК,0),0)),"")-1)</f>
        <v/>
      </c>
      <c r="FO48" s="70" t="str">
        <f aca="false">IF(OR(FO17="",ЕТАЛОН_ПЛ="",IFERROR(INDEX(БАЗА_ЦІНИ,6,IFERROR(MATCH(ЕТАЛОН_ПЛ,ПЛ_РЯДОК,0),0)),"")=""),"",FO17-IFERROR(INDEX(БАЗА_ЦІНИ,6,IFERROR(MATCH(ЕТАЛОН_ПЛ,ПЛ_РЯДОК,0),0)),""))</f>
        <v/>
      </c>
      <c r="FP48" s="71" t="str">
        <f aca="false">IF(OR(FO17="",ЕТАЛОН_ПЛ="",IFERROR(INDEX(БАЗА_ЦІНИ,6,IFERROR(MATCH(ЕТАЛОН_ПЛ,ПЛ_РЯДОК,0),0)),"")="",IFERROR(INDEX(БАЗА_ЦІНИ,6,IFERROR(MATCH(ЕТАЛОН_ПЛ,ПЛ_РЯДОК,0),0)),"")=0),"",FO17/IFERROR(INDEX(БАЗА_ЦІНИ,6,IFERROR(MATCH(ЕТАЛОН_ПЛ,ПЛ_РЯДОК,0),0)),"")-1)</f>
        <v/>
      </c>
      <c r="FQ48" s="70" t="str">
        <f aca="false">IF(OR(FQ17="",ЕТАЛОН_ПЛ="",IFERROR(INDEX(БАЗА_ЦІНИ,6,IFERROR(MATCH(ЕТАЛОН_ПЛ,ПЛ_РЯДОК,0),0)),"")=""),"",FQ17-IFERROR(INDEX(БАЗА_ЦІНИ,6,IFERROR(MATCH(ЕТАЛОН_ПЛ,ПЛ_РЯДОК,0),0)),""))</f>
        <v/>
      </c>
      <c r="FR48" s="71" t="str">
        <f aca="false">IF(OR(FQ17="",ЕТАЛОН_ПЛ="",IFERROR(INDEX(БАЗА_ЦІНИ,6,IFERROR(MATCH(ЕТАЛОН_ПЛ,ПЛ_РЯДОК,0),0)),"")="",IFERROR(INDEX(БАЗА_ЦІНИ,6,IFERROR(MATCH(ЕТАЛОН_ПЛ,ПЛ_РЯДОК,0),0)),"")=0),"",FQ17/IFERROR(INDEX(БАЗА_ЦІНИ,6,IFERROR(MATCH(ЕТАЛОН_ПЛ,ПЛ_РЯДОК,0),0)),"")-1)</f>
        <v/>
      </c>
      <c r="FS48" s="70" t="str">
        <f aca="false">IF(OR(FS17="",ЕТАЛОН_ПЛ="",IFERROR(INDEX(БАЗА_ЦІНИ,6,IFERROR(MATCH(ЕТАЛОН_ПЛ,ПЛ_РЯДОК,0),0)),"")=""),"",FS17-IFERROR(INDEX(БАЗА_ЦІНИ,6,IFERROR(MATCH(ЕТАЛОН_ПЛ,ПЛ_РЯДОК,0),0)),""))</f>
        <v/>
      </c>
      <c r="FT48" s="71" t="str">
        <f aca="false">IF(OR(FS17="",ЕТАЛОН_ПЛ="",IFERROR(INDEX(БАЗА_ЦІНИ,6,IFERROR(MATCH(ЕТАЛОН_ПЛ,ПЛ_РЯДОК,0),0)),"")="",IFERROR(INDEX(БАЗА_ЦІНИ,6,IFERROR(MATCH(ЕТАЛОН_ПЛ,ПЛ_РЯДОК,0),0)),"")=0),"",FS17/IFERROR(INDEX(БАЗА_ЦІНИ,6,IFERROR(MATCH(ЕТАЛОН_ПЛ,ПЛ_РЯДОК,0),0)),"")-1)</f>
        <v/>
      </c>
      <c r="FU48" s="70" t="str">
        <f aca="false">IF(OR(FU17="",ЕТАЛОН_ПЛ="",IFERROR(INDEX(БАЗА_ЦІНИ,6,IFERROR(MATCH(ЕТАЛОН_ПЛ,ПЛ_РЯДОК,0),0)),"")=""),"",FU17-IFERROR(INDEX(БАЗА_ЦІНИ,6,IFERROR(MATCH(ЕТАЛОН_ПЛ,ПЛ_РЯДОК,0),0)),""))</f>
        <v/>
      </c>
      <c r="FV48" s="71" t="str">
        <f aca="false">IF(OR(FU17="",ЕТАЛОН_ПЛ="",IFERROR(INDEX(БАЗА_ЦІНИ,6,IFERROR(MATCH(ЕТАЛОН_ПЛ,ПЛ_РЯДОК,0),0)),"")="",IFERROR(INDEX(БАЗА_ЦІНИ,6,IFERROR(MATCH(ЕТАЛОН_ПЛ,ПЛ_РЯДОК,0),0)),"")=0),"",FU17/IFERROR(INDEX(БАЗА_ЦІНИ,6,IFERROR(MATCH(ЕТАЛОН_ПЛ,ПЛ_РЯДОК,0),0)),"")-1)</f>
        <v/>
      </c>
      <c r="FW48" s="70" t="str">
        <f aca="false">IF(OR(FW17="",ЕТАЛОН_ПЛ="",IFERROR(INDEX(БАЗА_ЦІНИ,6,IFERROR(MATCH(ЕТАЛОН_ПЛ,ПЛ_РЯДОК,0),0)),"")=""),"",FW17-IFERROR(INDEX(БАЗА_ЦІНИ,6,IFERROR(MATCH(ЕТАЛОН_ПЛ,ПЛ_РЯДОК,0),0)),""))</f>
        <v/>
      </c>
      <c r="FX48" s="71" t="str">
        <f aca="false">IF(OR(FW17="",ЕТАЛОН_ПЛ="",IFERROR(INDEX(БАЗА_ЦІНИ,6,IFERROR(MATCH(ЕТАЛОН_ПЛ,ПЛ_РЯДОК,0),0)),"")="",IFERROR(INDEX(БАЗА_ЦІНИ,6,IFERROR(MATCH(ЕТАЛОН_ПЛ,ПЛ_РЯДОК,0),0)),"")=0),"",FW17/IFERROR(INDEX(БАЗА_ЦІНИ,6,IFERROR(MATCH(ЕТАЛОН_ПЛ,ПЛ_РЯДОК,0),0)),"")-1)</f>
        <v/>
      </c>
      <c r="FY48" s="70" t="str">
        <f aca="false">IF(OR(FY17="",ЕТАЛОН_ПЛ="",IFERROR(INDEX(БАЗА_ЦІНИ,6,IFERROR(MATCH(ЕТАЛОН_ПЛ,ПЛ_РЯДОК,0),0)),"")=""),"",FY17-IFERROR(INDEX(БАЗА_ЦІНИ,6,IFERROR(MATCH(ЕТАЛОН_ПЛ,ПЛ_РЯДОК,0),0)),""))</f>
        <v/>
      </c>
      <c r="FZ48" s="71" t="str">
        <f aca="false">IF(OR(FY17="",ЕТАЛОН_ПЛ="",IFERROR(INDEX(БАЗА_ЦІНИ,6,IFERROR(MATCH(ЕТАЛОН_ПЛ,ПЛ_РЯДОК,0),0)),"")="",IFERROR(INDEX(БАЗА_ЦІНИ,6,IFERROR(MATCH(ЕТАЛОН_ПЛ,ПЛ_РЯДОК,0),0)),"")=0),"",FY17/IFERROR(INDEX(БАЗА_ЦІНИ,6,IFERROR(MATCH(ЕТАЛОН_ПЛ,ПЛ_РЯДОК,0),0)),"")-1)</f>
        <v/>
      </c>
      <c r="GA48" s="70" t="str">
        <f aca="false">IF(OR(GA17="",ЕТАЛОН_ПЛ="",IFERROR(INDEX(БАЗА_ЦІНИ,6,IFERROR(MATCH(ЕТАЛОН_ПЛ,ПЛ_РЯДОК,0),0)),"")=""),"",GA17-IFERROR(INDEX(БАЗА_ЦІНИ,6,IFERROR(MATCH(ЕТАЛОН_ПЛ,ПЛ_РЯДОК,0),0)),""))</f>
        <v/>
      </c>
      <c r="GB48" s="71" t="str">
        <f aca="false">IF(OR(GA17="",ЕТАЛОН_ПЛ="",IFERROR(INDEX(БАЗА_ЦІНИ,6,IFERROR(MATCH(ЕТАЛОН_ПЛ,ПЛ_РЯДОК,0),0)),"")="",IFERROR(INDEX(БАЗА_ЦІНИ,6,IFERROR(MATCH(ЕТАЛОН_ПЛ,ПЛ_РЯДОК,0),0)),"")=0),"",GA17/IFERROR(INDEX(БАЗА_ЦІНИ,6,IFERROR(MATCH(ЕТАЛОН_ПЛ,ПЛ_РЯДОК,0),0)),"")-1)</f>
        <v/>
      </c>
      <c r="GC48" s="70" t="str">
        <f aca="false">IF(OR(GC17="",ЕТАЛОН_ПЛ="",IFERROR(INDEX(БАЗА_ЦІНИ,6,IFERROR(MATCH(ЕТАЛОН_ПЛ,ПЛ_РЯДОК,0),0)),"")=""),"",GC17-IFERROR(INDEX(БАЗА_ЦІНИ,6,IFERROR(MATCH(ЕТАЛОН_ПЛ,ПЛ_РЯДОК,0),0)),""))</f>
        <v/>
      </c>
      <c r="GD48" s="71" t="str">
        <f aca="false">IF(OR(GC17="",ЕТАЛОН_ПЛ="",IFERROR(INDEX(БАЗА_ЦІНИ,6,IFERROR(MATCH(ЕТАЛОН_ПЛ,ПЛ_РЯДОК,0),0)),"")="",IFERROR(INDEX(БАЗА_ЦІНИ,6,IFERROR(MATCH(ЕТАЛОН_ПЛ,ПЛ_РЯДОК,0),0)),"")=0),"",GC17/IFERROR(INDEX(БАЗА_ЦІНИ,6,IFERROR(MATCH(ЕТАЛОН_ПЛ,ПЛ_РЯДОК,0),0)),"")-1)</f>
        <v/>
      </c>
      <c r="GE48" s="70" t="str">
        <f aca="false">IF(OR(GE17="",ЕТАЛОН_ПЛ="",IFERROR(INDEX(БАЗА_ЦІНИ,6,IFERROR(MATCH(ЕТАЛОН_ПЛ,ПЛ_РЯДОК,0),0)),"")=""),"",GE17-IFERROR(INDEX(БАЗА_ЦІНИ,6,IFERROR(MATCH(ЕТАЛОН_ПЛ,ПЛ_РЯДОК,0),0)),""))</f>
        <v/>
      </c>
      <c r="GF48" s="71" t="str">
        <f aca="false">IF(OR(GE17="",ЕТАЛОН_ПЛ="",IFERROR(INDEX(БАЗА_ЦІНИ,6,IFERROR(MATCH(ЕТАЛОН_ПЛ,ПЛ_РЯДОК,0),0)),"")="",IFERROR(INDEX(БАЗА_ЦІНИ,6,IFERROR(MATCH(ЕТАЛОН_ПЛ,ПЛ_РЯДОК,0),0)),"")=0),"",GE17/IFERROR(INDEX(БАЗА_ЦІНИ,6,IFERROR(MATCH(ЕТАЛОН_ПЛ,ПЛ_РЯДОК,0),0)),"")-1)</f>
        <v/>
      </c>
      <c r="GG48" s="70" t="str">
        <f aca="false">IF(OR(GG17="",ЕТАЛОН_ПЛ="",IFERROR(INDEX(БАЗА_ЦІНИ,6,IFERROR(MATCH(ЕТАЛОН_ПЛ,ПЛ_РЯДОК,0),0)),"")=""),"",GG17-IFERROR(INDEX(БАЗА_ЦІНИ,6,IFERROR(MATCH(ЕТАЛОН_ПЛ,ПЛ_РЯДОК,0),0)),""))</f>
        <v/>
      </c>
      <c r="GH48" s="71" t="str">
        <f aca="false">IF(OR(GG17="",ЕТАЛОН_ПЛ="",IFERROR(INDEX(БАЗА_ЦІНИ,6,IFERROR(MATCH(ЕТАЛОН_ПЛ,ПЛ_РЯДОК,0),0)),"")="",IFERROR(INDEX(БАЗА_ЦІНИ,6,IFERROR(MATCH(ЕТАЛОН_ПЛ,ПЛ_РЯДОК,0),0)),"")=0),"",GG17/IFERROR(INDEX(БАЗА_ЦІНИ,6,IFERROR(MATCH(ЕТАЛОН_ПЛ,ПЛ_РЯДОК,0),0)),"")-1)</f>
        <v/>
      </c>
      <c r="GI48" s="70" t="str">
        <f aca="false">IF(OR(GI17="",ЕТАЛОН_ПЛ="",IFERROR(INDEX(БАЗА_ЦІНИ,6,IFERROR(MATCH(ЕТАЛОН_ПЛ,ПЛ_РЯДОК,0),0)),"")=""),"",GI17-IFERROR(INDEX(БАЗА_ЦІНИ,6,IFERROR(MATCH(ЕТАЛОН_ПЛ,ПЛ_РЯДОК,0),0)),""))</f>
        <v/>
      </c>
      <c r="GJ48" s="71" t="str">
        <f aca="false">IF(OR(GI17="",ЕТАЛОН_ПЛ="",IFERROR(INDEX(БАЗА_ЦІНИ,6,IFERROR(MATCH(ЕТАЛОН_ПЛ,ПЛ_РЯДОК,0),0)),"")="",IFERROR(INDEX(БАЗА_ЦІНИ,6,IFERROR(MATCH(ЕТАЛОН_ПЛ,ПЛ_РЯДОК,0),0)),"")=0),"",GI17/IFERROR(INDEX(БАЗА_ЦІНИ,6,IFERROR(MATCH(ЕТАЛОН_ПЛ,ПЛ_РЯДОК,0),0)),"")-1)</f>
        <v/>
      </c>
      <c r="GK48" s="70" t="str">
        <f aca="false">IF(OR(GK17="",ЕТАЛОН_ПЛ="",IFERROR(INDEX(БАЗА_ЦІНИ,6,IFERROR(MATCH(ЕТАЛОН_ПЛ,ПЛ_РЯДОК,0),0)),"")=""),"",GK17-IFERROR(INDEX(БАЗА_ЦІНИ,6,IFERROR(MATCH(ЕТАЛОН_ПЛ,ПЛ_РЯДОК,0),0)),""))</f>
        <v/>
      </c>
      <c r="GL48" s="71" t="str">
        <f aca="false">IF(OR(GK17="",ЕТАЛОН_ПЛ="",IFERROR(INDEX(БАЗА_ЦІНИ,6,IFERROR(MATCH(ЕТАЛОН_ПЛ,ПЛ_РЯДОК,0),0)),"")="",IFERROR(INDEX(БАЗА_ЦІНИ,6,IFERROR(MATCH(ЕТАЛОН_ПЛ,ПЛ_РЯДОК,0),0)),"")=0),"",GK17/IFERROR(INDEX(БАЗА_ЦІНИ,6,IFERROR(MATCH(ЕТАЛОН_ПЛ,ПЛ_РЯДОК,0),0)),"")-1)</f>
        <v/>
      </c>
      <c r="GM48" s="70" t="str">
        <f aca="false">IF(OR(GM17="",ЕТАЛОН_ПЛ="",IFERROR(INDEX(БАЗА_ЦІНИ,6,IFERROR(MATCH(ЕТАЛОН_ПЛ,ПЛ_РЯДОК,0),0)),"")=""),"",GM17-IFERROR(INDEX(БАЗА_ЦІНИ,6,IFERROR(MATCH(ЕТАЛОН_ПЛ,ПЛ_РЯДОК,0),0)),""))</f>
        <v/>
      </c>
      <c r="GN48" s="71" t="str">
        <f aca="false">IF(OR(GM17="",ЕТАЛОН_ПЛ="",IFERROR(INDEX(БАЗА_ЦІНИ,6,IFERROR(MATCH(ЕТАЛОН_ПЛ,ПЛ_РЯДОК,0),0)),"")="",IFERROR(INDEX(БАЗА_ЦІНИ,6,IFERROR(MATCH(ЕТАЛОН_ПЛ,ПЛ_РЯДОК,0),0)),"")=0),"",GM17/IFERROR(INDEX(БАЗА_ЦІНИ,6,IFERROR(MATCH(ЕТАЛОН_ПЛ,ПЛ_РЯДОК,0),0)),"")-1)</f>
        <v/>
      </c>
      <c r="GO48" s="70" t="str">
        <f aca="false">IF(OR(GO17="",ЕТАЛОН_ПЛ="",IFERROR(INDEX(БАЗА_ЦІНИ,6,IFERROR(MATCH(ЕТАЛОН_ПЛ,ПЛ_РЯДОК,0),0)),"")=""),"",GO17-IFERROR(INDEX(БАЗА_ЦІНИ,6,IFERROR(MATCH(ЕТАЛОН_ПЛ,ПЛ_РЯДОК,0),0)),""))</f>
        <v/>
      </c>
      <c r="GP48" s="71" t="str">
        <f aca="false">IF(OR(GO17="",ЕТАЛОН_ПЛ="",IFERROR(INDEX(БАЗА_ЦІНИ,6,IFERROR(MATCH(ЕТАЛОН_ПЛ,ПЛ_РЯДОК,0),0)),"")="",IFERROR(INDEX(БАЗА_ЦІНИ,6,IFERROR(MATCH(ЕТАЛОН_ПЛ,ПЛ_РЯДОК,0),0)),"")=0),"",GO17/IFERROR(INDEX(БАЗА_ЦІНИ,6,IFERROR(MATCH(ЕТАЛОН_ПЛ,ПЛ_РЯДОК,0),0)),"")-1)</f>
        <v/>
      </c>
      <c r="GQ48" s="70" t="str">
        <f aca="false">IF(OR(GQ17="",ЕТАЛОН_ПЛ="",IFERROR(INDEX(БАЗА_ЦІНИ,6,IFERROR(MATCH(ЕТАЛОН_ПЛ,ПЛ_РЯДОК,0),0)),"")=""),"",GQ17-IFERROR(INDEX(БАЗА_ЦІНИ,6,IFERROR(MATCH(ЕТАЛОН_ПЛ,ПЛ_РЯДОК,0),0)),""))</f>
        <v/>
      </c>
      <c r="GR48" s="71" t="str">
        <f aca="false">IF(OR(GQ17="",ЕТАЛОН_ПЛ="",IFERROR(INDEX(БАЗА_ЦІНИ,6,IFERROR(MATCH(ЕТАЛОН_ПЛ,ПЛ_РЯДОК,0),0)),"")="",IFERROR(INDEX(БАЗА_ЦІНИ,6,IFERROR(MATCH(ЕТАЛОН_ПЛ,ПЛ_РЯДОК,0),0)),"")=0),"",GQ17/IFERROR(INDEX(БАЗА_ЦІНИ,6,IFERROR(MATCH(ЕТАЛОН_ПЛ,ПЛ_РЯДОК,0),0)),"")-1)</f>
        <v/>
      </c>
      <c r="GS48" s="70" t="str">
        <f aca="false">IF(OR(GS17="",ЕТАЛОН_ПЛ="",IFERROR(INDEX(БАЗА_ЦІНИ,6,IFERROR(MATCH(ЕТАЛОН_ПЛ,ПЛ_РЯДОК,0),0)),"")=""),"",GS17-IFERROR(INDEX(БАЗА_ЦІНИ,6,IFERROR(MATCH(ЕТАЛОН_ПЛ,ПЛ_РЯДОК,0),0)),""))</f>
        <v/>
      </c>
      <c r="GT48" s="71" t="str">
        <f aca="false">IF(OR(GS17="",ЕТАЛОН_ПЛ="",IFERROR(INDEX(БАЗА_ЦІНИ,6,IFERROR(MATCH(ЕТАЛОН_ПЛ,ПЛ_РЯДОК,0),0)),"")="",IFERROR(INDEX(БАЗА_ЦІНИ,6,IFERROR(MATCH(ЕТАЛОН_ПЛ,ПЛ_РЯДОК,0),0)),"")=0),"",GS17/IFERROR(INDEX(БАЗА_ЦІНИ,6,IFERROR(MATCH(ЕТАЛОН_ПЛ,ПЛ_РЯДОК,0),0)),"")-1)</f>
        <v/>
      </c>
      <c r="GU48" s="70" t="str">
        <f aca="false">IF(OR(GU17="",ЕТАЛОН_ПЛ="",IFERROR(INDEX(БАЗА_ЦІНИ,6,IFERROR(MATCH(ЕТАЛОН_ПЛ,ПЛ_РЯДОК,0),0)),"")=""),"",GU17-IFERROR(INDEX(БАЗА_ЦІНИ,6,IFERROR(MATCH(ЕТАЛОН_ПЛ,ПЛ_РЯДОК,0),0)),""))</f>
        <v/>
      </c>
      <c r="GV48" s="71" t="str">
        <f aca="false">IF(OR(GU17="",ЕТАЛОН_ПЛ="",IFERROR(INDEX(БАЗА_ЦІНИ,6,IFERROR(MATCH(ЕТАЛОН_ПЛ,ПЛ_РЯДОК,0),0)),"")="",IFERROR(INDEX(БАЗА_ЦІНИ,6,IFERROR(MATCH(ЕТАЛОН_ПЛ,ПЛ_РЯДОК,0),0)),"")=0),"",GU17/IFERROR(INDEX(БАЗА_ЦІНИ,6,IFERROR(MATCH(ЕТАЛОН_ПЛ,ПЛ_РЯДОК,0),0)),"")-1)</f>
        <v/>
      </c>
      <c r="GW48" s="70" t="str">
        <f aca="false">IF(OR(GW17="",ЕТАЛОН_ПЛ="",IFERROR(INDEX(БАЗА_ЦІНИ,6,IFERROR(MATCH(ЕТАЛОН_ПЛ,ПЛ_РЯДОК,0),0)),"")=""),"",GW17-IFERROR(INDEX(БАЗА_ЦІНИ,6,IFERROR(MATCH(ЕТАЛОН_ПЛ,ПЛ_РЯДОК,0),0)),""))</f>
        <v/>
      </c>
      <c r="GX48" s="71" t="str">
        <f aca="false">IF(OR(GW17="",ЕТАЛОН_ПЛ="",IFERROR(INDEX(БАЗА_ЦІНИ,6,IFERROR(MATCH(ЕТАЛОН_ПЛ,ПЛ_РЯДОК,0),0)),"")="",IFERROR(INDEX(БАЗА_ЦІНИ,6,IFERROR(MATCH(ЕТАЛОН_ПЛ,ПЛ_РЯДОК,0),0)),"")=0),"",GW17/IFERROR(INDEX(БАЗА_ЦІНИ,6,IFERROR(MATCH(ЕТАЛОН_ПЛ,ПЛ_РЯДОК,0),0)),"")-1)</f>
        <v/>
      </c>
      <c r="GY48" s="70" t="str">
        <f aca="false">IF(OR(GY17="",ЕТАЛОН_ПЛ="",IFERROR(INDEX(БАЗА_ЦІНИ,6,IFERROR(MATCH(ЕТАЛОН_ПЛ,ПЛ_РЯДОК,0),0)),"")=""),"",GY17-IFERROR(INDEX(БАЗА_ЦІНИ,6,IFERROR(MATCH(ЕТАЛОН_ПЛ,ПЛ_РЯДОК,0),0)),""))</f>
        <v/>
      </c>
      <c r="GZ48" s="71" t="str">
        <f aca="false">IF(OR(GY17="",ЕТАЛОН_ПЛ="",IFERROR(INDEX(БАЗА_ЦІНИ,6,IFERROR(MATCH(ЕТАЛОН_ПЛ,ПЛ_РЯДОК,0),0)),"")="",IFERROR(INDEX(БАЗА_ЦІНИ,6,IFERROR(MATCH(ЕТАЛОН_ПЛ,ПЛ_РЯДОК,0),0)),"")=0),"",GY17/IFERROR(INDEX(БАЗА_ЦІНИ,6,IFERROR(MATCH(ЕТАЛОН_ПЛ,ПЛ_РЯДОК,0),0)),"")-1)</f>
        <v/>
      </c>
    </row>
    <row r="49" customFormat="false" ht="15" hidden="false" customHeight="false" outlineLevel="0" collapsed="false">
      <c r="A49" s="54"/>
      <c r="B49" s="55"/>
      <c r="C49" s="55"/>
      <c r="D49" s="56"/>
      <c r="E49" s="57"/>
      <c r="H49" s="16" t="str">
        <f aca="false">IF('Довідник категорій'!B11="","",'Довідник категорій'!B11)</f>
        <v/>
      </c>
      <c r="I49" s="70" t="str">
        <f aca="false">IF(OR(I18="",ЕТАЛОН_ПЛ="",IFERROR(INDEX(БАЗА_ЦІНИ,7,IFERROR(MATCH(ЕТАЛОН_ПЛ,ПЛ_РЯДОК,0),0)),"")=""),"",I18-IFERROR(INDEX(БАЗА_ЦІНИ,7,IFERROR(MATCH(ЕТАЛОН_ПЛ,ПЛ_РЯДОК,0),0)),""))</f>
        <v/>
      </c>
      <c r="J49" s="71" t="str">
        <f aca="false">IF(OR(I18="",ЕТАЛОН_ПЛ="",IFERROR(INDEX(БАЗА_ЦІНИ,7,IFERROR(MATCH(ЕТАЛОН_ПЛ,ПЛ_РЯДОК,0),0)),"")="",IFERROR(INDEX(БАЗА_ЦІНИ,7,IFERROR(MATCH(ЕТАЛОН_ПЛ,ПЛ_РЯДОК,0),0)),"")=0),"",I18/IFERROR(INDEX(БАЗА_ЦІНИ,7,IFERROR(MATCH(ЕТАЛОН_ПЛ,ПЛ_РЯДОК,0),0)),"")-1)</f>
        <v/>
      </c>
      <c r="K49" s="70" t="str">
        <f aca="false">IF(OR(K18="",ЕТАЛОН_ПЛ="",IFERROR(INDEX(БАЗА_ЦІНИ,7,IFERROR(MATCH(ЕТАЛОН_ПЛ,ПЛ_РЯДОК,0),0)),"")=""),"",K18-IFERROR(INDEX(БАЗА_ЦІНИ,7,IFERROR(MATCH(ЕТАЛОН_ПЛ,ПЛ_РЯДОК,0),0)),""))</f>
        <v/>
      </c>
      <c r="L49" s="71" t="str">
        <f aca="false">IF(OR(K18="",ЕТАЛОН_ПЛ="",IFERROR(INDEX(БАЗА_ЦІНИ,7,IFERROR(MATCH(ЕТАЛОН_ПЛ,ПЛ_РЯДОК,0),0)),"")="",IFERROR(INDEX(БАЗА_ЦІНИ,7,IFERROR(MATCH(ЕТАЛОН_ПЛ,ПЛ_РЯДОК,0),0)),"")=0),"",K18/IFERROR(INDEX(БАЗА_ЦІНИ,7,IFERROR(MATCH(ЕТАЛОН_ПЛ,ПЛ_РЯДОК,0),0)),"")-1)</f>
        <v/>
      </c>
      <c r="M49" s="70" t="str">
        <f aca="false">IF(OR(M18="",ЕТАЛОН_ПЛ="",IFERROR(INDEX(БАЗА_ЦІНИ,7,IFERROR(MATCH(ЕТАЛОН_ПЛ,ПЛ_РЯДОК,0),0)),"")=""),"",M18-IFERROR(INDEX(БАЗА_ЦІНИ,7,IFERROR(MATCH(ЕТАЛОН_ПЛ,ПЛ_РЯДОК,0),0)),""))</f>
        <v/>
      </c>
      <c r="N49" s="71" t="str">
        <f aca="false">IF(OR(M18="",ЕТАЛОН_ПЛ="",IFERROR(INDEX(БАЗА_ЦІНИ,7,IFERROR(MATCH(ЕТАЛОН_ПЛ,ПЛ_РЯДОК,0),0)),"")="",IFERROR(INDEX(БАЗА_ЦІНИ,7,IFERROR(MATCH(ЕТАЛОН_ПЛ,ПЛ_РЯДОК,0),0)),"")=0),"",M18/IFERROR(INDEX(БАЗА_ЦІНИ,7,IFERROR(MATCH(ЕТАЛОН_ПЛ,ПЛ_РЯДОК,0),0)),"")-1)</f>
        <v/>
      </c>
      <c r="O49" s="70" t="str">
        <f aca="false">IF(OR(O18="",ЕТАЛОН_ПЛ="",IFERROR(INDEX(БАЗА_ЦІНИ,7,IFERROR(MATCH(ЕТАЛОН_ПЛ,ПЛ_РЯДОК,0),0)),"")=""),"",O18-IFERROR(INDEX(БАЗА_ЦІНИ,7,IFERROR(MATCH(ЕТАЛОН_ПЛ,ПЛ_РЯДОК,0),0)),""))</f>
        <v/>
      </c>
      <c r="P49" s="71" t="str">
        <f aca="false">IF(OR(O18="",ЕТАЛОН_ПЛ="",IFERROR(INDEX(БАЗА_ЦІНИ,7,IFERROR(MATCH(ЕТАЛОН_ПЛ,ПЛ_РЯДОК,0),0)),"")="",IFERROR(INDEX(БАЗА_ЦІНИ,7,IFERROR(MATCH(ЕТАЛОН_ПЛ,ПЛ_РЯДОК,0),0)),"")=0),"",O18/IFERROR(INDEX(БАЗА_ЦІНИ,7,IFERROR(MATCH(ЕТАЛОН_ПЛ,ПЛ_РЯДОК,0),0)),"")-1)</f>
        <v/>
      </c>
      <c r="Q49" s="70" t="str">
        <f aca="false">IF(OR(Q18="",ЕТАЛОН_ПЛ="",IFERROR(INDEX(БАЗА_ЦІНИ,7,IFERROR(MATCH(ЕТАЛОН_ПЛ,ПЛ_РЯДОК,0),0)),"")=""),"",Q18-IFERROR(INDEX(БАЗА_ЦІНИ,7,IFERROR(MATCH(ЕТАЛОН_ПЛ,ПЛ_РЯДОК,0),0)),""))</f>
        <v/>
      </c>
      <c r="R49" s="71" t="str">
        <f aca="false">IF(OR(Q18="",ЕТАЛОН_ПЛ="",IFERROR(INDEX(БАЗА_ЦІНИ,7,IFERROR(MATCH(ЕТАЛОН_ПЛ,ПЛ_РЯДОК,0),0)),"")="",IFERROR(INDEX(БАЗА_ЦІНИ,7,IFERROR(MATCH(ЕТАЛОН_ПЛ,ПЛ_РЯДОК,0),0)),"")=0),"",Q18/IFERROR(INDEX(БАЗА_ЦІНИ,7,IFERROR(MATCH(ЕТАЛОН_ПЛ,ПЛ_РЯДОК,0),0)),"")-1)</f>
        <v/>
      </c>
      <c r="S49" s="70" t="str">
        <f aca="false">IF(OR(S18="",ЕТАЛОН_ПЛ="",IFERROR(INDEX(БАЗА_ЦІНИ,7,IFERROR(MATCH(ЕТАЛОН_ПЛ,ПЛ_РЯДОК,0),0)),"")=""),"",S18-IFERROR(INDEX(БАЗА_ЦІНИ,7,IFERROR(MATCH(ЕТАЛОН_ПЛ,ПЛ_РЯДОК,0),0)),""))</f>
        <v/>
      </c>
      <c r="T49" s="71" t="str">
        <f aca="false">IF(OR(S18="",ЕТАЛОН_ПЛ="",IFERROR(INDEX(БАЗА_ЦІНИ,7,IFERROR(MATCH(ЕТАЛОН_ПЛ,ПЛ_РЯДОК,0),0)),"")="",IFERROR(INDEX(БАЗА_ЦІНИ,7,IFERROR(MATCH(ЕТАЛОН_ПЛ,ПЛ_РЯДОК,0),0)),"")=0),"",S18/IFERROR(INDEX(БАЗА_ЦІНИ,7,IFERROR(MATCH(ЕТАЛОН_ПЛ,ПЛ_РЯДОК,0),0)),"")-1)</f>
        <v/>
      </c>
      <c r="U49" s="70" t="str">
        <f aca="false">IF(OR(U18="",ЕТАЛОН_ПЛ="",IFERROR(INDEX(БАЗА_ЦІНИ,7,IFERROR(MATCH(ЕТАЛОН_ПЛ,ПЛ_РЯДОК,0),0)),"")=""),"",U18-IFERROR(INDEX(БАЗА_ЦІНИ,7,IFERROR(MATCH(ЕТАЛОН_ПЛ,ПЛ_РЯДОК,0),0)),""))</f>
        <v/>
      </c>
      <c r="V49" s="71" t="str">
        <f aca="false">IF(OR(U18="",ЕТАЛОН_ПЛ="",IFERROR(INDEX(БАЗА_ЦІНИ,7,IFERROR(MATCH(ЕТАЛОН_ПЛ,ПЛ_РЯДОК,0),0)),"")="",IFERROR(INDEX(БАЗА_ЦІНИ,7,IFERROR(MATCH(ЕТАЛОН_ПЛ,ПЛ_РЯДОК,0),0)),"")=0),"",U18/IFERROR(INDEX(БАЗА_ЦІНИ,7,IFERROR(MATCH(ЕТАЛОН_ПЛ,ПЛ_РЯДОК,0),0)),"")-1)</f>
        <v/>
      </c>
      <c r="W49" s="70" t="str">
        <f aca="false">IF(OR(W18="",ЕТАЛОН_ПЛ="",IFERROR(INDEX(БАЗА_ЦІНИ,7,IFERROR(MATCH(ЕТАЛОН_ПЛ,ПЛ_РЯДОК,0),0)),"")=""),"",W18-IFERROR(INDEX(БАЗА_ЦІНИ,7,IFERROR(MATCH(ЕТАЛОН_ПЛ,ПЛ_РЯДОК,0),0)),""))</f>
        <v/>
      </c>
      <c r="X49" s="71" t="str">
        <f aca="false">IF(OR(W18="",ЕТАЛОН_ПЛ="",IFERROR(INDEX(БАЗА_ЦІНИ,7,IFERROR(MATCH(ЕТАЛОН_ПЛ,ПЛ_РЯДОК,0),0)),"")="",IFERROR(INDEX(БАЗА_ЦІНИ,7,IFERROR(MATCH(ЕТАЛОН_ПЛ,ПЛ_РЯДОК,0),0)),"")=0),"",W18/IFERROR(INDEX(БАЗА_ЦІНИ,7,IFERROR(MATCH(ЕТАЛОН_ПЛ,ПЛ_РЯДОК,0),0)),"")-1)</f>
        <v/>
      </c>
      <c r="Y49" s="70" t="str">
        <f aca="false">IF(OR(Y18="",ЕТАЛОН_ПЛ="",IFERROR(INDEX(БАЗА_ЦІНИ,7,IFERROR(MATCH(ЕТАЛОН_ПЛ,ПЛ_РЯДОК,0),0)),"")=""),"",Y18-IFERROR(INDEX(БАЗА_ЦІНИ,7,IFERROR(MATCH(ЕТАЛОН_ПЛ,ПЛ_РЯДОК,0),0)),""))</f>
        <v/>
      </c>
      <c r="Z49" s="71" t="str">
        <f aca="false">IF(OR(Y18="",ЕТАЛОН_ПЛ="",IFERROR(INDEX(БАЗА_ЦІНИ,7,IFERROR(MATCH(ЕТАЛОН_ПЛ,ПЛ_РЯДОК,0),0)),"")="",IFERROR(INDEX(БАЗА_ЦІНИ,7,IFERROR(MATCH(ЕТАЛОН_ПЛ,ПЛ_РЯДОК,0),0)),"")=0),"",Y18/IFERROR(INDEX(БАЗА_ЦІНИ,7,IFERROR(MATCH(ЕТАЛОН_ПЛ,ПЛ_РЯДОК,0),0)),"")-1)</f>
        <v/>
      </c>
      <c r="AA49" s="70" t="str">
        <f aca="false">IF(OR(AA18="",ЕТАЛОН_ПЛ="",IFERROR(INDEX(БАЗА_ЦІНИ,7,IFERROR(MATCH(ЕТАЛОН_ПЛ,ПЛ_РЯДОК,0),0)),"")=""),"",AA18-IFERROR(INDEX(БАЗА_ЦІНИ,7,IFERROR(MATCH(ЕТАЛОН_ПЛ,ПЛ_РЯДОК,0),0)),""))</f>
        <v/>
      </c>
      <c r="AB49" s="71" t="str">
        <f aca="false">IF(OR(AA18="",ЕТАЛОН_ПЛ="",IFERROR(INDEX(БАЗА_ЦІНИ,7,IFERROR(MATCH(ЕТАЛОН_ПЛ,ПЛ_РЯДОК,0),0)),"")="",IFERROR(INDEX(БАЗА_ЦІНИ,7,IFERROR(MATCH(ЕТАЛОН_ПЛ,ПЛ_РЯДОК,0),0)),"")=0),"",AA18/IFERROR(INDEX(БАЗА_ЦІНИ,7,IFERROR(MATCH(ЕТАЛОН_ПЛ,ПЛ_РЯДОК,0),0)),"")-1)</f>
        <v/>
      </c>
      <c r="AC49" s="70" t="str">
        <f aca="false">IF(OR(AC18="",ЕТАЛОН_ПЛ="",IFERROR(INDEX(БАЗА_ЦІНИ,7,IFERROR(MATCH(ЕТАЛОН_ПЛ,ПЛ_РЯДОК,0),0)),"")=""),"",AC18-IFERROR(INDEX(БАЗА_ЦІНИ,7,IFERROR(MATCH(ЕТАЛОН_ПЛ,ПЛ_РЯДОК,0),0)),""))</f>
        <v/>
      </c>
      <c r="AD49" s="71" t="str">
        <f aca="false">IF(OR(AC18="",ЕТАЛОН_ПЛ="",IFERROR(INDEX(БАЗА_ЦІНИ,7,IFERROR(MATCH(ЕТАЛОН_ПЛ,ПЛ_РЯДОК,0),0)),"")="",IFERROR(INDEX(БАЗА_ЦІНИ,7,IFERROR(MATCH(ЕТАЛОН_ПЛ,ПЛ_РЯДОК,0),0)),"")=0),"",AC18/IFERROR(INDEX(БАЗА_ЦІНИ,7,IFERROR(MATCH(ЕТАЛОН_ПЛ,ПЛ_РЯДОК,0),0)),"")-1)</f>
        <v/>
      </c>
      <c r="AE49" s="70" t="str">
        <f aca="false">IF(OR(AE18="",ЕТАЛОН_ПЛ="",IFERROR(INDEX(БАЗА_ЦІНИ,7,IFERROR(MATCH(ЕТАЛОН_ПЛ,ПЛ_РЯДОК,0),0)),"")=""),"",AE18-IFERROR(INDEX(БАЗА_ЦІНИ,7,IFERROR(MATCH(ЕТАЛОН_ПЛ,ПЛ_РЯДОК,0),0)),""))</f>
        <v/>
      </c>
      <c r="AF49" s="71" t="str">
        <f aca="false">IF(OR(AE18="",ЕТАЛОН_ПЛ="",IFERROR(INDEX(БАЗА_ЦІНИ,7,IFERROR(MATCH(ЕТАЛОН_ПЛ,ПЛ_РЯДОК,0),0)),"")="",IFERROR(INDEX(БАЗА_ЦІНИ,7,IFERROR(MATCH(ЕТАЛОН_ПЛ,ПЛ_РЯДОК,0),0)),"")=0),"",AE18/IFERROR(INDEX(БАЗА_ЦІНИ,7,IFERROR(MATCH(ЕТАЛОН_ПЛ,ПЛ_РЯДОК,0),0)),"")-1)</f>
        <v/>
      </c>
      <c r="AG49" s="70" t="str">
        <f aca="false">IF(OR(AG18="",ЕТАЛОН_ПЛ="",IFERROR(INDEX(БАЗА_ЦІНИ,7,IFERROR(MATCH(ЕТАЛОН_ПЛ,ПЛ_РЯДОК,0),0)),"")=""),"",AG18-IFERROR(INDEX(БАЗА_ЦІНИ,7,IFERROR(MATCH(ЕТАЛОН_ПЛ,ПЛ_РЯДОК,0),0)),""))</f>
        <v/>
      </c>
      <c r="AH49" s="71" t="str">
        <f aca="false">IF(OR(AG18="",ЕТАЛОН_ПЛ="",IFERROR(INDEX(БАЗА_ЦІНИ,7,IFERROR(MATCH(ЕТАЛОН_ПЛ,ПЛ_РЯДОК,0),0)),"")="",IFERROR(INDEX(БАЗА_ЦІНИ,7,IFERROR(MATCH(ЕТАЛОН_ПЛ,ПЛ_РЯДОК,0),0)),"")=0),"",AG18/IFERROR(INDEX(БАЗА_ЦІНИ,7,IFERROR(MATCH(ЕТАЛОН_ПЛ,ПЛ_РЯДОК,0),0)),"")-1)</f>
        <v/>
      </c>
      <c r="AI49" s="70" t="str">
        <f aca="false">IF(OR(AI18="",ЕТАЛОН_ПЛ="",IFERROR(INDEX(БАЗА_ЦІНИ,7,IFERROR(MATCH(ЕТАЛОН_ПЛ,ПЛ_РЯДОК,0),0)),"")=""),"",AI18-IFERROR(INDEX(БАЗА_ЦІНИ,7,IFERROR(MATCH(ЕТАЛОН_ПЛ,ПЛ_РЯДОК,0),0)),""))</f>
        <v/>
      </c>
      <c r="AJ49" s="71" t="str">
        <f aca="false">IF(OR(AI18="",ЕТАЛОН_ПЛ="",IFERROR(INDEX(БАЗА_ЦІНИ,7,IFERROR(MATCH(ЕТАЛОН_ПЛ,ПЛ_РЯДОК,0),0)),"")="",IFERROR(INDEX(БАЗА_ЦІНИ,7,IFERROR(MATCH(ЕТАЛОН_ПЛ,ПЛ_РЯДОК,0),0)),"")=0),"",AI18/IFERROR(INDEX(БАЗА_ЦІНИ,7,IFERROR(MATCH(ЕТАЛОН_ПЛ,ПЛ_РЯДОК,0),0)),"")-1)</f>
        <v/>
      </c>
      <c r="AK49" s="70" t="str">
        <f aca="false">IF(OR(AK18="",ЕТАЛОН_ПЛ="",IFERROR(INDEX(БАЗА_ЦІНИ,7,IFERROR(MATCH(ЕТАЛОН_ПЛ,ПЛ_РЯДОК,0),0)),"")=""),"",AK18-IFERROR(INDEX(БАЗА_ЦІНИ,7,IFERROR(MATCH(ЕТАЛОН_ПЛ,ПЛ_РЯДОК,0),0)),""))</f>
        <v/>
      </c>
      <c r="AL49" s="71" t="str">
        <f aca="false">IF(OR(AK18="",ЕТАЛОН_ПЛ="",IFERROR(INDEX(БАЗА_ЦІНИ,7,IFERROR(MATCH(ЕТАЛОН_ПЛ,ПЛ_РЯДОК,0),0)),"")="",IFERROR(INDEX(БАЗА_ЦІНИ,7,IFERROR(MATCH(ЕТАЛОН_ПЛ,ПЛ_РЯДОК,0),0)),"")=0),"",AK18/IFERROR(INDEX(БАЗА_ЦІНИ,7,IFERROR(MATCH(ЕТАЛОН_ПЛ,ПЛ_РЯДОК,0),0)),"")-1)</f>
        <v/>
      </c>
      <c r="AM49" s="70" t="str">
        <f aca="false">IF(OR(AM18="",ЕТАЛОН_ПЛ="",IFERROR(INDEX(БАЗА_ЦІНИ,7,IFERROR(MATCH(ЕТАЛОН_ПЛ,ПЛ_РЯДОК,0),0)),"")=""),"",AM18-IFERROR(INDEX(БАЗА_ЦІНИ,7,IFERROR(MATCH(ЕТАЛОН_ПЛ,ПЛ_РЯДОК,0),0)),""))</f>
        <v/>
      </c>
      <c r="AN49" s="71" t="str">
        <f aca="false">IF(OR(AM18="",ЕТАЛОН_ПЛ="",IFERROR(INDEX(БАЗА_ЦІНИ,7,IFERROR(MATCH(ЕТАЛОН_ПЛ,ПЛ_РЯДОК,0),0)),"")="",IFERROR(INDEX(БАЗА_ЦІНИ,7,IFERROR(MATCH(ЕТАЛОН_ПЛ,ПЛ_РЯДОК,0),0)),"")=0),"",AM18/IFERROR(INDEX(БАЗА_ЦІНИ,7,IFERROR(MATCH(ЕТАЛОН_ПЛ,ПЛ_РЯДОК,0),0)),"")-1)</f>
        <v/>
      </c>
      <c r="AO49" s="70" t="str">
        <f aca="false">IF(OR(AO18="",ЕТАЛОН_ПЛ="",IFERROR(INDEX(БАЗА_ЦІНИ,7,IFERROR(MATCH(ЕТАЛОН_ПЛ,ПЛ_РЯДОК,0),0)),"")=""),"",AO18-IFERROR(INDEX(БАЗА_ЦІНИ,7,IFERROR(MATCH(ЕТАЛОН_ПЛ,ПЛ_РЯДОК,0),0)),""))</f>
        <v/>
      </c>
      <c r="AP49" s="71" t="str">
        <f aca="false">IF(OR(AO18="",ЕТАЛОН_ПЛ="",IFERROR(INDEX(БАЗА_ЦІНИ,7,IFERROR(MATCH(ЕТАЛОН_ПЛ,ПЛ_РЯДОК,0),0)),"")="",IFERROR(INDEX(БАЗА_ЦІНИ,7,IFERROR(MATCH(ЕТАЛОН_ПЛ,ПЛ_РЯДОК,0),0)),"")=0),"",AO18/IFERROR(INDEX(БАЗА_ЦІНИ,7,IFERROR(MATCH(ЕТАЛОН_ПЛ,ПЛ_РЯДОК,0),0)),"")-1)</f>
        <v/>
      </c>
      <c r="AQ49" s="70" t="str">
        <f aca="false">IF(OR(AQ18="",ЕТАЛОН_ПЛ="",IFERROR(INDEX(БАЗА_ЦІНИ,7,IFERROR(MATCH(ЕТАЛОН_ПЛ,ПЛ_РЯДОК,0),0)),"")=""),"",AQ18-IFERROR(INDEX(БАЗА_ЦІНИ,7,IFERROR(MATCH(ЕТАЛОН_ПЛ,ПЛ_РЯДОК,0),0)),""))</f>
        <v/>
      </c>
      <c r="AR49" s="71" t="str">
        <f aca="false">IF(OR(AQ18="",ЕТАЛОН_ПЛ="",IFERROR(INDEX(БАЗА_ЦІНИ,7,IFERROR(MATCH(ЕТАЛОН_ПЛ,ПЛ_РЯДОК,0),0)),"")="",IFERROR(INDEX(БАЗА_ЦІНИ,7,IFERROR(MATCH(ЕТАЛОН_ПЛ,ПЛ_РЯДОК,0),0)),"")=0),"",AQ18/IFERROR(INDEX(БАЗА_ЦІНИ,7,IFERROR(MATCH(ЕТАЛОН_ПЛ,ПЛ_РЯДОК,0),0)),"")-1)</f>
        <v/>
      </c>
      <c r="AS49" s="70" t="str">
        <f aca="false">IF(OR(AS18="",ЕТАЛОН_ПЛ="",IFERROR(INDEX(БАЗА_ЦІНИ,7,IFERROR(MATCH(ЕТАЛОН_ПЛ,ПЛ_РЯДОК,0),0)),"")=""),"",AS18-IFERROR(INDEX(БАЗА_ЦІНИ,7,IFERROR(MATCH(ЕТАЛОН_ПЛ,ПЛ_РЯДОК,0),0)),""))</f>
        <v/>
      </c>
      <c r="AT49" s="71" t="str">
        <f aca="false">IF(OR(AS18="",ЕТАЛОН_ПЛ="",IFERROR(INDEX(БАЗА_ЦІНИ,7,IFERROR(MATCH(ЕТАЛОН_ПЛ,ПЛ_РЯДОК,0),0)),"")="",IFERROR(INDEX(БАЗА_ЦІНИ,7,IFERROR(MATCH(ЕТАЛОН_ПЛ,ПЛ_РЯДОК,0),0)),"")=0),"",AS18/IFERROR(INDEX(БАЗА_ЦІНИ,7,IFERROR(MATCH(ЕТАЛОН_ПЛ,ПЛ_РЯДОК,0),0)),"")-1)</f>
        <v/>
      </c>
      <c r="AU49" s="70" t="str">
        <f aca="false">IF(OR(AU18="",ЕТАЛОН_ПЛ="",IFERROR(INDEX(БАЗА_ЦІНИ,7,IFERROR(MATCH(ЕТАЛОН_ПЛ,ПЛ_РЯДОК,0),0)),"")=""),"",AU18-IFERROR(INDEX(БАЗА_ЦІНИ,7,IFERROR(MATCH(ЕТАЛОН_ПЛ,ПЛ_РЯДОК,0),0)),""))</f>
        <v/>
      </c>
      <c r="AV49" s="71" t="str">
        <f aca="false">IF(OR(AU18="",ЕТАЛОН_ПЛ="",IFERROR(INDEX(БАЗА_ЦІНИ,7,IFERROR(MATCH(ЕТАЛОН_ПЛ,ПЛ_РЯДОК,0),0)),"")="",IFERROR(INDEX(БАЗА_ЦІНИ,7,IFERROR(MATCH(ЕТАЛОН_ПЛ,ПЛ_РЯДОК,0),0)),"")=0),"",AU18/IFERROR(INDEX(БАЗА_ЦІНИ,7,IFERROR(MATCH(ЕТАЛОН_ПЛ,ПЛ_РЯДОК,0),0)),"")-1)</f>
        <v/>
      </c>
      <c r="AW49" s="70" t="str">
        <f aca="false">IF(OR(AW18="",ЕТАЛОН_ПЛ="",IFERROR(INDEX(БАЗА_ЦІНИ,7,IFERROR(MATCH(ЕТАЛОН_ПЛ,ПЛ_РЯДОК,0),0)),"")=""),"",AW18-IFERROR(INDEX(БАЗА_ЦІНИ,7,IFERROR(MATCH(ЕТАЛОН_ПЛ,ПЛ_РЯДОК,0),0)),""))</f>
        <v/>
      </c>
      <c r="AX49" s="71" t="str">
        <f aca="false">IF(OR(AW18="",ЕТАЛОН_ПЛ="",IFERROR(INDEX(БАЗА_ЦІНИ,7,IFERROR(MATCH(ЕТАЛОН_ПЛ,ПЛ_РЯДОК,0),0)),"")="",IFERROR(INDEX(БАЗА_ЦІНИ,7,IFERROR(MATCH(ЕТАЛОН_ПЛ,ПЛ_РЯДОК,0),0)),"")=0),"",AW18/IFERROR(INDEX(БАЗА_ЦІНИ,7,IFERROR(MATCH(ЕТАЛОН_ПЛ,ПЛ_РЯДОК,0),0)),"")-1)</f>
        <v/>
      </c>
      <c r="AY49" s="70" t="str">
        <f aca="false">IF(OR(AY18="",ЕТАЛОН_ПЛ="",IFERROR(INDEX(БАЗА_ЦІНИ,7,IFERROR(MATCH(ЕТАЛОН_ПЛ,ПЛ_РЯДОК,0),0)),"")=""),"",AY18-IFERROR(INDEX(БАЗА_ЦІНИ,7,IFERROR(MATCH(ЕТАЛОН_ПЛ,ПЛ_РЯДОК,0),0)),""))</f>
        <v/>
      </c>
      <c r="AZ49" s="71" t="str">
        <f aca="false">IF(OR(AY18="",ЕТАЛОН_ПЛ="",IFERROR(INDEX(БАЗА_ЦІНИ,7,IFERROR(MATCH(ЕТАЛОН_ПЛ,ПЛ_РЯДОК,0),0)),"")="",IFERROR(INDEX(БАЗА_ЦІНИ,7,IFERROR(MATCH(ЕТАЛОН_ПЛ,ПЛ_РЯДОК,0),0)),"")=0),"",AY18/IFERROR(INDEX(БАЗА_ЦІНИ,7,IFERROR(MATCH(ЕТАЛОН_ПЛ,ПЛ_РЯДОК,0),0)),"")-1)</f>
        <v/>
      </c>
      <c r="BA49" s="70" t="str">
        <f aca="false">IF(OR(BA18="",ЕТАЛОН_ПЛ="",IFERROR(INDEX(БАЗА_ЦІНИ,7,IFERROR(MATCH(ЕТАЛОН_ПЛ,ПЛ_РЯДОК,0),0)),"")=""),"",BA18-IFERROR(INDEX(БАЗА_ЦІНИ,7,IFERROR(MATCH(ЕТАЛОН_ПЛ,ПЛ_РЯДОК,0),0)),""))</f>
        <v/>
      </c>
      <c r="BB49" s="71" t="str">
        <f aca="false">IF(OR(BA18="",ЕТАЛОН_ПЛ="",IFERROR(INDEX(БАЗА_ЦІНИ,7,IFERROR(MATCH(ЕТАЛОН_ПЛ,ПЛ_РЯДОК,0),0)),"")="",IFERROR(INDEX(БАЗА_ЦІНИ,7,IFERROR(MATCH(ЕТАЛОН_ПЛ,ПЛ_РЯДОК,0),0)),"")=0),"",BA18/IFERROR(INDEX(БАЗА_ЦІНИ,7,IFERROR(MATCH(ЕТАЛОН_ПЛ,ПЛ_РЯДОК,0),0)),"")-1)</f>
        <v/>
      </c>
      <c r="BC49" s="70" t="str">
        <f aca="false">IF(OR(BC18="",ЕТАЛОН_ПЛ="",IFERROR(INDEX(БАЗА_ЦІНИ,7,IFERROR(MATCH(ЕТАЛОН_ПЛ,ПЛ_РЯДОК,0),0)),"")=""),"",BC18-IFERROR(INDEX(БАЗА_ЦІНИ,7,IFERROR(MATCH(ЕТАЛОН_ПЛ,ПЛ_РЯДОК,0),0)),""))</f>
        <v/>
      </c>
      <c r="BD49" s="71" t="str">
        <f aca="false">IF(OR(BC18="",ЕТАЛОН_ПЛ="",IFERROR(INDEX(БАЗА_ЦІНИ,7,IFERROR(MATCH(ЕТАЛОН_ПЛ,ПЛ_РЯДОК,0),0)),"")="",IFERROR(INDEX(БАЗА_ЦІНИ,7,IFERROR(MATCH(ЕТАЛОН_ПЛ,ПЛ_РЯДОК,0),0)),"")=0),"",BC18/IFERROR(INDEX(БАЗА_ЦІНИ,7,IFERROR(MATCH(ЕТАЛОН_ПЛ,ПЛ_РЯДОК,0),0)),"")-1)</f>
        <v/>
      </c>
      <c r="BE49" s="70" t="str">
        <f aca="false">IF(OR(BE18="",ЕТАЛОН_ПЛ="",IFERROR(INDEX(БАЗА_ЦІНИ,7,IFERROR(MATCH(ЕТАЛОН_ПЛ,ПЛ_РЯДОК,0),0)),"")=""),"",BE18-IFERROR(INDEX(БАЗА_ЦІНИ,7,IFERROR(MATCH(ЕТАЛОН_ПЛ,ПЛ_РЯДОК,0),0)),""))</f>
        <v/>
      </c>
      <c r="BF49" s="71" t="str">
        <f aca="false">IF(OR(BE18="",ЕТАЛОН_ПЛ="",IFERROR(INDEX(БАЗА_ЦІНИ,7,IFERROR(MATCH(ЕТАЛОН_ПЛ,ПЛ_РЯДОК,0),0)),"")="",IFERROR(INDEX(БАЗА_ЦІНИ,7,IFERROR(MATCH(ЕТАЛОН_ПЛ,ПЛ_РЯДОК,0),0)),"")=0),"",BE18/IFERROR(INDEX(БАЗА_ЦІНИ,7,IFERROR(MATCH(ЕТАЛОН_ПЛ,ПЛ_РЯДОК,0),0)),"")-1)</f>
        <v/>
      </c>
      <c r="BG49" s="70" t="str">
        <f aca="false">IF(OR(BG18="",ЕТАЛОН_ПЛ="",IFERROR(INDEX(БАЗА_ЦІНИ,7,IFERROR(MATCH(ЕТАЛОН_ПЛ,ПЛ_РЯДОК,0),0)),"")=""),"",BG18-IFERROR(INDEX(БАЗА_ЦІНИ,7,IFERROR(MATCH(ЕТАЛОН_ПЛ,ПЛ_РЯДОК,0),0)),""))</f>
        <v/>
      </c>
      <c r="BH49" s="71" t="str">
        <f aca="false">IF(OR(BG18="",ЕТАЛОН_ПЛ="",IFERROR(INDEX(БАЗА_ЦІНИ,7,IFERROR(MATCH(ЕТАЛОН_ПЛ,ПЛ_РЯДОК,0),0)),"")="",IFERROR(INDEX(БАЗА_ЦІНИ,7,IFERROR(MATCH(ЕТАЛОН_ПЛ,ПЛ_РЯДОК,0),0)),"")=0),"",BG18/IFERROR(INDEX(БАЗА_ЦІНИ,7,IFERROR(MATCH(ЕТАЛОН_ПЛ,ПЛ_РЯДОК,0),0)),"")-1)</f>
        <v/>
      </c>
      <c r="BI49" s="70" t="str">
        <f aca="false">IF(OR(BI18="",ЕТАЛОН_ПЛ="",IFERROR(INDEX(БАЗА_ЦІНИ,7,IFERROR(MATCH(ЕТАЛОН_ПЛ,ПЛ_РЯДОК,0),0)),"")=""),"",BI18-IFERROR(INDEX(БАЗА_ЦІНИ,7,IFERROR(MATCH(ЕТАЛОН_ПЛ,ПЛ_РЯДОК,0),0)),""))</f>
        <v/>
      </c>
      <c r="BJ49" s="71" t="str">
        <f aca="false">IF(OR(BI18="",ЕТАЛОН_ПЛ="",IFERROR(INDEX(БАЗА_ЦІНИ,7,IFERROR(MATCH(ЕТАЛОН_ПЛ,ПЛ_РЯДОК,0),0)),"")="",IFERROR(INDEX(БАЗА_ЦІНИ,7,IFERROR(MATCH(ЕТАЛОН_ПЛ,ПЛ_РЯДОК,0),0)),"")=0),"",BI18/IFERROR(INDEX(БАЗА_ЦІНИ,7,IFERROR(MATCH(ЕТАЛОН_ПЛ,ПЛ_РЯДОК,0),0)),"")-1)</f>
        <v/>
      </c>
      <c r="BK49" s="70" t="str">
        <f aca="false">IF(OR(BK18="",ЕТАЛОН_ПЛ="",IFERROR(INDEX(БАЗА_ЦІНИ,7,IFERROR(MATCH(ЕТАЛОН_ПЛ,ПЛ_РЯДОК,0),0)),"")=""),"",BK18-IFERROR(INDEX(БАЗА_ЦІНИ,7,IFERROR(MATCH(ЕТАЛОН_ПЛ,ПЛ_РЯДОК,0),0)),""))</f>
        <v/>
      </c>
      <c r="BL49" s="71" t="str">
        <f aca="false">IF(OR(BK18="",ЕТАЛОН_ПЛ="",IFERROR(INDEX(БАЗА_ЦІНИ,7,IFERROR(MATCH(ЕТАЛОН_ПЛ,ПЛ_РЯДОК,0),0)),"")="",IFERROR(INDEX(БАЗА_ЦІНИ,7,IFERROR(MATCH(ЕТАЛОН_ПЛ,ПЛ_РЯДОК,0),0)),"")=0),"",BK18/IFERROR(INDEX(БАЗА_ЦІНИ,7,IFERROR(MATCH(ЕТАЛОН_ПЛ,ПЛ_РЯДОК,0),0)),"")-1)</f>
        <v/>
      </c>
      <c r="BM49" s="70" t="str">
        <f aca="false">IF(OR(BM18="",ЕТАЛОН_ПЛ="",IFERROR(INDEX(БАЗА_ЦІНИ,7,IFERROR(MATCH(ЕТАЛОН_ПЛ,ПЛ_РЯДОК,0),0)),"")=""),"",BM18-IFERROR(INDEX(БАЗА_ЦІНИ,7,IFERROR(MATCH(ЕТАЛОН_ПЛ,ПЛ_РЯДОК,0),0)),""))</f>
        <v/>
      </c>
      <c r="BN49" s="71" t="str">
        <f aca="false">IF(OR(BM18="",ЕТАЛОН_ПЛ="",IFERROR(INDEX(БАЗА_ЦІНИ,7,IFERROR(MATCH(ЕТАЛОН_ПЛ,ПЛ_РЯДОК,0),0)),"")="",IFERROR(INDEX(БАЗА_ЦІНИ,7,IFERROR(MATCH(ЕТАЛОН_ПЛ,ПЛ_РЯДОК,0),0)),"")=0),"",BM18/IFERROR(INDEX(БАЗА_ЦІНИ,7,IFERROR(MATCH(ЕТАЛОН_ПЛ,ПЛ_РЯДОК,0),0)),"")-1)</f>
        <v/>
      </c>
      <c r="BO49" s="70" t="str">
        <f aca="false">IF(OR(BO18="",ЕТАЛОН_ПЛ="",IFERROR(INDEX(БАЗА_ЦІНИ,7,IFERROR(MATCH(ЕТАЛОН_ПЛ,ПЛ_РЯДОК,0),0)),"")=""),"",BO18-IFERROR(INDEX(БАЗА_ЦІНИ,7,IFERROR(MATCH(ЕТАЛОН_ПЛ,ПЛ_РЯДОК,0),0)),""))</f>
        <v/>
      </c>
      <c r="BP49" s="71" t="str">
        <f aca="false">IF(OR(BO18="",ЕТАЛОН_ПЛ="",IFERROR(INDEX(БАЗА_ЦІНИ,7,IFERROR(MATCH(ЕТАЛОН_ПЛ,ПЛ_РЯДОК,0),0)),"")="",IFERROR(INDEX(БАЗА_ЦІНИ,7,IFERROR(MATCH(ЕТАЛОН_ПЛ,ПЛ_РЯДОК,0),0)),"")=0),"",BO18/IFERROR(INDEX(БАЗА_ЦІНИ,7,IFERROR(MATCH(ЕТАЛОН_ПЛ,ПЛ_РЯДОК,0),0)),"")-1)</f>
        <v/>
      </c>
      <c r="BQ49" s="70" t="str">
        <f aca="false">IF(OR(BQ18="",ЕТАЛОН_ПЛ="",IFERROR(INDEX(БАЗА_ЦІНИ,7,IFERROR(MATCH(ЕТАЛОН_ПЛ,ПЛ_РЯДОК,0),0)),"")=""),"",BQ18-IFERROR(INDEX(БАЗА_ЦІНИ,7,IFERROR(MATCH(ЕТАЛОН_ПЛ,ПЛ_РЯДОК,0),0)),""))</f>
        <v/>
      </c>
      <c r="BR49" s="71" t="str">
        <f aca="false">IF(OR(BQ18="",ЕТАЛОН_ПЛ="",IFERROR(INDEX(БАЗА_ЦІНИ,7,IFERROR(MATCH(ЕТАЛОН_ПЛ,ПЛ_РЯДОК,0),0)),"")="",IFERROR(INDEX(БАЗА_ЦІНИ,7,IFERROR(MATCH(ЕТАЛОН_ПЛ,ПЛ_РЯДОК,0),0)),"")=0),"",BQ18/IFERROR(INDEX(БАЗА_ЦІНИ,7,IFERROR(MATCH(ЕТАЛОН_ПЛ,ПЛ_РЯДОК,0),0)),"")-1)</f>
        <v/>
      </c>
      <c r="BS49" s="70" t="str">
        <f aca="false">IF(OR(BS18="",ЕТАЛОН_ПЛ="",IFERROR(INDEX(БАЗА_ЦІНИ,7,IFERROR(MATCH(ЕТАЛОН_ПЛ,ПЛ_РЯДОК,0),0)),"")=""),"",BS18-IFERROR(INDEX(БАЗА_ЦІНИ,7,IFERROR(MATCH(ЕТАЛОН_ПЛ,ПЛ_РЯДОК,0),0)),""))</f>
        <v/>
      </c>
      <c r="BT49" s="71" t="str">
        <f aca="false">IF(OR(BS18="",ЕТАЛОН_ПЛ="",IFERROR(INDEX(БАЗА_ЦІНИ,7,IFERROR(MATCH(ЕТАЛОН_ПЛ,ПЛ_РЯДОК,0),0)),"")="",IFERROR(INDEX(БАЗА_ЦІНИ,7,IFERROR(MATCH(ЕТАЛОН_ПЛ,ПЛ_РЯДОК,0),0)),"")=0),"",BS18/IFERROR(INDEX(БАЗА_ЦІНИ,7,IFERROR(MATCH(ЕТАЛОН_ПЛ,ПЛ_РЯДОК,0),0)),"")-1)</f>
        <v/>
      </c>
      <c r="BU49" s="70" t="str">
        <f aca="false">IF(OR(BU18="",ЕТАЛОН_ПЛ="",IFERROR(INDEX(БАЗА_ЦІНИ,7,IFERROR(MATCH(ЕТАЛОН_ПЛ,ПЛ_РЯДОК,0),0)),"")=""),"",BU18-IFERROR(INDEX(БАЗА_ЦІНИ,7,IFERROR(MATCH(ЕТАЛОН_ПЛ,ПЛ_РЯДОК,0),0)),""))</f>
        <v/>
      </c>
      <c r="BV49" s="71" t="str">
        <f aca="false">IF(OR(BU18="",ЕТАЛОН_ПЛ="",IFERROR(INDEX(БАЗА_ЦІНИ,7,IFERROR(MATCH(ЕТАЛОН_ПЛ,ПЛ_РЯДОК,0),0)),"")="",IFERROR(INDEX(БАЗА_ЦІНИ,7,IFERROR(MATCH(ЕТАЛОН_ПЛ,ПЛ_РЯДОК,0),0)),"")=0),"",BU18/IFERROR(INDEX(БАЗА_ЦІНИ,7,IFERROR(MATCH(ЕТАЛОН_ПЛ,ПЛ_РЯДОК,0),0)),"")-1)</f>
        <v/>
      </c>
      <c r="BW49" s="70" t="str">
        <f aca="false">IF(OR(BW18="",ЕТАЛОН_ПЛ="",IFERROR(INDEX(БАЗА_ЦІНИ,7,IFERROR(MATCH(ЕТАЛОН_ПЛ,ПЛ_РЯДОК,0),0)),"")=""),"",BW18-IFERROR(INDEX(БАЗА_ЦІНИ,7,IFERROR(MATCH(ЕТАЛОН_ПЛ,ПЛ_РЯДОК,0),0)),""))</f>
        <v/>
      </c>
      <c r="BX49" s="71" t="str">
        <f aca="false">IF(OR(BW18="",ЕТАЛОН_ПЛ="",IFERROR(INDEX(БАЗА_ЦІНИ,7,IFERROR(MATCH(ЕТАЛОН_ПЛ,ПЛ_РЯДОК,0),0)),"")="",IFERROR(INDEX(БАЗА_ЦІНИ,7,IFERROR(MATCH(ЕТАЛОН_ПЛ,ПЛ_РЯДОК,0),0)),"")=0),"",BW18/IFERROR(INDEX(БАЗА_ЦІНИ,7,IFERROR(MATCH(ЕТАЛОН_ПЛ,ПЛ_РЯДОК,0),0)),"")-1)</f>
        <v/>
      </c>
      <c r="BY49" s="70" t="str">
        <f aca="false">IF(OR(BY18="",ЕТАЛОН_ПЛ="",IFERROR(INDEX(БАЗА_ЦІНИ,7,IFERROR(MATCH(ЕТАЛОН_ПЛ,ПЛ_РЯДОК,0),0)),"")=""),"",BY18-IFERROR(INDEX(БАЗА_ЦІНИ,7,IFERROR(MATCH(ЕТАЛОН_ПЛ,ПЛ_РЯДОК,0),0)),""))</f>
        <v/>
      </c>
      <c r="BZ49" s="71" t="str">
        <f aca="false">IF(OR(BY18="",ЕТАЛОН_ПЛ="",IFERROR(INDEX(БАЗА_ЦІНИ,7,IFERROR(MATCH(ЕТАЛОН_ПЛ,ПЛ_РЯДОК,0),0)),"")="",IFERROR(INDEX(БАЗА_ЦІНИ,7,IFERROR(MATCH(ЕТАЛОН_ПЛ,ПЛ_РЯДОК,0),0)),"")=0),"",BY18/IFERROR(INDEX(БАЗА_ЦІНИ,7,IFERROR(MATCH(ЕТАЛОН_ПЛ,ПЛ_РЯДОК,0),0)),"")-1)</f>
        <v/>
      </c>
      <c r="CA49" s="70" t="str">
        <f aca="false">IF(OR(CA18="",ЕТАЛОН_ПЛ="",IFERROR(INDEX(БАЗА_ЦІНИ,7,IFERROR(MATCH(ЕТАЛОН_ПЛ,ПЛ_РЯДОК,0),0)),"")=""),"",CA18-IFERROR(INDEX(БАЗА_ЦІНИ,7,IFERROR(MATCH(ЕТАЛОН_ПЛ,ПЛ_РЯДОК,0),0)),""))</f>
        <v/>
      </c>
      <c r="CB49" s="71" t="str">
        <f aca="false">IF(OR(CA18="",ЕТАЛОН_ПЛ="",IFERROR(INDEX(БАЗА_ЦІНИ,7,IFERROR(MATCH(ЕТАЛОН_ПЛ,ПЛ_РЯДОК,0),0)),"")="",IFERROR(INDEX(БАЗА_ЦІНИ,7,IFERROR(MATCH(ЕТАЛОН_ПЛ,ПЛ_РЯДОК,0),0)),"")=0),"",CA18/IFERROR(INDEX(БАЗА_ЦІНИ,7,IFERROR(MATCH(ЕТАЛОН_ПЛ,ПЛ_РЯДОК,0),0)),"")-1)</f>
        <v/>
      </c>
      <c r="CC49" s="70" t="str">
        <f aca="false">IF(OR(CC18="",ЕТАЛОН_ПЛ="",IFERROR(INDEX(БАЗА_ЦІНИ,7,IFERROR(MATCH(ЕТАЛОН_ПЛ,ПЛ_РЯДОК,0),0)),"")=""),"",CC18-IFERROR(INDEX(БАЗА_ЦІНИ,7,IFERROR(MATCH(ЕТАЛОН_ПЛ,ПЛ_РЯДОК,0),0)),""))</f>
        <v/>
      </c>
      <c r="CD49" s="71" t="str">
        <f aca="false">IF(OR(CC18="",ЕТАЛОН_ПЛ="",IFERROR(INDEX(БАЗА_ЦІНИ,7,IFERROR(MATCH(ЕТАЛОН_ПЛ,ПЛ_РЯДОК,0),0)),"")="",IFERROR(INDEX(БАЗА_ЦІНИ,7,IFERROR(MATCH(ЕТАЛОН_ПЛ,ПЛ_РЯДОК,0),0)),"")=0),"",CC18/IFERROR(INDEX(БАЗА_ЦІНИ,7,IFERROR(MATCH(ЕТАЛОН_ПЛ,ПЛ_РЯДОК,0),0)),"")-1)</f>
        <v/>
      </c>
      <c r="CE49" s="70" t="str">
        <f aca="false">IF(OR(CE18="",ЕТАЛОН_ПЛ="",IFERROR(INDEX(БАЗА_ЦІНИ,7,IFERROR(MATCH(ЕТАЛОН_ПЛ,ПЛ_РЯДОК,0),0)),"")=""),"",CE18-IFERROR(INDEX(БАЗА_ЦІНИ,7,IFERROR(MATCH(ЕТАЛОН_ПЛ,ПЛ_РЯДОК,0),0)),""))</f>
        <v/>
      </c>
      <c r="CF49" s="71" t="str">
        <f aca="false">IF(OR(CE18="",ЕТАЛОН_ПЛ="",IFERROR(INDEX(БАЗА_ЦІНИ,7,IFERROR(MATCH(ЕТАЛОН_ПЛ,ПЛ_РЯДОК,0),0)),"")="",IFERROR(INDEX(БАЗА_ЦІНИ,7,IFERROR(MATCH(ЕТАЛОН_ПЛ,ПЛ_РЯДОК,0),0)),"")=0),"",CE18/IFERROR(INDEX(БАЗА_ЦІНИ,7,IFERROR(MATCH(ЕТАЛОН_ПЛ,ПЛ_РЯДОК,0),0)),"")-1)</f>
        <v/>
      </c>
      <c r="CG49" s="70" t="str">
        <f aca="false">IF(OR(CG18="",ЕТАЛОН_ПЛ="",IFERROR(INDEX(БАЗА_ЦІНИ,7,IFERROR(MATCH(ЕТАЛОН_ПЛ,ПЛ_РЯДОК,0),0)),"")=""),"",CG18-IFERROR(INDEX(БАЗА_ЦІНИ,7,IFERROR(MATCH(ЕТАЛОН_ПЛ,ПЛ_РЯДОК,0),0)),""))</f>
        <v/>
      </c>
      <c r="CH49" s="71" t="str">
        <f aca="false">IF(OR(CG18="",ЕТАЛОН_ПЛ="",IFERROR(INDEX(БАЗА_ЦІНИ,7,IFERROR(MATCH(ЕТАЛОН_ПЛ,ПЛ_РЯДОК,0),0)),"")="",IFERROR(INDEX(БАЗА_ЦІНИ,7,IFERROR(MATCH(ЕТАЛОН_ПЛ,ПЛ_РЯДОК,0),0)),"")=0),"",CG18/IFERROR(INDEX(БАЗА_ЦІНИ,7,IFERROR(MATCH(ЕТАЛОН_ПЛ,ПЛ_РЯДОК,0),0)),"")-1)</f>
        <v/>
      </c>
      <c r="CI49" s="70" t="str">
        <f aca="false">IF(OR(CI18="",ЕТАЛОН_ПЛ="",IFERROR(INDEX(БАЗА_ЦІНИ,7,IFERROR(MATCH(ЕТАЛОН_ПЛ,ПЛ_РЯДОК,0),0)),"")=""),"",CI18-IFERROR(INDEX(БАЗА_ЦІНИ,7,IFERROR(MATCH(ЕТАЛОН_ПЛ,ПЛ_РЯДОК,0),0)),""))</f>
        <v/>
      </c>
      <c r="CJ49" s="71" t="str">
        <f aca="false">IF(OR(CI18="",ЕТАЛОН_ПЛ="",IFERROR(INDEX(БАЗА_ЦІНИ,7,IFERROR(MATCH(ЕТАЛОН_ПЛ,ПЛ_РЯДОК,0),0)),"")="",IFERROR(INDEX(БАЗА_ЦІНИ,7,IFERROR(MATCH(ЕТАЛОН_ПЛ,ПЛ_РЯДОК,0),0)),"")=0),"",CI18/IFERROR(INDEX(БАЗА_ЦІНИ,7,IFERROR(MATCH(ЕТАЛОН_ПЛ,ПЛ_РЯДОК,0),0)),"")-1)</f>
        <v/>
      </c>
      <c r="CK49" s="70" t="str">
        <f aca="false">IF(OR(CK18="",ЕТАЛОН_ПЛ="",IFERROR(INDEX(БАЗА_ЦІНИ,7,IFERROR(MATCH(ЕТАЛОН_ПЛ,ПЛ_РЯДОК,0),0)),"")=""),"",CK18-IFERROR(INDEX(БАЗА_ЦІНИ,7,IFERROR(MATCH(ЕТАЛОН_ПЛ,ПЛ_РЯДОК,0),0)),""))</f>
        <v/>
      </c>
      <c r="CL49" s="71" t="str">
        <f aca="false">IF(OR(CK18="",ЕТАЛОН_ПЛ="",IFERROR(INDEX(БАЗА_ЦІНИ,7,IFERROR(MATCH(ЕТАЛОН_ПЛ,ПЛ_РЯДОК,0),0)),"")="",IFERROR(INDEX(БАЗА_ЦІНИ,7,IFERROR(MATCH(ЕТАЛОН_ПЛ,ПЛ_РЯДОК,0),0)),"")=0),"",CK18/IFERROR(INDEX(БАЗА_ЦІНИ,7,IFERROR(MATCH(ЕТАЛОН_ПЛ,ПЛ_РЯДОК,0),0)),"")-1)</f>
        <v/>
      </c>
      <c r="CM49" s="70" t="str">
        <f aca="false">IF(OR(CM18="",ЕТАЛОН_ПЛ="",IFERROR(INDEX(БАЗА_ЦІНИ,7,IFERROR(MATCH(ЕТАЛОН_ПЛ,ПЛ_РЯДОК,0),0)),"")=""),"",CM18-IFERROR(INDEX(БАЗА_ЦІНИ,7,IFERROR(MATCH(ЕТАЛОН_ПЛ,ПЛ_РЯДОК,0),0)),""))</f>
        <v/>
      </c>
      <c r="CN49" s="71" t="str">
        <f aca="false">IF(OR(CM18="",ЕТАЛОН_ПЛ="",IFERROR(INDEX(БАЗА_ЦІНИ,7,IFERROR(MATCH(ЕТАЛОН_ПЛ,ПЛ_РЯДОК,0),0)),"")="",IFERROR(INDEX(БАЗА_ЦІНИ,7,IFERROR(MATCH(ЕТАЛОН_ПЛ,ПЛ_РЯДОК,0),0)),"")=0),"",CM18/IFERROR(INDEX(БАЗА_ЦІНИ,7,IFERROR(MATCH(ЕТАЛОН_ПЛ,ПЛ_РЯДОК,0),0)),"")-1)</f>
        <v/>
      </c>
      <c r="CO49" s="70" t="str">
        <f aca="false">IF(OR(CO18="",ЕТАЛОН_ПЛ="",IFERROR(INDEX(БАЗА_ЦІНИ,7,IFERROR(MATCH(ЕТАЛОН_ПЛ,ПЛ_РЯДОК,0),0)),"")=""),"",CO18-IFERROR(INDEX(БАЗА_ЦІНИ,7,IFERROR(MATCH(ЕТАЛОН_ПЛ,ПЛ_РЯДОК,0),0)),""))</f>
        <v/>
      </c>
      <c r="CP49" s="71" t="str">
        <f aca="false">IF(OR(CO18="",ЕТАЛОН_ПЛ="",IFERROR(INDEX(БАЗА_ЦІНИ,7,IFERROR(MATCH(ЕТАЛОН_ПЛ,ПЛ_РЯДОК,0),0)),"")="",IFERROR(INDEX(БАЗА_ЦІНИ,7,IFERROR(MATCH(ЕТАЛОН_ПЛ,ПЛ_РЯДОК,0),0)),"")=0),"",CO18/IFERROR(INDEX(БАЗА_ЦІНИ,7,IFERROR(MATCH(ЕТАЛОН_ПЛ,ПЛ_РЯДОК,0),0)),"")-1)</f>
        <v/>
      </c>
      <c r="CQ49" s="70" t="str">
        <f aca="false">IF(OR(CQ18="",ЕТАЛОН_ПЛ="",IFERROR(INDEX(БАЗА_ЦІНИ,7,IFERROR(MATCH(ЕТАЛОН_ПЛ,ПЛ_РЯДОК,0),0)),"")=""),"",CQ18-IFERROR(INDEX(БАЗА_ЦІНИ,7,IFERROR(MATCH(ЕТАЛОН_ПЛ,ПЛ_РЯДОК,0),0)),""))</f>
        <v/>
      </c>
      <c r="CR49" s="71" t="str">
        <f aca="false">IF(OR(CQ18="",ЕТАЛОН_ПЛ="",IFERROR(INDEX(БАЗА_ЦІНИ,7,IFERROR(MATCH(ЕТАЛОН_ПЛ,ПЛ_РЯДОК,0),0)),"")="",IFERROR(INDEX(БАЗА_ЦІНИ,7,IFERROR(MATCH(ЕТАЛОН_ПЛ,ПЛ_РЯДОК,0),0)),"")=0),"",CQ18/IFERROR(INDEX(БАЗА_ЦІНИ,7,IFERROR(MATCH(ЕТАЛОН_ПЛ,ПЛ_РЯДОК,0),0)),"")-1)</f>
        <v/>
      </c>
      <c r="CS49" s="70" t="str">
        <f aca="false">IF(OR(CS18="",ЕТАЛОН_ПЛ="",IFERROR(INDEX(БАЗА_ЦІНИ,7,IFERROR(MATCH(ЕТАЛОН_ПЛ,ПЛ_РЯДОК,0),0)),"")=""),"",CS18-IFERROR(INDEX(БАЗА_ЦІНИ,7,IFERROR(MATCH(ЕТАЛОН_ПЛ,ПЛ_РЯДОК,0),0)),""))</f>
        <v/>
      </c>
      <c r="CT49" s="71" t="str">
        <f aca="false">IF(OR(CS18="",ЕТАЛОН_ПЛ="",IFERROR(INDEX(БАЗА_ЦІНИ,7,IFERROR(MATCH(ЕТАЛОН_ПЛ,ПЛ_РЯДОК,0),0)),"")="",IFERROR(INDEX(БАЗА_ЦІНИ,7,IFERROR(MATCH(ЕТАЛОН_ПЛ,ПЛ_РЯДОК,0),0)),"")=0),"",CS18/IFERROR(INDEX(БАЗА_ЦІНИ,7,IFERROR(MATCH(ЕТАЛОН_ПЛ,ПЛ_РЯДОК,0),0)),"")-1)</f>
        <v/>
      </c>
      <c r="CU49" s="70" t="str">
        <f aca="false">IF(OR(CU18="",ЕТАЛОН_ПЛ="",IFERROR(INDEX(БАЗА_ЦІНИ,7,IFERROR(MATCH(ЕТАЛОН_ПЛ,ПЛ_РЯДОК,0),0)),"")=""),"",CU18-IFERROR(INDEX(БАЗА_ЦІНИ,7,IFERROR(MATCH(ЕТАЛОН_ПЛ,ПЛ_РЯДОК,0),0)),""))</f>
        <v/>
      </c>
      <c r="CV49" s="71" t="str">
        <f aca="false">IF(OR(CU18="",ЕТАЛОН_ПЛ="",IFERROR(INDEX(БАЗА_ЦІНИ,7,IFERROR(MATCH(ЕТАЛОН_ПЛ,ПЛ_РЯДОК,0),0)),"")="",IFERROR(INDEX(БАЗА_ЦІНИ,7,IFERROR(MATCH(ЕТАЛОН_ПЛ,ПЛ_РЯДОК,0),0)),"")=0),"",CU18/IFERROR(INDEX(БАЗА_ЦІНИ,7,IFERROR(MATCH(ЕТАЛОН_ПЛ,ПЛ_РЯДОК,0),0)),"")-1)</f>
        <v/>
      </c>
      <c r="CW49" s="70" t="str">
        <f aca="false">IF(OR(CW18="",ЕТАЛОН_ПЛ="",IFERROR(INDEX(БАЗА_ЦІНИ,7,IFERROR(MATCH(ЕТАЛОН_ПЛ,ПЛ_РЯДОК,0),0)),"")=""),"",CW18-IFERROR(INDEX(БАЗА_ЦІНИ,7,IFERROR(MATCH(ЕТАЛОН_ПЛ,ПЛ_РЯДОК,0),0)),""))</f>
        <v/>
      </c>
      <c r="CX49" s="71" t="str">
        <f aca="false">IF(OR(CW18="",ЕТАЛОН_ПЛ="",IFERROR(INDEX(БАЗА_ЦІНИ,7,IFERROR(MATCH(ЕТАЛОН_ПЛ,ПЛ_РЯДОК,0),0)),"")="",IFERROR(INDEX(БАЗА_ЦІНИ,7,IFERROR(MATCH(ЕТАЛОН_ПЛ,ПЛ_РЯДОК,0),0)),"")=0),"",CW18/IFERROR(INDEX(БАЗА_ЦІНИ,7,IFERROR(MATCH(ЕТАЛОН_ПЛ,ПЛ_РЯДОК,0),0)),"")-1)</f>
        <v/>
      </c>
      <c r="CY49" s="70" t="str">
        <f aca="false">IF(OR(CY18="",ЕТАЛОН_ПЛ="",IFERROR(INDEX(БАЗА_ЦІНИ,7,IFERROR(MATCH(ЕТАЛОН_ПЛ,ПЛ_РЯДОК,0),0)),"")=""),"",CY18-IFERROR(INDEX(БАЗА_ЦІНИ,7,IFERROR(MATCH(ЕТАЛОН_ПЛ,ПЛ_РЯДОК,0),0)),""))</f>
        <v/>
      </c>
      <c r="CZ49" s="71" t="str">
        <f aca="false">IF(OR(CY18="",ЕТАЛОН_ПЛ="",IFERROR(INDEX(БАЗА_ЦІНИ,7,IFERROR(MATCH(ЕТАЛОН_ПЛ,ПЛ_РЯДОК,0),0)),"")="",IFERROR(INDEX(БАЗА_ЦІНИ,7,IFERROR(MATCH(ЕТАЛОН_ПЛ,ПЛ_РЯДОК,0),0)),"")=0),"",CY18/IFERROR(INDEX(БАЗА_ЦІНИ,7,IFERROR(MATCH(ЕТАЛОН_ПЛ,ПЛ_РЯДОК,0),0)),"")-1)</f>
        <v/>
      </c>
      <c r="DA49" s="70" t="str">
        <f aca="false">IF(OR(DA18="",ЕТАЛОН_ПЛ="",IFERROR(INDEX(БАЗА_ЦІНИ,7,IFERROR(MATCH(ЕТАЛОН_ПЛ,ПЛ_РЯДОК,0),0)),"")=""),"",DA18-IFERROR(INDEX(БАЗА_ЦІНИ,7,IFERROR(MATCH(ЕТАЛОН_ПЛ,ПЛ_РЯДОК,0),0)),""))</f>
        <v/>
      </c>
      <c r="DB49" s="71" t="str">
        <f aca="false">IF(OR(DA18="",ЕТАЛОН_ПЛ="",IFERROR(INDEX(БАЗА_ЦІНИ,7,IFERROR(MATCH(ЕТАЛОН_ПЛ,ПЛ_РЯДОК,0),0)),"")="",IFERROR(INDEX(БАЗА_ЦІНИ,7,IFERROR(MATCH(ЕТАЛОН_ПЛ,ПЛ_РЯДОК,0),0)),"")=0),"",DA18/IFERROR(INDEX(БАЗА_ЦІНИ,7,IFERROR(MATCH(ЕТАЛОН_ПЛ,ПЛ_РЯДОК,0),0)),"")-1)</f>
        <v/>
      </c>
      <c r="DC49" s="70" t="str">
        <f aca="false">IF(OR(DC18="",ЕТАЛОН_ПЛ="",IFERROR(INDEX(БАЗА_ЦІНИ,7,IFERROR(MATCH(ЕТАЛОН_ПЛ,ПЛ_РЯДОК,0),0)),"")=""),"",DC18-IFERROR(INDEX(БАЗА_ЦІНИ,7,IFERROR(MATCH(ЕТАЛОН_ПЛ,ПЛ_РЯДОК,0),0)),""))</f>
        <v/>
      </c>
      <c r="DD49" s="71" t="str">
        <f aca="false">IF(OR(DC18="",ЕТАЛОН_ПЛ="",IFERROR(INDEX(БАЗА_ЦІНИ,7,IFERROR(MATCH(ЕТАЛОН_ПЛ,ПЛ_РЯДОК,0),0)),"")="",IFERROR(INDEX(БАЗА_ЦІНИ,7,IFERROR(MATCH(ЕТАЛОН_ПЛ,ПЛ_РЯДОК,0),0)),"")=0),"",DC18/IFERROR(INDEX(БАЗА_ЦІНИ,7,IFERROR(MATCH(ЕТАЛОН_ПЛ,ПЛ_РЯДОК,0),0)),"")-1)</f>
        <v/>
      </c>
      <c r="DE49" s="70" t="str">
        <f aca="false">IF(OR(DE18="",ЕТАЛОН_ПЛ="",IFERROR(INDEX(БАЗА_ЦІНИ,7,IFERROR(MATCH(ЕТАЛОН_ПЛ,ПЛ_РЯДОК,0),0)),"")=""),"",DE18-IFERROR(INDEX(БАЗА_ЦІНИ,7,IFERROR(MATCH(ЕТАЛОН_ПЛ,ПЛ_РЯДОК,0),0)),""))</f>
        <v/>
      </c>
      <c r="DF49" s="71" t="str">
        <f aca="false">IF(OR(DE18="",ЕТАЛОН_ПЛ="",IFERROR(INDEX(БАЗА_ЦІНИ,7,IFERROR(MATCH(ЕТАЛОН_ПЛ,ПЛ_РЯДОК,0),0)),"")="",IFERROR(INDEX(БАЗА_ЦІНИ,7,IFERROR(MATCH(ЕТАЛОН_ПЛ,ПЛ_РЯДОК,0),0)),"")=0),"",DE18/IFERROR(INDEX(БАЗА_ЦІНИ,7,IFERROR(MATCH(ЕТАЛОН_ПЛ,ПЛ_РЯДОК,0),0)),"")-1)</f>
        <v/>
      </c>
      <c r="DG49" s="70" t="str">
        <f aca="false">IF(OR(DG18="",ЕТАЛОН_ПЛ="",IFERROR(INDEX(БАЗА_ЦІНИ,7,IFERROR(MATCH(ЕТАЛОН_ПЛ,ПЛ_РЯДОК,0),0)),"")=""),"",DG18-IFERROR(INDEX(БАЗА_ЦІНИ,7,IFERROR(MATCH(ЕТАЛОН_ПЛ,ПЛ_РЯДОК,0),0)),""))</f>
        <v/>
      </c>
      <c r="DH49" s="71" t="str">
        <f aca="false">IF(OR(DG18="",ЕТАЛОН_ПЛ="",IFERROR(INDEX(БАЗА_ЦІНИ,7,IFERROR(MATCH(ЕТАЛОН_ПЛ,ПЛ_РЯДОК,0),0)),"")="",IFERROR(INDEX(БАЗА_ЦІНИ,7,IFERROR(MATCH(ЕТАЛОН_ПЛ,ПЛ_РЯДОК,0),0)),"")=0),"",DG18/IFERROR(INDEX(БАЗА_ЦІНИ,7,IFERROR(MATCH(ЕТАЛОН_ПЛ,ПЛ_РЯДОК,0),0)),"")-1)</f>
        <v/>
      </c>
      <c r="DI49" s="70" t="str">
        <f aca="false">IF(OR(DI18="",ЕТАЛОН_ПЛ="",IFERROR(INDEX(БАЗА_ЦІНИ,7,IFERROR(MATCH(ЕТАЛОН_ПЛ,ПЛ_РЯДОК,0),0)),"")=""),"",DI18-IFERROR(INDEX(БАЗА_ЦІНИ,7,IFERROR(MATCH(ЕТАЛОН_ПЛ,ПЛ_РЯДОК,0),0)),""))</f>
        <v/>
      </c>
      <c r="DJ49" s="71" t="str">
        <f aca="false">IF(OR(DI18="",ЕТАЛОН_ПЛ="",IFERROR(INDEX(БАЗА_ЦІНИ,7,IFERROR(MATCH(ЕТАЛОН_ПЛ,ПЛ_РЯДОК,0),0)),"")="",IFERROR(INDEX(БАЗА_ЦІНИ,7,IFERROR(MATCH(ЕТАЛОН_ПЛ,ПЛ_РЯДОК,0),0)),"")=0),"",DI18/IFERROR(INDEX(БАЗА_ЦІНИ,7,IFERROR(MATCH(ЕТАЛОН_ПЛ,ПЛ_РЯДОК,0),0)),"")-1)</f>
        <v/>
      </c>
      <c r="DK49" s="70" t="str">
        <f aca="false">IF(OR(DK18="",ЕТАЛОН_ПЛ="",IFERROR(INDEX(БАЗА_ЦІНИ,7,IFERROR(MATCH(ЕТАЛОН_ПЛ,ПЛ_РЯДОК,0),0)),"")=""),"",DK18-IFERROR(INDEX(БАЗА_ЦІНИ,7,IFERROR(MATCH(ЕТАЛОН_ПЛ,ПЛ_РЯДОК,0),0)),""))</f>
        <v/>
      </c>
      <c r="DL49" s="71" t="str">
        <f aca="false">IF(OR(DK18="",ЕТАЛОН_ПЛ="",IFERROR(INDEX(БАЗА_ЦІНИ,7,IFERROR(MATCH(ЕТАЛОН_ПЛ,ПЛ_РЯДОК,0),0)),"")="",IFERROR(INDEX(БАЗА_ЦІНИ,7,IFERROR(MATCH(ЕТАЛОН_ПЛ,ПЛ_РЯДОК,0),0)),"")=0),"",DK18/IFERROR(INDEX(БАЗА_ЦІНИ,7,IFERROR(MATCH(ЕТАЛОН_ПЛ,ПЛ_РЯДОК,0),0)),"")-1)</f>
        <v/>
      </c>
      <c r="DM49" s="70" t="str">
        <f aca="false">IF(OR(DM18="",ЕТАЛОН_ПЛ="",IFERROR(INDEX(БАЗА_ЦІНИ,7,IFERROR(MATCH(ЕТАЛОН_ПЛ,ПЛ_РЯДОК,0),0)),"")=""),"",DM18-IFERROR(INDEX(БАЗА_ЦІНИ,7,IFERROR(MATCH(ЕТАЛОН_ПЛ,ПЛ_РЯДОК,0),0)),""))</f>
        <v/>
      </c>
      <c r="DN49" s="71" t="str">
        <f aca="false">IF(OR(DM18="",ЕТАЛОН_ПЛ="",IFERROR(INDEX(БАЗА_ЦІНИ,7,IFERROR(MATCH(ЕТАЛОН_ПЛ,ПЛ_РЯДОК,0),0)),"")="",IFERROR(INDEX(БАЗА_ЦІНИ,7,IFERROR(MATCH(ЕТАЛОН_ПЛ,ПЛ_РЯДОК,0),0)),"")=0),"",DM18/IFERROR(INDEX(БАЗА_ЦІНИ,7,IFERROR(MATCH(ЕТАЛОН_ПЛ,ПЛ_РЯДОК,0),0)),"")-1)</f>
        <v/>
      </c>
      <c r="DO49" s="70" t="str">
        <f aca="false">IF(OR(DO18="",ЕТАЛОН_ПЛ="",IFERROR(INDEX(БАЗА_ЦІНИ,7,IFERROR(MATCH(ЕТАЛОН_ПЛ,ПЛ_РЯДОК,0),0)),"")=""),"",DO18-IFERROR(INDEX(БАЗА_ЦІНИ,7,IFERROR(MATCH(ЕТАЛОН_ПЛ,ПЛ_РЯДОК,0),0)),""))</f>
        <v/>
      </c>
      <c r="DP49" s="71" t="str">
        <f aca="false">IF(OR(DO18="",ЕТАЛОН_ПЛ="",IFERROR(INDEX(БАЗА_ЦІНИ,7,IFERROR(MATCH(ЕТАЛОН_ПЛ,ПЛ_РЯДОК,0),0)),"")="",IFERROR(INDEX(БАЗА_ЦІНИ,7,IFERROR(MATCH(ЕТАЛОН_ПЛ,ПЛ_РЯДОК,0),0)),"")=0),"",DO18/IFERROR(INDEX(БАЗА_ЦІНИ,7,IFERROR(MATCH(ЕТАЛОН_ПЛ,ПЛ_РЯДОК,0),0)),"")-1)</f>
        <v/>
      </c>
      <c r="DQ49" s="70" t="str">
        <f aca="false">IF(OR(DQ18="",ЕТАЛОН_ПЛ="",IFERROR(INDEX(БАЗА_ЦІНИ,7,IFERROR(MATCH(ЕТАЛОН_ПЛ,ПЛ_РЯДОК,0),0)),"")=""),"",DQ18-IFERROR(INDEX(БАЗА_ЦІНИ,7,IFERROR(MATCH(ЕТАЛОН_ПЛ,ПЛ_РЯДОК,0),0)),""))</f>
        <v/>
      </c>
      <c r="DR49" s="71" t="str">
        <f aca="false">IF(OR(DQ18="",ЕТАЛОН_ПЛ="",IFERROR(INDEX(БАЗА_ЦІНИ,7,IFERROR(MATCH(ЕТАЛОН_ПЛ,ПЛ_РЯДОК,0),0)),"")="",IFERROR(INDEX(БАЗА_ЦІНИ,7,IFERROR(MATCH(ЕТАЛОН_ПЛ,ПЛ_РЯДОК,0),0)),"")=0),"",DQ18/IFERROR(INDEX(БАЗА_ЦІНИ,7,IFERROR(MATCH(ЕТАЛОН_ПЛ,ПЛ_РЯДОК,0),0)),"")-1)</f>
        <v/>
      </c>
      <c r="DS49" s="70" t="str">
        <f aca="false">IF(OR(DS18="",ЕТАЛОН_ПЛ="",IFERROR(INDEX(БАЗА_ЦІНИ,7,IFERROR(MATCH(ЕТАЛОН_ПЛ,ПЛ_РЯДОК,0),0)),"")=""),"",DS18-IFERROR(INDEX(БАЗА_ЦІНИ,7,IFERROR(MATCH(ЕТАЛОН_ПЛ,ПЛ_РЯДОК,0),0)),""))</f>
        <v/>
      </c>
      <c r="DT49" s="71" t="str">
        <f aca="false">IF(OR(DS18="",ЕТАЛОН_ПЛ="",IFERROR(INDEX(БАЗА_ЦІНИ,7,IFERROR(MATCH(ЕТАЛОН_ПЛ,ПЛ_РЯДОК,0),0)),"")="",IFERROR(INDEX(БАЗА_ЦІНИ,7,IFERROR(MATCH(ЕТАЛОН_ПЛ,ПЛ_РЯДОК,0),0)),"")=0),"",DS18/IFERROR(INDEX(БАЗА_ЦІНИ,7,IFERROR(MATCH(ЕТАЛОН_ПЛ,ПЛ_РЯДОК,0),0)),"")-1)</f>
        <v/>
      </c>
      <c r="DU49" s="70" t="str">
        <f aca="false">IF(OR(DU18="",ЕТАЛОН_ПЛ="",IFERROR(INDEX(БАЗА_ЦІНИ,7,IFERROR(MATCH(ЕТАЛОН_ПЛ,ПЛ_РЯДОК,0),0)),"")=""),"",DU18-IFERROR(INDEX(БАЗА_ЦІНИ,7,IFERROR(MATCH(ЕТАЛОН_ПЛ,ПЛ_РЯДОК,0),0)),""))</f>
        <v/>
      </c>
      <c r="DV49" s="71" t="str">
        <f aca="false">IF(OR(DU18="",ЕТАЛОН_ПЛ="",IFERROR(INDEX(БАЗА_ЦІНИ,7,IFERROR(MATCH(ЕТАЛОН_ПЛ,ПЛ_РЯДОК,0),0)),"")="",IFERROR(INDEX(БАЗА_ЦІНИ,7,IFERROR(MATCH(ЕТАЛОН_ПЛ,ПЛ_РЯДОК,0),0)),"")=0),"",DU18/IFERROR(INDEX(БАЗА_ЦІНИ,7,IFERROR(MATCH(ЕТАЛОН_ПЛ,ПЛ_РЯДОК,0),0)),"")-1)</f>
        <v/>
      </c>
      <c r="DW49" s="70" t="str">
        <f aca="false">IF(OR(DW18="",ЕТАЛОН_ПЛ="",IFERROR(INDEX(БАЗА_ЦІНИ,7,IFERROR(MATCH(ЕТАЛОН_ПЛ,ПЛ_РЯДОК,0),0)),"")=""),"",DW18-IFERROR(INDEX(БАЗА_ЦІНИ,7,IFERROR(MATCH(ЕТАЛОН_ПЛ,ПЛ_РЯДОК,0),0)),""))</f>
        <v/>
      </c>
      <c r="DX49" s="71" t="str">
        <f aca="false">IF(OR(DW18="",ЕТАЛОН_ПЛ="",IFERROR(INDEX(БАЗА_ЦІНИ,7,IFERROR(MATCH(ЕТАЛОН_ПЛ,ПЛ_РЯДОК,0),0)),"")="",IFERROR(INDEX(БАЗА_ЦІНИ,7,IFERROR(MATCH(ЕТАЛОН_ПЛ,ПЛ_РЯДОК,0),0)),"")=0),"",DW18/IFERROR(INDEX(БАЗА_ЦІНИ,7,IFERROR(MATCH(ЕТАЛОН_ПЛ,ПЛ_РЯДОК,0),0)),"")-1)</f>
        <v/>
      </c>
      <c r="DY49" s="70" t="str">
        <f aca="false">IF(OR(DY18="",ЕТАЛОН_ПЛ="",IFERROR(INDEX(БАЗА_ЦІНИ,7,IFERROR(MATCH(ЕТАЛОН_ПЛ,ПЛ_РЯДОК,0),0)),"")=""),"",DY18-IFERROR(INDEX(БАЗА_ЦІНИ,7,IFERROR(MATCH(ЕТАЛОН_ПЛ,ПЛ_РЯДОК,0),0)),""))</f>
        <v/>
      </c>
      <c r="DZ49" s="71" t="str">
        <f aca="false">IF(OR(DY18="",ЕТАЛОН_ПЛ="",IFERROR(INDEX(БАЗА_ЦІНИ,7,IFERROR(MATCH(ЕТАЛОН_ПЛ,ПЛ_РЯДОК,0),0)),"")="",IFERROR(INDEX(БАЗА_ЦІНИ,7,IFERROR(MATCH(ЕТАЛОН_ПЛ,ПЛ_РЯДОК,0),0)),"")=0),"",DY18/IFERROR(INDEX(БАЗА_ЦІНИ,7,IFERROR(MATCH(ЕТАЛОН_ПЛ,ПЛ_РЯДОК,0),0)),"")-1)</f>
        <v/>
      </c>
      <c r="EA49" s="70" t="str">
        <f aca="false">IF(OR(EA18="",ЕТАЛОН_ПЛ="",IFERROR(INDEX(БАЗА_ЦІНИ,7,IFERROR(MATCH(ЕТАЛОН_ПЛ,ПЛ_РЯДОК,0),0)),"")=""),"",EA18-IFERROR(INDEX(БАЗА_ЦІНИ,7,IFERROR(MATCH(ЕТАЛОН_ПЛ,ПЛ_РЯДОК,0),0)),""))</f>
        <v/>
      </c>
      <c r="EB49" s="71" t="str">
        <f aca="false">IF(OR(EA18="",ЕТАЛОН_ПЛ="",IFERROR(INDEX(БАЗА_ЦІНИ,7,IFERROR(MATCH(ЕТАЛОН_ПЛ,ПЛ_РЯДОК,0),0)),"")="",IFERROR(INDEX(БАЗА_ЦІНИ,7,IFERROR(MATCH(ЕТАЛОН_ПЛ,ПЛ_РЯДОК,0),0)),"")=0),"",EA18/IFERROR(INDEX(БАЗА_ЦІНИ,7,IFERROR(MATCH(ЕТАЛОН_ПЛ,ПЛ_РЯДОК,0),0)),"")-1)</f>
        <v/>
      </c>
      <c r="EC49" s="70" t="str">
        <f aca="false">IF(OR(EC18="",ЕТАЛОН_ПЛ="",IFERROR(INDEX(БАЗА_ЦІНИ,7,IFERROR(MATCH(ЕТАЛОН_ПЛ,ПЛ_РЯДОК,0),0)),"")=""),"",EC18-IFERROR(INDEX(БАЗА_ЦІНИ,7,IFERROR(MATCH(ЕТАЛОН_ПЛ,ПЛ_РЯДОК,0),0)),""))</f>
        <v/>
      </c>
      <c r="ED49" s="71" t="str">
        <f aca="false">IF(OR(EC18="",ЕТАЛОН_ПЛ="",IFERROR(INDEX(БАЗА_ЦІНИ,7,IFERROR(MATCH(ЕТАЛОН_ПЛ,ПЛ_РЯДОК,0),0)),"")="",IFERROR(INDEX(БАЗА_ЦІНИ,7,IFERROR(MATCH(ЕТАЛОН_ПЛ,ПЛ_РЯДОК,0),0)),"")=0),"",EC18/IFERROR(INDEX(БАЗА_ЦІНИ,7,IFERROR(MATCH(ЕТАЛОН_ПЛ,ПЛ_РЯДОК,0),0)),"")-1)</f>
        <v/>
      </c>
      <c r="EE49" s="70" t="str">
        <f aca="false">IF(OR(EE18="",ЕТАЛОН_ПЛ="",IFERROR(INDEX(БАЗА_ЦІНИ,7,IFERROR(MATCH(ЕТАЛОН_ПЛ,ПЛ_РЯДОК,0),0)),"")=""),"",EE18-IFERROR(INDEX(БАЗА_ЦІНИ,7,IFERROR(MATCH(ЕТАЛОН_ПЛ,ПЛ_РЯДОК,0),0)),""))</f>
        <v/>
      </c>
      <c r="EF49" s="71" t="str">
        <f aca="false">IF(OR(EE18="",ЕТАЛОН_ПЛ="",IFERROR(INDEX(БАЗА_ЦІНИ,7,IFERROR(MATCH(ЕТАЛОН_ПЛ,ПЛ_РЯДОК,0),0)),"")="",IFERROR(INDEX(БАЗА_ЦІНИ,7,IFERROR(MATCH(ЕТАЛОН_ПЛ,ПЛ_РЯДОК,0),0)),"")=0),"",EE18/IFERROR(INDEX(БАЗА_ЦІНИ,7,IFERROR(MATCH(ЕТАЛОН_ПЛ,ПЛ_РЯДОК,0),0)),"")-1)</f>
        <v/>
      </c>
      <c r="EG49" s="70" t="str">
        <f aca="false">IF(OR(EG18="",ЕТАЛОН_ПЛ="",IFERROR(INDEX(БАЗА_ЦІНИ,7,IFERROR(MATCH(ЕТАЛОН_ПЛ,ПЛ_РЯДОК,0),0)),"")=""),"",EG18-IFERROR(INDEX(БАЗА_ЦІНИ,7,IFERROR(MATCH(ЕТАЛОН_ПЛ,ПЛ_РЯДОК,0),0)),""))</f>
        <v/>
      </c>
      <c r="EH49" s="71" t="str">
        <f aca="false">IF(OR(EG18="",ЕТАЛОН_ПЛ="",IFERROR(INDEX(БАЗА_ЦІНИ,7,IFERROR(MATCH(ЕТАЛОН_ПЛ,ПЛ_РЯДОК,0),0)),"")="",IFERROR(INDEX(БАЗА_ЦІНИ,7,IFERROR(MATCH(ЕТАЛОН_ПЛ,ПЛ_РЯДОК,0),0)),"")=0),"",EG18/IFERROR(INDEX(БАЗА_ЦІНИ,7,IFERROR(MATCH(ЕТАЛОН_ПЛ,ПЛ_РЯДОК,0),0)),"")-1)</f>
        <v/>
      </c>
      <c r="EI49" s="70" t="str">
        <f aca="false">IF(OR(EI18="",ЕТАЛОН_ПЛ="",IFERROR(INDEX(БАЗА_ЦІНИ,7,IFERROR(MATCH(ЕТАЛОН_ПЛ,ПЛ_РЯДОК,0),0)),"")=""),"",EI18-IFERROR(INDEX(БАЗА_ЦІНИ,7,IFERROR(MATCH(ЕТАЛОН_ПЛ,ПЛ_РЯДОК,0),0)),""))</f>
        <v/>
      </c>
      <c r="EJ49" s="71" t="str">
        <f aca="false">IF(OR(EI18="",ЕТАЛОН_ПЛ="",IFERROR(INDEX(БАЗА_ЦІНИ,7,IFERROR(MATCH(ЕТАЛОН_ПЛ,ПЛ_РЯДОК,0),0)),"")="",IFERROR(INDEX(БАЗА_ЦІНИ,7,IFERROR(MATCH(ЕТАЛОН_ПЛ,ПЛ_РЯДОК,0),0)),"")=0),"",EI18/IFERROR(INDEX(БАЗА_ЦІНИ,7,IFERROR(MATCH(ЕТАЛОН_ПЛ,ПЛ_РЯДОК,0),0)),"")-1)</f>
        <v/>
      </c>
      <c r="EK49" s="70" t="str">
        <f aca="false">IF(OR(EK18="",ЕТАЛОН_ПЛ="",IFERROR(INDEX(БАЗА_ЦІНИ,7,IFERROR(MATCH(ЕТАЛОН_ПЛ,ПЛ_РЯДОК,0),0)),"")=""),"",EK18-IFERROR(INDEX(БАЗА_ЦІНИ,7,IFERROR(MATCH(ЕТАЛОН_ПЛ,ПЛ_РЯДОК,0),0)),""))</f>
        <v/>
      </c>
      <c r="EL49" s="71" t="str">
        <f aca="false">IF(OR(EK18="",ЕТАЛОН_ПЛ="",IFERROR(INDEX(БАЗА_ЦІНИ,7,IFERROR(MATCH(ЕТАЛОН_ПЛ,ПЛ_РЯДОК,0),0)),"")="",IFERROR(INDEX(БАЗА_ЦІНИ,7,IFERROR(MATCH(ЕТАЛОН_ПЛ,ПЛ_РЯДОК,0),0)),"")=0),"",EK18/IFERROR(INDEX(БАЗА_ЦІНИ,7,IFERROR(MATCH(ЕТАЛОН_ПЛ,ПЛ_РЯДОК,0),0)),"")-1)</f>
        <v/>
      </c>
      <c r="EM49" s="70" t="str">
        <f aca="false">IF(OR(EM18="",ЕТАЛОН_ПЛ="",IFERROR(INDEX(БАЗА_ЦІНИ,7,IFERROR(MATCH(ЕТАЛОН_ПЛ,ПЛ_РЯДОК,0),0)),"")=""),"",EM18-IFERROR(INDEX(БАЗА_ЦІНИ,7,IFERROR(MATCH(ЕТАЛОН_ПЛ,ПЛ_РЯДОК,0),0)),""))</f>
        <v/>
      </c>
      <c r="EN49" s="71" t="str">
        <f aca="false">IF(OR(EM18="",ЕТАЛОН_ПЛ="",IFERROR(INDEX(БАЗА_ЦІНИ,7,IFERROR(MATCH(ЕТАЛОН_ПЛ,ПЛ_РЯДОК,0),0)),"")="",IFERROR(INDEX(БАЗА_ЦІНИ,7,IFERROR(MATCH(ЕТАЛОН_ПЛ,ПЛ_РЯДОК,0),0)),"")=0),"",EM18/IFERROR(INDEX(БАЗА_ЦІНИ,7,IFERROR(MATCH(ЕТАЛОН_ПЛ,ПЛ_РЯДОК,0),0)),"")-1)</f>
        <v/>
      </c>
      <c r="EO49" s="70" t="str">
        <f aca="false">IF(OR(EO18="",ЕТАЛОН_ПЛ="",IFERROR(INDEX(БАЗА_ЦІНИ,7,IFERROR(MATCH(ЕТАЛОН_ПЛ,ПЛ_РЯДОК,0),0)),"")=""),"",EO18-IFERROR(INDEX(БАЗА_ЦІНИ,7,IFERROR(MATCH(ЕТАЛОН_ПЛ,ПЛ_РЯДОК,0),0)),""))</f>
        <v/>
      </c>
      <c r="EP49" s="71" t="str">
        <f aca="false">IF(OR(EO18="",ЕТАЛОН_ПЛ="",IFERROR(INDEX(БАЗА_ЦІНИ,7,IFERROR(MATCH(ЕТАЛОН_ПЛ,ПЛ_РЯДОК,0),0)),"")="",IFERROR(INDEX(БАЗА_ЦІНИ,7,IFERROR(MATCH(ЕТАЛОН_ПЛ,ПЛ_РЯДОК,0),0)),"")=0),"",EO18/IFERROR(INDEX(БАЗА_ЦІНИ,7,IFERROR(MATCH(ЕТАЛОН_ПЛ,ПЛ_РЯДОК,0),0)),"")-1)</f>
        <v/>
      </c>
      <c r="EQ49" s="70" t="str">
        <f aca="false">IF(OR(EQ18="",ЕТАЛОН_ПЛ="",IFERROR(INDEX(БАЗА_ЦІНИ,7,IFERROR(MATCH(ЕТАЛОН_ПЛ,ПЛ_РЯДОК,0),0)),"")=""),"",EQ18-IFERROR(INDEX(БАЗА_ЦІНИ,7,IFERROR(MATCH(ЕТАЛОН_ПЛ,ПЛ_РЯДОК,0),0)),""))</f>
        <v/>
      </c>
      <c r="ER49" s="71" t="str">
        <f aca="false">IF(OR(EQ18="",ЕТАЛОН_ПЛ="",IFERROR(INDEX(БАЗА_ЦІНИ,7,IFERROR(MATCH(ЕТАЛОН_ПЛ,ПЛ_РЯДОК,0),0)),"")="",IFERROR(INDEX(БАЗА_ЦІНИ,7,IFERROR(MATCH(ЕТАЛОН_ПЛ,ПЛ_РЯДОК,0),0)),"")=0),"",EQ18/IFERROR(INDEX(БАЗА_ЦІНИ,7,IFERROR(MATCH(ЕТАЛОН_ПЛ,ПЛ_РЯДОК,0),0)),"")-1)</f>
        <v/>
      </c>
      <c r="ES49" s="70" t="str">
        <f aca="false">IF(OR(ES18="",ЕТАЛОН_ПЛ="",IFERROR(INDEX(БАЗА_ЦІНИ,7,IFERROR(MATCH(ЕТАЛОН_ПЛ,ПЛ_РЯДОК,0),0)),"")=""),"",ES18-IFERROR(INDEX(БАЗА_ЦІНИ,7,IFERROR(MATCH(ЕТАЛОН_ПЛ,ПЛ_РЯДОК,0),0)),""))</f>
        <v/>
      </c>
      <c r="ET49" s="71" t="str">
        <f aca="false">IF(OR(ES18="",ЕТАЛОН_ПЛ="",IFERROR(INDEX(БАЗА_ЦІНИ,7,IFERROR(MATCH(ЕТАЛОН_ПЛ,ПЛ_РЯДОК,0),0)),"")="",IFERROR(INDEX(БАЗА_ЦІНИ,7,IFERROR(MATCH(ЕТАЛОН_ПЛ,ПЛ_РЯДОК,0),0)),"")=0),"",ES18/IFERROR(INDEX(БАЗА_ЦІНИ,7,IFERROR(MATCH(ЕТАЛОН_ПЛ,ПЛ_РЯДОК,0),0)),"")-1)</f>
        <v/>
      </c>
      <c r="EU49" s="70" t="str">
        <f aca="false">IF(OR(EU18="",ЕТАЛОН_ПЛ="",IFERROR(INDEX(БАЗА_ЦІНИ,7,IFERROR(MATCH(ЕТАЛОН_ПЛ,ПЛ_РЯДОК,0),0)),"")=""),"",EU18-IFERROR(INDEX(БАЗА_ЦІНИ,7,IFERROR(MATCH(ЕТАЛОН_ПЛ,ПЛ_РЯДОК,0),0)),""))</f>
        <v/>
      </c>
      <c r="EV49" s="71" t="str">
        <f aca="false">IF(OR(EU18="",ЕТАЛОН_ПЛ="",IFERROR(INDEX(БАЗА_ЦІНИ,7,IFERROR(MATCH(ЕТАЛОН_ПЛ,ПЛ_РЯДОК,0),0)),"")="",IFERROR(INDEX(БАЗА_ЦІНИ,7,IFERROR(MATCH(ЕТАЛОН_ПЛ,ПЛ_РЯДОК,0),0)),"")=0),"",EU18/IFERROR(INDEX(БАЗА_ЦІНИ,7,IFERROR(MATCH(ЕТАЛОН_ПЛ,ПЛ_РЯДОК,0),0)),"")-1)</f>
        <v/>
      </c>
      <c r="EW49" s="70" t="str">
        <f aca="false">IF(OR(EW18="",ЕТАЛОН_ПЛ="",IFERROR(INDEX(БАЗА_ЦІНИ,7,IFERROR(MATCH(ЕТАЛОН_ПЛ,ПЛ_РЯДОК,0),0)),"")=""),"",EW18-IFERROR(INDEX(БАЗА_ЦІНИ,7,IFERROR(MATCH(ЕТАЛОН_ПЛ,ПЛ_РЯДОК,0),0)),""))</f>
        <v/>
      </c>
      <c r="EX49" s="71" t="str">
        <f aca="false">IF(OR(EW18="",ЕТАЛОН_ПЛ="",IFERROR(INDEX(БАЗА_ЦІНИ,7,IFERROR(MATCH(ЕТАЛОН_ПЛ,ПЛ_РЯДОК,0),0)),"")="",IFERROR(INDEX(БАЗА_ЦІНИ,7,IFERROR(MATCH(ЕТАЛОН_ПЛ,ПЛ_РЯДОК,0),0)),"")=0),"",EW18/IFERROR(INDEX(БАЗА_ЦІНИ,7,IFERROR(MATCH(ЕТАЛОН_ПЛ,ПЛ_РЯДОК,0),0)),"")-1)</f>
        <v/>
      </c>
      <c r="EY49" s="70" t="str">
        <f aca="false">IF(OR(EY18="",ЕТАЛОН_ПЛ="",IFERROR(INDEX(БАЗА_ЦІНИ,7,IFERROR(MATCH(ЕТАЛОН_ПЛ,ПЛ_РЯДОК,0),0)),"")=""),"",EY18-IFERROR(INDEX(БАЗА_ЦІНИ,7,IFERROR(MATCH(ЕТАЛОН_ПЛ,ПЛ_РЯДОК,0),0)),""))</f>
        <v/>
      </c>
      <c r="EZ49" s="71" t="str">
        <f aca="false">IF(OR(EY18="",ЕТАЛОН_ПЛ="",IFERROR(INDEX(БАЗА_ЦІНИ,7,IFERROR(MATCH(ЕТАЛОН_ПЛ,ПЛ_РЯДОК,0),0)),"")="",IFERROR(INDEX(БАЗА_ЦІНИ,7,IFERROR(MATCH(ЕТАЛОН_ПЛ,ПЛ_РЯДОК,0),0)),"")=0),"",EY18/IFERROR(INDEX(БАЗА_ЦІНИ,7,IFERROR(MATCH(ЕТАЛОН_ПЛ,ПЛ_РЯДОК,0),0)),"")-1)</f>
        <v/>
      </c>
      <c r="FA49" s="70" t="str">
        <f aca="false">IF(OR(FA18="",ЕТАЛОН_ПЛ="",IFERROR(INDEX(БАЗА_ЦІНИ,7,IFERROR(MATCH(ЕТАЛОН_ПЛ,ПЛ_РЯДОК,0),0)),"")=""),"",FA18-IFERROR(INDEX(БАЗА_ЦІНИ,7,IFERROR(MATCH(ЕТАЛОН_ПЛ,ПЛ_РЯДОК,0),0)),""))</f>
        <v/>
      </c>
      <c r="FB49" s="71" t="str">
        <f aca="false">IF(OR(FA18="",ЕТАЛОН_ПЛ="",IFERROR(INDEX(БАЗА_ЦІНИ,7,IFERROR(MATCH(ЕТАЛОН_ПЛ,ПЛ_РЯДОК,0),0)),"")="",IFERROR(INDEX(БАЗА_ЦІНИ,7,IFERROR(MATCH(ЕТАЛОН_ПЛ,ПЛ_РЯДОК,0),0)),"")=0),"",FA18/IFERROR(INDEX(БАЗА_ЦІНИ,7,IFERROR(MATCH(ЕТАЛОН_ПЛ,ПЛ_РЯДОК,0),0)),"")-1)</f>
        <v/>
      </c>
      <c r="FC49" s="70" t="str">
        <f aca="false">IF(OR(FC18="",ЕТАЛОН_ПЛ="",IFERROR(INDEX(БАЗА_ЦІНИ,7,IFERROR(MATCH(ЕТАЛОН_ПЛ,ПЛ_РЯДОК,0),0)),"")=""),"",FC18-IFERROR(INDEX(БАЗА_ЦІНИ,7,IFERROR(MATCH(ЕТАЛОН_ПЛ,ПЛ_РЯДОК,0),0)),""))</f>
        <v/>
      </c>
      <c r="FD49" s="71" t="str">
        <f aca="false">IF(OR(FC18="",ЕТАЛОН_ПЛ="",IFERROR(INDEX(БАЗА_ЦІНИ,7,IFERROR(MATCH(ЕТАЛОН_ПЛ,ПЛ_РЯДОК,0),0)),"")="",IFERROR(INDEX(БАЗА_ЦІНИ,7,IFERROR(MATCH(ЕТАЛОН_ПЛ,ПЛ_РЯДОК,0),0)),"")=0),"",FC18/IFERROR(INDEX(БАЗА_ЦІНИ,7,IFERROR(MATCH(ЕТАЛОН_ПЛ,ПЛ_РЯДОК,0),0)),"")-1)</f>
        <v/>
      </c>
      <c r="FE49" s="70" t="str">
        <f aca="false">IF(OR(FE18="",ЕТАЛОН_ПЛ="",IFERROR(INDEX(БАЗА_ЦІНИ,7,IFERROR(MATCH(ЕТАЛОН_ПЛ,ПЛ_РЯДОК,0),0)),"")=""),"",FE18-IFERROR(INDEX(БАЗА_ЦІНИ,7,IFERROR(MATCH(ЕТАЛОН_ПЛ,ПЛ_РЯДОК,0),0)),""))</f>
        <v/>
      </c>
      <c r="FF49" s="71" t="str">
        <f aca="false">IF(OR(FE18="",ЕТАЛОН_ПЛ="",IFERROR(INDEX(БАЗА_ЦІНИ,7,IFERROR(MATCH(ЕТАЛОН_ПЛ,ПЛ_РЯДОК,0),0)),"")="",IFERROR(INDEX(БАЗА_ЦІНИ,7,IFERROR(MATCH(ЕТАЛОН_ПЛ,ПЛ_РЯДОК,0),0)),"")=0),"",FE18/IFERROR(INDEX(БАЗА_ЦІНИ,7,IFERROR(MATCH(ЕТАЛОН_ПЛ,ПЛ_РЯДОК,0),0)),"")-1)</f>
        <v/>
      </c>
      <c r="FG49" s="70" t="str">
        <f aca="false">IF(OR(FG18="",ЕТАЛОН_ПЛ="",IFERROR(INDEX(БАЗА_ЦІНИ,7,IFERROR(MATCH(ЕТАЛОН_ПЛ,ПЛ_РЯДОК,0),0)),"")=""),"",FG18-IFERROR(INDEX(БАЗА_ЦІНИ,7,IFERROR(MATCH(ЕТАЛОН_ПЛ,ПЛ_РЯДОК,0),0)),""))</f>
        <v/>
      </c>
      <c r="FH49" s="71" t="str">
        <f aca="false">IF(OR(FG18="",ЕТАЛОН_ПЛ="",IFERROR(INDEX(БАЗА_ЦІНИ,7,IFERROR(MATCH(ЕТАЛОН_ПЛ,ПЛ_РЯДОК,0),0)),"")="",IFERROR(INDEX(БАЗА_ЦІНИ,7,IFERROR(MATCH(ЕТАЛОН_ПЛ,ПЛ_РЯДОК,0),0)),"")=0),"",FG18/IFERROR(INDEX(БАЗА_ЦІНИ,7,IFERROR(MATCH(ЕТАЛОН_ПЛ,ПЛ_РЯДОК,0),0)),"")-1)</f>
        <v/>
      </c>
      <c r="FI49" s="70" t="str">
        <f aca="false">IF(OR(FI18="",ЕТАЛОН_ПЛ="",IFERROR(INDEX(БАЗА_ЦІНИ,7,IFERROR(MATCH(ЕТАЛОН_ПЛ,ПЛ_РЯДОК,0),0)),"")=""),"",FI18-IFERROR(INDEX(БАЗА_ЦІНИ,7,IFERROR(MATCH(ЕТАЛОН_ПЛ,ПЛ_РЯДОК,0),0)),""))</f>
        <v/>
      </c>
      <c r="FJ49" s="71" t="str">
        <f aca="false">IF(OR(FI18="",ЕТАЛОН_ПЛ="",IFERROR(INDEX(БАЗА_ЦІНИ,7,IFERROR(MATCH(ЕТАЛОН_ПЛ,ПЛ_РЯДОК,0),0)),"")="",IFERROR(INDEX(БАЗА_ЦІНИ,7,IFERROR(MATCH(ЕТАЛОН_ПЛ,ПЛ_РЯДОК,0),0)),"")=0),"",FI18/IFERROR(INDEX(БАЗА_ЦІНИ,7,IFERROR(MATCH(ЕТАЛОН_ПЛ,ПЛ_РЯДОК,0),0)),"")-1)</f>
        <v/>
      </c>
      <c r="FK49" s="70" t="str">
        <f aca="false">IF(OR(FK18="",ЕТАЛОН_ПЛ="",IFERROR(INDEX(БАЗА_ЦІНИ,7,IFERROR(MATCH(ЕТАЛОН_ПЛ,ПЛ_РЯДОК,0),0)),"")=""),"",FK18-IFERROR(INDEX(БАЗА_ЦІНИ,7,IFERROR(MATCH(ЕТАЛОН_ПЛ,ПЛ_РЯДОК,0),0)),""))</f>
        <v/>
      </c>
      <c r="FL49" s="71" t="str">
        <f aca="false">IF(OR(FK18="",ЕТАЛОН_ПЛ="",IFERROR(INDEX(БАЗА_ЦІНИ,7,IFERROR(MATCH(ЕТАЛОН_ПЛ,ПЛ_РЯДОК,0),0)),"")="",IFERROR(INDEX(БАЗА_ЦІНИ,7,IFERROR(MATCH(ЕТАЛОН_ПЛ,ПЛ_РЯДОК,0),0)),"")=0),"",FK18/IFERROR(INDEX(БАЗА_ЦІНИ,7,IFERROR(MATCH(ЕТАЛОН_ПЛ,ПЛ_РЯДОК,0),0)),"")-1)</f>
        <v/>
      </c>
      <c r="FM49" s="70" t="str">
        <f aca="false">IF(OR(FM18="",ЕТАЛОН_ПЛ="",IFERROR(INDEX(БАЗА_ЦІНИ,7,IFERROR(MATCH(ЕТАЛОН_ПЛ,ПЛ_РЯДОК,0),0)),"")=""),"",FM18-IFERROR(INDEX(БАЗА_ЦІНИ,7,IFERROR(MATCH(ЕТАЛОН_ПЛ,ПЛ_РЯДОК,0),0)),""))</f>
        <v/>
      </c>
      <c r="FN49" s="71" t="str">
        <f aca="false">IF(OR(FM18="",ЕТАЛОН_ПЛ="",IFERROR(INDEX(БАЗА_ЦІНИ,7,IFERROR(MATCH(ЕТАЛОН_ПЛ,ПЛ_РЯДОК,0),0)),"")="",IFERROR(INDEX(БАЗА_ЦІНИ,7,IFERROR(MATCH(ЕТАЛОН_ПЛ,ПЛ_РЯДОК,0),0)),"")=0),"",FM18/IFERROR(INDEX(БАЗА_ЦІНИ,7,IFERROR(MATCH(ЕТАЛОН_ПЛ,ПЛ_РЯДОК,0),0)),"")-1)</f>
        <v/>
      </c>
      <c r="FO49" s="70" t="str">
        <f aca="false">IF(OR(FO18="",ЕТАЛОН_ПЛ="",IFERROR(INDEX(БАЗА_ЦІНИ,7,IFERROR(MATCH(ЕТАЛОН_ПЛ,ПЛ_РЯДОК,0),0)),"")=""),"",FO18-IFERROR(INDEX(БАЗА_ЦІНИ,7,IFERROR(MATCH(ЕТАЛОН_ПЛ,ПЛ_РЯДОК,0),0)),""))</f>
        <v/>
      </c>
      <c r="FP49" s="71" t="str">
        <f aca="false">IF(OR(FO18="",ЕТАЛОН_ПЛ="",IFERROR(INDEX(БАЗА_ЦІНИ,7,IFERROR(MATCH(ЕТАЛОН_ПЛ,ПЛ_РЯДОК,0),0)),"")="",IFERROR(INDEX(БАЗА_ЦІНИ,7,IFERROR(MATCH(ЕТАЛОН_ПЛ,ПЛ_РЯДОК,0),0)),"")=0),"",FO18/IFERROR(INDEX(БАЗА_ЦІНИ,7,IFERROR(MATCH(ЕТАЛОН_ПЛ,ПЛ_РЯДОК,0),0)),"")-1)</f>
        <v/>
      </c>
      <c r="FQ49" s="70" t="str">
        <f aca="false">IF(OR(FQ18="",ЕТАЛОН_ПЛ="",IFERROR(INDEX(БАЗА_ЦІНИ,7,IFERROR(MATCH(ЕТАЛОН_ПЛ,ПЛ_РЯДОК,0),0)),"")=""),"",FQ18-IFERROR(INDEX(БАЗА_ЦІНИ,7,IFERROR(MATCH(ЕТАЛОН_ПЛ,ПЛ_РЯДОК,0),0)),""))</f>
        <v/>
      </c>
      <c r="FR49" s="71" t="str">
        <f aca="false">IF(OR(FQ18="",ЕТАЛОН_ПЛ="",IFERROR(INDEX(БАЗА_ЦІНИ,7,IFERROR(MATCH(ЕТАЛОН_ПЛ,ПЛ_РЯДОК,0),0)),"")="",IFERROR(INDEX(БАЗА_ЦІНИ,7,IFERROR(MATCH(ЕТАЛОН_ПЛ,ПЛ_РЯДОК,0),0)),"")=0),"",FQ18/IFERROR(INDEX(БАЗА_ЦІНИ,7,IFERROR(MATCH(ЕТАЛОН_ПЛ,ПЛ_РЯДОК,0),0)),"")-1)</f>
        <v/>
      </c>
      <c r="FS49" s="70" t="str">
        <f aca="false">IF(OR(FS18="",ЕТАЛОН_ПЛ="",IFERROR(INDEX(БАЗА_ЦІНИ,7,IFERROR(MATCH(ЕТАЛОН_ПЛ,ПЛ_РЯДОК,0),0)),"")=""),"",FS18-IFERROR(INDEX(БАЗА_ЦІНИ,7,IFERROR(MATCH(ЕТАЛОН_ПЛ,ПЛ_РЯДОК,0),0)),""))</f>
        <v/>
      </c>
      <c r="FT49" s="71" t="str">
        <f aca="false">IF(OR(FS18="",ЕТАЛОН_ПЛ="",IFERROR(INDEX(БАЗА_ЦІНИ,7,IFERROR(MATCH(ЕТАЛОН_ПЛ,ПЛ_РЯДОК,0),0)),"")="",IFERROR(INDEX(БАЗА_ЦІНИ,7,IFERROR(MATCH(ЕТАЛОН_ПЛ,ПЛ_РЯДОК,0),0)),"")=0),"",FS18/IFERROR(INDEX(БАЗА_ЦІНИ,7,IFERROR(MATCH(ЕТАЛОН_ПЛ,ПЛ_РЯДОК,0),0)),"")-1)</f>
        <v/>
      </c>
      <c r="FU49" s="70" t="str">
        <f aca="false">IF(OR(FU18="",ЕТАЛОН_ПЛ="",IFERROR(INDEX(БАЗА_ЦІНИ,7,IFERROR(MATCH(ЕТАЛОН_ПЛ,ПЛ_РЯДОК,0),0)),"")=""),"",FU18-IFERROR(INDEX(БАЗА_ЦІНИ,7,IFERROR(MATCH(ЕТАЛОН_ПЛ,ПЛ_РЯДОК,0),0)),""))</f>
        <v/>
      </c>
      <c r="FV49" s="71" t="str">
        <f aca="false">IF(OR(FU18="",ЕТАЛОН_ПЛ="",IFERROR(INDEX(БАЗА_ЦІНИ,7,IFERROR(MATCH(ЕТАЛОН_ПЛ,ПЛ_РЯДОК,0),0)),"")="",IFERROR(INDEX(БАЗА_ЦІНИ,7,IFERROR(MATCH(ЕТАЛОН_ПЛ,ПЛ_РЯДОК,0),0)),"")=0),"",FU18/IFERROR(INDEX(БАЗА_ЦІНИ,7,IFERROR(MATCH(ЕТАЛОН_ПЛ,ПЛ_РЯДОК,0),0)),"")-1)</f>
        <v/>
      </c>
      <c r="FW49" s="70" t="str">
        <f aca="false">IF(OR(FW18="",ЕТАЛОН_ПЛ="",IFERROR(INDEX(БАЗА_ЦІНИ,7,IFERROR(MATCH(ЕТАЛОН_ПЛ,ПЛ_РЯДОК,0),0)),"")=""),"",FW18-IFERROR(INDEX(БАЗА_ЦІНИ,7,IFERROR(MATCH(ЕТАЛОН_ПЛ,ПЛ_РЯДОК,0),0)),""))</f>
        <v/>
      </c>
      <c r="FX49" s="71" t="str">
        <f aca="false">IF(OR(FW18="",ЕТАЛОН_ПЛ="",IFERROR(INDEX(БАЗА_ЦІНИ,7,IFERROR(MATCH(ЕТАЛОН_ПЛ,ПЛ_РЯДОК,0),0)),"")="",IFERROR(INDEX(БАЗА_ЦІНИ,7,IFERROR(MATCH(ЕТАЛОН_ПЛ,ПЛ_РЯДОК,0),0)),"")=0),"",FW18/IFERROR(INDEX(БАЗА_ЦІНИ,7,IFERROR(MATCH(ЕТАЛОН_ПЛ,ПЛ_РЯДОК,0),0)),"")-1)</f>
        <v/>
      </c>
      <c r="FY49" s="70" t="str">
        <f aca="false">IF(OR(FY18="",ЕТАЛОН_ПЛ="",IFERROR(INDEX(БАЗА_ЦІНИ,7,IFERROR(MATCH(ЕТАЛОН_ПЛ,ПЛ_РЯДОК,0),0)),"")=""),"",FY18-IFERROR(INDEX(БАЗА_ЦІНИ,7,IFERROR(MATCH(ЕТАЛОН_ПЛ,ПЛ_РЯДОК,0),0)),""))</f>
        <v/>
      </c>
      <c r="FZ49" s="71" t="str">
        <f aca="false">IF(OR(FY18="",ЕТАЛОН_ПЛ="",IFERROR(INDEX(БАЗА_ЦІНИ,7,IFERROR(MATCH(ЕТАЛОН_ПЛ,ПЛ_РЯДОК,0),0)),"")="",IFERROR(INDEX(БАЗА_ЦІНИ,7,IFERROR(MATCH(ЕТАЛОН_ПЛ,ПЛ_РЯДОК,0),0)),"")=0),"",FY18/IFERROR(INDEX(БАЗА_ЦІНИ,7,IFERROR(MATCH(ЕТАЛОН_ПЛ,ПЛ_РЯДОК,0),0)),"")-1)</f>
        <v/>
      </c>
      <c r="GA49" s="70" t="str">
        <f aca="false">IF(OR(GA18="",ЕТАЛОН_ПЛ="",IFERROR(INDEX(БАЗА_ЦІНИ,7,IFERROR(MATCH(ЕТАЛОН_ПЛ,ПЛ_РЯДОК,0),0)),"")=""),"",GA18-IFERROR(INDEX(БАЗА_ЦІНИ,7,IFERROR(MATCH(ЕТАЛОН_ПЛ,ПЛ_РЯДОК,0),0)),""))</f>
        <v/>
      </c>
      <c r="GB49" s="71" t="str">
        <f aca="false">IF(OR(GA18="",ЕТАЛОН_ПЛ="",IFERROR(INDEX(БАЗА_ЦІНИ,7,IFERROR(MATCH(ЕТАЛОН_ПЛ,ПЛ_РЯДОК,0),0)),"")="",IFERROR(INDEX(БАЗА_ЦІНИ,7,IFERROR(MATCH(ЕТАЛОН_ПЛ,ПЛ_РЯДОК,0),0)),"")=0),"",GA18/IFERROR(INDEX(БАЗА_ЦІНИ,7,IFERROR(MATCH(ЕТАЛОН_ПЛ,ПЛ_РЯДОК,0),0)),"")-1)</f>
        <v/>
      </c>
      <c r="GC49" s="70" t="str">
        <f aca="false">IF(OR(GC18="",ЕТАЛОН_ПЛ="",IFERROR(INDEX(БАЗА_ЦІНИ,7,IFERROR(MATCH(ЕТАЛОН_ПЛ,ПЛ_РЯДОК,0),0)),"")=""),"",GC18-IFERROR(INDEX(БАЗА_ЦІНИ,7,IFERROR(MATCH(ЕТАЛОН_ПЛ,ПЛ_РЯДОК,0),0)),""))</f>
        <v/>
      </c>
      <c r="GD49" s="71" t="str">
        <f aca="false">IF(OR(GC18="",ЕТАЛОН_ПЛ="",IFERROR(INDEX(БАЗА_ЦІНИ,7,IFERROR(MATCH(ЕТАЛОН_ПЛ,ПЛ_РЯДОК,0),0)),"")="",IFERROR(INDEX(БАЗА_ЦІНИ,7,IFERROR(MATCH(ЕТАЛОН_ПЛ,ПЛ_РЯДОК,0),0)),"")=0),"",GC18/IFERROR(INDEX(БАЗА_ЦІНИ,7,IFERROR(MATCH(ЕТАЛОН_ПЛ,ПЛ_РЯДОК,0),0)),"")-1)</f>
        <v/>
      </c>
      <c r="GE49" s="70" t="str">
        <f aca="false">IF(OR(GE18="",ЕТАЛОН_ПЛ="",IFERROR(INDEX(БАЗА_ЦІНИ,7,IFERROR(MATCH(ЕТАЛОН_ПЛ,ПЛ_РЯДОК,0),0)),"")=""),"",GE18-IFERROR(INDEX(БАЗА_ЦІНИ,7,IFERROR(MATCH(ЕТАЛОН_ПЛ,ПЛ_РЯДОК,0),0)),""))</f>
        <v/>
      </c>
      <c r="GF49" s="71" t="str">
        <f aca="false">IF(OR(GE18="",ЕТАЛОН_ПЛ="",IFERROR(INDEX(БАЗА_ЦІНИ,7,IFERROR(MATCH(ЕТАЛОН_ПЛ,ПЛ_РЯДОК,0),0)),"")="",IFERROR(INDEX(БАЗА_ЦІНИ,7,IFERROR(MATCH(ЕТАЛОН_ПЛ,ПЛ_РЯДОК,0),0)),"")=0),"",GE18/IFERROR(INDEX(БАЗА_ЦІНИ,7,IFERROR(MATCH(ЕТАЛОН_ПЛ,ПЛ_РЯДОК,0),0)),"")-1)</f>
        <v/>
      </c>
      <c r="GG49" s="70" t="str">
        <f aca="false">IF(OR(GG18="",ЕТАЛОН_ПЛ="",IFERROR(INDEX(БАЗА_ЦІНИ,7,IFERROR(MATCH(ЕТАЛОН_ПЛ,ПЛ_РЯДОК,0),0)),"")=""),"",GG18-IFERROR(INDEX(БАЗА_ЦІНИ,7,IFERROR(MATCH(ЕТАЛОН_ПЛ,ПЛ_РЯДОК,0),0)),""))</f>
        <v/>
      </c>
      <c r="GH49" s="71" t="str">
        <f aca="false">IF(OR(GG18="",ЕТАЛОН_ПЛ="",IFERROR(INDEX(БАЗА_ЦІНИ,7,IFERROR(MATCH(ЕТАЛОН_ПЛ,ПЛ_РЯДОК,0),0)),"")="",IFERROR(INDEX(БАЗА_ЦІНИ,7,IFERROR(MATCH(ЕТАЛОН_ПЛ,ПЛ_РЯДОК,0),0)),"")=0),"",GG18/IFERROR(INDEX(БАЗА_ЦІНИ,7,IFERROR(MATCH(ЕТАЛОН_ПЛ,ПЛ_РЯДОК,0),0)),"")-1)</f>
        <v/>
      </c>
      <c r="GI49" s="70" t="str">
        <f aca="false">IF(OR(GI18="",ЕТАЛОН_ПЛ="",IFERROR(INDEX(БАЗА_ЦІНИ,7,IFERROR(MATCH(ЕТАЛОН_ПЛ,ПЛ_РЯДОК,0),0)),"")=""),"",GI18-IFERROR(INDEX(БАЗА_ЦІНИ,7,IFERROR(MATCH(ЕТАЛОН_ПЛ,ПЛ_РЯДОК,0),0)),""))</f>
        <v/>
      </c>
      <c r="GJ49" s="71" t="str">
        <f aca="false">IF(OR(GI18="",ЕТАЛОН_ПЛ="",IFERROR(INDEX(БАЗА_ЦІНИ,7,IFERROR(MATCH(ЕТАЛОН_ПЛ,ПЛ_РЯДОК,0),0)),"")="",IFERROR(INDEX(БАЗА_ЦІНИ,7,IFERROR(MATCH(ЕТАЛОН_ПЛ,ПЛ_РЯДОК,0),0)),"")=0),"",GI18/IFERROR(INDEX(БАЗА_ЦІНИ,7,IFERROR(MATCH(ЕТАЛОН_ПЛ,ПЛ_РЯДОК,0),0)),"")-1)</f>
        <v/>
      </c>
      <c r="GK49" s="70" t="str">
        <f aca="false">IF(OR(GK18="",ЕТАЛОН_ПЛ="",IFERROR(INDEX(БАЗА_ЦІНИ,7,IFERROR(MATCH(ЕТАЛОН_ПЛ,ПЛ_РЯДОК,0),0)),"")=""),"",GK18-IFERROR(INDEX(БАЗА_ЦІНИ,7,IFERROR(MATCH(ЕТАЛОН_ПЛ,ПЛ_РЯДОК,0),0)),""))</f>
        <v/>
      </c>
      <c r="GL49" s="71" t="str">
        <f aca="false">IF(OR(GK18="",ЕТАЛОН_ПЛ="",IFERROR(INDEX(БАЗА_ЦІНИ,7,IFERROR(MATCH(ЕТАЛОН_ПЛ,ПЛ_РЯДОК,0),0)),"")="",IFERROR(INDEX(БАЗА_ЦІНИ,7,IFERROR(MATCH(ЕТАЛОН_ПЛ,ПЛ_РЯДОК,0),0)),"")=0),"",GK18/IFERROR(INDEX(БАЗА_ЦІНИ,7,IFERROR(MATCH(ЕТАЛОН_ПЛ,ПЛ_РЯДОК,0),0)),"")-1)</f>
        <v/>
      </c>
      <c r="GM49" s="70" t="str">
        <f aca="false">IF(OR(GM18="",ЕТАЛОН_ПЛ="",IFERROR(INDEX(БАЗА_ЦІНИ,7,IFERROR(MATCH(ЕТАЛОН_ПЛ,ПЛ_РЯДОК,0),0)),"")=""),"",GM18-IFERROR(INDEX(БАЗА_ЦІНИ,7,IFERROR(MATCH(ЕТАЛОН_ПЛ,ПЛ_РЯДОК,0),0)),""))</f>
        <v/>
      </c>
      <c r="GN49" s="71" t="str">
        <f aca="false">IF(OR(GM18="",ЕТАЛОН_ПЛ="",IFERROR(INDEX(БАЗА_ЦІНИ,7,IFERROR(MATCH(ЕТАЛОН_ПЛ,ПЛ_РЯДОК,0),0)),"")="",IFERROR(INDEX(БАЗА_ЦІНИ,7,IFERROR(MATCH(ЕТАЛОН_ПЛ,ПЛ_РЯДОК,0),0)),"")=0),"",GM18/IFERROR(INDEX(БАЗА_ЦІНИ,7,IFERROR(MATCH(ЕТАЛОН_ПЛ,ПЛ_РЯДОК,0),0)),"")-1)</f>
        <v/>
      </c>
      <c r="GO49" s="70" t="str">
        <f aca="false">IF(OR(GO18="",ЕТАЛОН_ПЛ="",IFERROR(INDEX(БАЗА_ЦІНИ,7,IFERROR(MATCH(ЕТАЛОН_ПЛ,ПЛ_РЯДОК,0),0)),"")=""),"",GO18-IFERROR(INDEX(БАЗА_ЦІНИ,7,IFERROR(MATCH(ЕТАЛОН_ПЛ,ПЛ_РЯДОК,0),0)),""))</f>
        <v/>
      </c>
      <c r="GP49" s="71" t="str">
        <f aca="false">IF(OR(GO18="",ЕТАЛОН_ПЛ="",IFERROR(INDEX(БАЗА_ЦІНИ,7,IFERROR(MATCH(ЕТАЛОН_ПЛ,ПЛ_РЯДОК,0),0)),"")="",IFERROR(INDEX(БАЗА_ЦІНИ,7,IFERROR(MATCH(ЕТАЛОН_ПЛ,ПЛ_РЯДОК,0),0)),"")=0),"",GO18/IFERROR(INDEX(БАЗА_ЦІНИ,7,IFERROR(MATCH(ЕТАЛОН_ПЛ,ПЛ_РЯДОК,0),0)),"")-1)</f>
        <v/>
      </c>
      <c r="GQ49" s="70" t="str">
        <f aca="false">IF(OR(GQ18="",ЕТАЛОН_ПЛ="",IFERROR(INDEX(БАЗА_ЦІНИ,7,IFERROR(MATCH(ЕТАЛОН_ПЛ,ПЛ_РЯДОК,0),0)),"")=""),"",GQ18-IFERROR(INDEX(БАЗА_ЦІНИ,7,IFERROR(MATCH(ЕТАЛОН_ПЛ,ПЛ_РЯДОК,0),0)),""))</f>
        <v/>
      </c>
      <c r="GR49" s="71" t="str">
        <f aca="false">IF(OR(GQ18="",ЕТАЛОН_ПЛ="",IFERROR(INDEX(БАЗА_ЦІНИ,7,IFERROR(MATCH(ЕТАЛОН_ПЛ,ПЛ_РЯДОК,0),0)),"")="",IFERROR(INDEX(БАЗА_ЦІНИ,7,IFERROR(MATCH(ЕТАЛОН_ПЛ,ПЛ_РЯДОК,0),0)),"")=0),"",GQ18/IFERROR(INDEX(БАЗА_ЦІНИ,7,IFERROR(MATCH(ЕТАЛОН_ПЛ,ПЛ_РЯДОК,0),0)),"")-1)</f>
        <v/>
      </c>
      <c r="GS49" s="70" t="str">
        <f aca="false">IF(OR(GS18="",ЕТАЛОН_ПЛ="",IFERROR(INDEX(БАЗА_ЦІНИ,7,IFERROR(MATCH(ЕТАЛОН_ПЛ,ПЛ_РЯДОК,0),0)),"")=""),"",GS18-IFERROR(INDEX(БАЗА_ЦІНИ,7,IFERROR(MATCH(ЕТАЛОН_ПЛ,ПЛ_РЯДОК,0),0)),""))</f>
        <v/>
      </c>
      <c r="GT49" s="71" t="str">
        <f aca="false">IF(OR(GS18="",ЕТАЛОН_ПЛ="",IFERROR(INDEX(БАЗА_ЦІНИ,7,IFERROR(MATCH(ЕТАЛОН_ПЛ,ПЛ_РЯДОК,0),0)),"")="",IFERROR(INDEX(БАЗА_ЦІНИ,7,IFERROR(MATCH(ЕТАЛОН_ПЛ,ПЛ_РЯДОК,0),0)),"")=0),"",GS18/IFERROR(INDEX(БАЗА_ЦІНИ,7,IFERROR(MATCH(ЕТАЛОН_ПЛ,ПЛ_РЯДОК,0),0)),"")-1)</f>
        <v/>
      </c>
      <c r="GU49" s="70" t="str">
        <f aca="false">IF(OR(GU18="",ЕТАЛОН_ПЛ="",IFERROR(INDEX(БАЗА_ЦІНИ,7,IFERROR(MATCH(ЕТАЛОН_ПЛ,ПЛ_РЯДОК,0),0)),"")=""),"",GU18-IFERROR(INDEX(БАЗА_ЦІНИ,7,IFERROR(MATCH(ЕТАЛОН_ПЛ,ПЛ_РЯДОК,0),0)),""))</f>
        <v/>
      </c>
      <c r="GV49" s="71" t="str">
        <f aca="false">IF(OR(GU18="",ЕТАЛОН_ПЛ="",IFERROR(INDEX(БАЗА_ЦІНИ,7,IFERROR(MATCH(ЕТАЛОН_ПЛ,ПЛ_РЯДОК,0),0)),"")="",IFERROR(INDEX(БАЗА_ЦІНИ,7,IFERROR(MATCH(ЕТАЛОН_ПЛ,ПЛ_РЯДОК,0),0)),"")=0),"",GU18/IFERROR(INDEX(БАЗА_ЦІНИ,7,IFERROR(MATCH(ЕТАЛОН_ПЛ,ПЛ_РЯДОК,0),0)),"")-1)</f>
        <v/>
      </c>
      <c r="GW49" s="70" t="str">
        <f aca="false">IF(OR(GW18="",ЕТАЛОН_ПЛ="",IFERROR(INDEX(БАЗА_ЦІНИ,7,IFERROR(MATCH(ЕТАЛОН_ПЛ,ПЛ_РЯДОК,0),0)),"")=""),"",GW18-IFERROR(INDEX(БАЗА_ЦІНИ,7,IFERROR(MATCH(ЕТАЛОН_ПЛ,ПЛ_РЯДОК,0),0)),""))</f>
        <v/>
      </c>
      <c r="GX49" s="71" t="str">
        <f aca="false">IF(OR(GW18="",ЕТАЛОН_ПЛ="",IFERROR(INDEX(БАЗА_ЦІНИ,7,IFERROR(MATCH(ЕТАЛОН_ПЛ,ПЛ_РЯДОК,0),0)),"")="",IFERROR(INDEX(БАЗА_ЦІНИ,7,IFERROR(MATCH(ЕТАЛОН_ПЛ,ПЛ_РЯДОК,0),0)),"")=0),"",GW18/IFERROR(INDEX(БАЗА_ЦІНИ,7,IFERROR(MATCH(ЕТАЛОН_ПЛ,ПЛ_РЯДОК,0),0)),"")-1)</f>
        <v/>
      </c>
      <c r="GY49" s="70" t="str">
        <f aca="false">IF(OR(GY18="",ЕТАЛОН_ПЛ="",IFERROR(INDEX(БАЗА_ЦІНИ,7,IFERROR(MATCH(ЕТАЛОН_ПЛ,ПЛ_РЯДОК,0),0)),"")=""),"",GY18-IFERROR(INDEX(БАЗА_ЦІНИ,7,IFERROR(MATCH(ЕТАЛОН_ПЛ,ПЛ_РЯДОК,0),0)),""))</f>
        <v/>
      </c>
      <c r="GZ49" s="71" t="str">
        <f aca="false">IF(OR(GY18="",ЕТАЛОН_ПЛ="",IFERROR(INDEX(БАЗА_ЦІНИ,7,IFERROR(MATCH(ЕТАЛОН_ПЛ,ПЛ_РЯДОК,0),0)),"")="",IFERROR(INDEX(БАЗА_ЦІНИ,7,IFERROR(MATCH(ЕТАЛОН_ПЛ,ПЛ_РЯДОК,0),0)),"")=0),"",GY18/IFERROR(INDEX(БАЗА_ЦІНИ,7,IFERROR(MATCH(ЕТАЛОН_ПЛ,ПЛ_РЯДОК,0),0)),"")-1)</f>
        <v/>
      </c>
    </row>
    <row r="50" customFormat="false" ht="15" hidden="false" customHeight="false" outlineLevel="0" collapsed="false">
      <c r="A50" s="4"/>
      <c r="B50" s="36"/>
      <c r="C50" s="36"/>
      <c r="D50" s="49"/>
      <c r="E50" s="50"/>
      <c r="H50" s="23" t="str">
        <f aca="false">IF('Довідник категорій'!B12="","",'Довідник категорій'!B12)</f>
        <v/>
      </c>
      <c r="I50" s="70" t="str">
        <f aca="false">IF(OR(I19="",ЕТАЛОН_ПЛ="",IFERROR(INDEX(БАЗА_ЦІНИ,8,IFERROR(MATCH(ЕТАЛОН_ПЛ,ПЛ_РЯДОК,0),0)),"")=""),"",I19-IFERROR(INDEX(БАЗА_ЦІНИ,8,IFERROR(MATCH(ЕТАЛОН_ПЛ,ПЛ_РЯДОК,0),0)),""))</f>
        <v/>
      </c>
      <c r="J50" s="71" t="str">
        <f aca="false">IF(OR(I19="",ЕТАЛОН_ПЛ="",IFERROR(INDEX(БАЗА_ЦІНИ,8,IFERROR(MATCH(ЕТАЛОН_ПЛ,ПЛ_РЯДОК,0),0)),"")="",IFERROR(INDEX(БАЗА_ЦІНИ,8,IFERROR(MATCH(ЕТАЛОН_ПЛ,ПЛ_РЯДОК,0),0)),"")=0),"",I19/IFERROR(INDEX(БАЗА_ЦІНИ,8,IFERROR(MATCH(ЕТАЛОН_ПЛ,ПЛ_РЯДОК,0),0)),"")-1)</f>
        <v/>
      </c>
      <c r="K50" s="70" t="str">
        <f aca="false">IF(OR(K19="",ЕТАЛОН_ПЛ="",IFERROR(INDEX(БАЗА_ЦІНИ,8,IFERROR(MATCH(ЕТАЛОН_ПЛ,ПЛ_РЯДОК,0),0)),"")=""),"",K19-IFERROR(INDEX(БАЗА_ЦІНИ,8,IFERROR(MATCH(ЕТАЛОН_ПЛ,ПЛ_РЯДОК,0),0)),""))</f>
        <v/>
      </c>
      <c r="L50" s="71" t="str">
        <f aca="false">IF(OR(K19="",ЕТАЛОН_ПЛ="",IFERROR(INDEX(БАЗА_ЦІНИ,8,IFERROR(MATCH(ЕТАЛОН_ПЛ,ПЛ_РЯДОК,0),0)),"")="",IFERROR(INDEX(БАЗА_ЦІНИ,8,IFERROR(MATCH(ЕТАЛОН_ПЛ,ПЛ_РЯДОК,0),0)),"")=0),"",K19/IFERROR(INDEX(БАЗА_ЦІНИ,8,IFERROR(MATCH(ЕТАЛОН_ПЛ,ПЛ_РЯДОК,0),0)),"")-1)</f>
        <v/>
      </c>
      <c r="M50" s="70" t="str">
        <f aca="false">IF(OR(M19="",ЕТАЛОН_ПЛ="",IFERROR(INDEX(БАЗА_ЦІНИ,8,IFERROR(MATCH(ЕТАЛОН_ПЛ,ПЛ_РЯДОК,0),0)),"")=""),"",M19-IFERROR(INDEX(БАЗА_ЦІНИ,8,IFERROR(MATCH(ЕТАЛОН_ПЛ,ПЛ_РЯДОК,0),0)),""))</f>
        <v/>
      </c>
      <c r="N50" s="71" t="str">
        <f aca="false">IF(OR(M19="",ЕТАЛОН_ПЛ="",IFERROR(INDEX(БАЗА_ЦІНИ,8,IFERROR(MATCH(ЕТАЛОН_ПЛ,ПЛ_РЯДОК,0),0)),"")="",IFERROR(INDEX(БАЗА_ЦІНИ,8,IFERROR(MATCH(ЕТАЛОН_ПЛ,ПЛ_РЯДОК,0),0)),"")=0),"",M19/IFERROR(INDEX(БАЗА_ЦІНИ,8,IFERROR(MATCH(ЕТАЛОН_ПЛ,ПЛ_РЯДОК,0),0)),"")-1)</f>
        <v/>
      </c>
      <c r="O50" s="70" t="str">
        <f aca="false">IF(OR(O19="",ЕТАЛОН_ПЛ="",IFERROR(INDEX(БАЗА_ЦІНИ,8,IFERROR(MATCH(ЕТАЛОН_ПЛ,ПЛ_РЯДОК,0),0)),"")=""),"",O19-IFERROR(INDEX(БАЗА_ЦІНИ,8,IFERROR(MATCH(ЕТАЛОН_ПЛ,ПЛ_РЯДОК,0),0)),""))</f>
        <v/>
      </c>
      <c r="P50" s="71" t="str">
        <f aca="false">IF(OR(O19="",ЕТАЛОН_ПЛ="",IFERROR(INDEX(БАЗА_ЦІНИ,8,IFERROR(MATCH(ЕТАЛОН_ПЛ,ПЛ_РЯДОК,0),0)),"")="",IFERROR(INDEX(БАЗА_ЦІНИ,8,IFERROR(MATCH(ЕТАЛОН_ПЛ,ПЛ_РЯДОК,0),0)),"")=0),"",O19/IFERROR(INDEX(БАЗА_ЦІНИ,8,IFERROR(MATCH(ЕТАЛОН_ПЛ,ПЛ_РЯДОК,0),0)),"")-1)</f>
        <v/>
      </c>
      <c r="Q50" s="70" t="str">
        <f aca="false">IF(OR(Q19="",ЕТАЛОН_ПЛ="",IFERROR(INDEX(БАЗА_ЦІНИ,8,IFERROR(MATCH(ЕТАЛОН_ПЛ,ПЛ_РЯДОК,0),0)),"")=""),"",Q19-IFERROR(INDEX(БАЗА_ЦІНИ,8,IFERROR(MATCH(ЕТАЛОН_ПЛ,ПЛ_РЯДОК,0),0)),""))</f>
        <v/>
      </c>
      <c r="R50" s="71" t="str">
        <f aca="false">IF(OR(Q19="",ЕТАЛОН_ПЛ="",IFERROR(INDEX(БАЗА_ЦІНИ,8,IFERROR(MATCH(ЕТАЛОН_ПЛ,ПЛ_РЯДОК,0),0)),"")="",IFERROR(INDEX(БАЗА_ЦІНИ,8,IFERROR(MATCH(ЕТАЛОН_ПЛ,ПЛ_РЯДОК,0),0)),"")=0),"",Q19/IFERROR(INDEX(БАЗА_ЦІНИ,8,IFERROR(MATCH(ЕТАЛОН_ПЛ,ПЛ_РЯДОК,0),0)),"")-1)</f>
        <v/>
      </c>
      <c r="S50" s="70" t="str">
        <f aca="false">IF(OR(S19="",ЕТАЛОН_ПЛ="",IFERROR(INDEX(БАЗА_ЦІНИ,8,IFERROR(MATCH(ЕТАЛОН_ПЛ,ПЛ_РЯДОК,0),0)),"")=""),"",S19-IFERROR(INDEX(БАЗА_ЦІНИ,8,IFERROR(MATCH(ЕТАЛОН_ПЛ,ПЛ_РЯДОК,0),0)),""))</f>
        <v/>
      </c>
      <c r="T50" s="71" t="str">
        <f aca="false">IF(OR(S19="",ЕТАЛОН_ПЛ="",IFERROR(INDEX(БАЗА_ЦІНИ,8,IFERROR(MATCH(ЕТАЛОН_ПЛ,ПЛ_РЯДОК,0),0)),"")="",IFERROR(INDEX(БАЗА_ЦІНИ,8,IFERROR(MATCH(ЕТАЛОН_ПЛ,ПЛ_РЯДОК,0),0)),"")=0),"",S19/IFERROR(INDEX(БАЗА_ЦІНИ,8,IFERROR(MATCH(ЕТАЛОН_ПЛ,ПЛ_РЯДОК,0),0)),"")-1)</f>
        <v/>
      </c>
      <c r="U50" s="70" t="str">
        <f aca="false">IF(OR(U19="",ЕТАЛОН_ПЛ="",IFERROR(INDEX(БАЗА_ЦІНИ,8,IFERROR(MATCH(ЕТАЛОН_ПЛ,ПЛ_РЯДОК,0),0)),"")=""),"",U19-IFERROR(INDEX(БАЗА_ЦІНИ,8,IFERROR(MATCH(ЕТАЛОН_ПЛ,ПЛ_РЯДОК,0),0)),""))</f>
        <v/>
      </c>
      <c r="V50" s="71" t="str">
        <f aca="false">IF(OR(U19="",ЕТАЛОН_ПЛ="",IFERROR(INDEX(БАЗА_ЦІНИ,8,IFERROR(MATCH(ЕТАЛОН_ПЛ,ПЛ_РЯДОК,0),0)),"")="",IFERROR(INDEX(БАЗА_ЦІНИ,8,IFERROR(MATCH(ЕТАЛОН_ПЛ,ПЛ_РЯДОК,0),0)),"")=0),"",U19/IFERROR(INDEX(БАЗА_ЦІНИ,8,IFERROR(MATCH(ЕТАЛОН_ПЛ,ПЛ_РЯДОК,0),0)),"")-1)</f>
        <v/>
      </c>
      <c r="W50" s="70" t="str">
        <f aca="false">IF(OR(W19="",ЕТАЛОН_ПЛ="",IFERROR(INDEX(БАЗА_ЦІНИ,8,IFERROR(MATCH(ЕТАЛОН_ПЛ,ПЛ_РЯДОК,0),0)),"")=""),"",W19-IFERROR(INDEX(БАЗА_ЦІНИ,8,IFERROR(MATCH(ЕТАЛОН_ПЛ,ПЛ_РЯДОК,0),0)),""))</f>
        <v/>
      </c>
      <c r="X50" s="71" t="str">
        <f aca="false">IF(OR(W19="",ЕТАЛОН_ПЛ="",IFERROR(INDEX(БАЗА_ЦІНИ,8,IFERROR(MATCH(ЕТАЛОН_ПЛ,ПЛ_РЯДОК,0),0)),"")="",IFERROR(INDEX(БАЗА_ЦІНИ,8,IFERROR(MATCH(ЕТАЛОН_ПЛ,ПЛ_РЯДОК,0),0)),"")=0),"",W19/IFERROR(INDEX(БАЗА_ЦІНИ,8,IFERROR(MATCH(ЕТАЛОН_ПЛ,ПЛ_РЯДОК,0),0)),"")-1)</f>
        <v/>
      </c>
      <c r="Y50" s="70" t="str">
        <f aca="false">IF(OR(Y19="",ЕТАЛОН_ПЛ="",IFERROR(INDEX(БАЗА_ЦІНИ,8,IFERROR(MATCH(ЕТАЛОН_ПЛ,ПЛ_РЯДОК,0),0)),"")=""),"",Y19-IFERROR(INDEX(БАЗА_ЦІНИ,8,IFERROR(MATCH(ЕТАЛОН_ПЛ,ПЛ_РЯДОК,0),0)),""))</f>
        <v/>
      </c>
      <c r="Z50" s="71" t="str">
        <f aca="false">IF(OR(Y19="",ЕТАЛОН_ПЛ="",IFERROR(INDEX(БАЗА_ЦІНИ,8,IFERROR(MATCH(ЕТАЛОН_ПЛ,ПЛ_РЯДОК,0),0)),"")="",IFERROR(INDEX(БАЗА_ЦІНИ,8,IFERROR(MATCH(ЕТАЛОН_ПЛ,ПЛ_РЯДОК,0),0)),"")=0),"",Y19/IFERROR(INDEX(БАЗА_ЦІНИ,8,IFERROR(MATCH(ЕТАЛОН_ПЛ,ПЛ_РЯДОК,0),0)),"")-1)</f>
        <v/>
      </c>
      <c r="AA50" s="70" t="str">
        <f aca="false">IF(OR(AA19="",ЕТАЛОН_ПЛ="",IFERROR(INDEX(БАЗА_ЦІНИ,8,IFERROR(MATCH(ЕТАЛОН_ПЛ,ПЛ_РЯДОК,0),0)),"")=""),"",AA19-IFERROR(INDEX(БАЗА_ЦІНИ,8,IFERROR(MATCH(ЕТАЛОН_ПЛ,ПЛ_РЯДОК,0),0)),""))</f>
        <v/>
      </c>
      <c r="AB50" s="71" t="str">
        <f aca="false">IF(OR(AA19="",ЕТАЛОН_ПЛ="",IFERROR(INDEX(БАЗА_ЦІНИ,8,IFERROR(MATCH(ЕТАЛОН_ПЛ,ПЛ_РЯДОК,0),0)),"")="",IFERROR(INDEX(БАЗА_ЦІНИ,8,IFERROR(MATCH(ЕТАЛОН_ПЛ,ПЛ_РЯДОК,0),0)),"")=0),"",AA19/IFERROR(INDEX(БАЗА_ЦІНИ,8,IFERROR(MATCH(ЕТАЛОН_ПЛ,ПЛ_РЯДОК,0),0)),"")-1)</f>
        <v/>
      </c>
      <c r="AC50" s="70" t="str">
        <f aca="false">IF(OR(AC19="",ЕТАЛОН_ПЛ="",IFERROR(INDEX(БАЗА_ЦІНИ,8,IFERROR(MATCH(ЕТАЛОН_ПЛ,ПЛ_РЯДОК,0),0)),"")=""),"",AC19-IFERROR(INDEX(БАЗА_ЦІНИ,8,IFERROR(MATCH(ЕТАЛОН_ПЛ,ПЛ_РЯДОК,0),0)),""))</f>
        <v/>
      </c>
      <c r="AD50" s="71" t="str">
        <f aca="false">IF(OR(AC19="",ЕТАЛОН_ПЛ="",IFERROR(INDEX(БАЗА_ЦІНИ,8,IFERROR(MATCH(ЕТАЛОН_ПЛ,ПЛ_РЯДОК,0),0)),"")="",IFERROR(INDEX(БАЗА_ЦІНИ,8,IFERROR(MATCH(ЕТАЛОН_ПЛ,ПЛ_РЯДОК,0),0)),"")=0),"",AC19/IFERROR(INDEX(БАЗА_ЦІНИ,8,IFERROR(MATCH(ЕТАЛОН_ПЛ,ПЛ_РЯДОК,0),0)),"")-1)</f>
        <v/>
      </c>
      <c r="AE50" s="70" t="str">
        <f aca="false">IF(OR(AE19="",ЕТАЛОН_ПЛ="",IFERROR(INDEX(БАЗА_ЦІНИ,8,IFERROR(MATCH(ЕТАЛОН_ПЛ,ПЛ_РЯДОК,0),0)),"")=""),"",AE19-IFERROR(INDEX(БАЗА_ЦІНИ,8,IFERROR(MATCH(ЕТАЛОН_ПЛ,ПЛ_РЯДОК,0),0)),""))</f>
        <v/>
      </c>
      <c r="AF50" s="71" t="str">
        <f aca="false">IF(OR(AE19="",ЕТАЛОН_ПЛ="",IFERROR(INDEX(БАЗА_ЦІНИ,8,IFERROR(MATCH(ЕТАЛОН_ПЛ,ПЛ_РЯДОК,0),0)),"")="",IFERROR(INDEX(БАЗА_ЦІНИ,8,IFERROR(MATCH(ЕТАЛОН_ПЛ,ПЛ_РЯДОК,0),0)),"")=0),"",AE19/IFERROR(INDEX(БАЗА_ЦІНИ,8,IFERROR(MATCH(ЕТАЛОН_ПЛ,ПЛ_РЯДОК,0),0)),"")-1)</f>
        <v/>
      </c>
      <c r="AG50" s="70" t="str">
        <f aca="false">IF(OR(AG19="",ЕТАЛОН_ПЛ="",IFERROR(INDEX(БАЗА_ЦІНИ,8,IFERROR(MATCH(ЕТАЛОН_ПЛ,ПЛ_РЯДОК,0),0)),"")=""),"",AG19-IFERROR(INDEX(БАЗА_ЦІНИ,8,IFERROR(MATCH(ЕТАЛОН_ПЛ,ПЛ_РЯДОК,0),0)),""))</f>
        <v/>
      </c>
      <c r="AH50" s="71" t="str">
        <f aca="false">IF(OR(AG19="",ЕТАЛОН_ПЛ="",IFERROR(INDEX(БАЗА_ЦІНИ,8,IFERROR(MATCH(ЕТАЛОН_ПЛ,ПЛ_РЯДОК,0),0)),"")="",IFERROR(INDEX(БАЗА_ЦІНИ,8,IFERROR(MATCH(ЕТАЛОН_ПЛ,ПЛ_РЯДОК,0),0)),"")=0),"",AG19/IFERROR(INDEX(БАЗА_ЦІНИ,8,IFERROR(MATCH(ЕТАЛОН_ПЛ,ПЛ_РЯДОК,0),0)),"")-1)</f>
        <v/>
      </c>
      <c r="AI50" s="70" t="str">
        <f aca="false">IF(OR(AI19="",ЕТАЛОН_ПЛ="",IFERROR(INDEX(БАЗА_ЦІНИ,8,IFERROR(MATCH(ЕТАЛОН_ПЛ,ПЛ_РЯДОК,0),0)),"")=""),"",AI19-IFERROR(INDEX(БАЗА_ЦІНИ,8,IFERROR(MATCH(ЕТАЛОН_ПЛ,ПЛ_РЯДОК,0),0)),""))</f>
        <v/>
      </c>
      <c r="AJ50" s="71" t="str">
        <f aca="false">IF(OR(AI19="",ЕТАЛОН_ПЛ="",IFERROR(INDEX(БАЗА_ЦІНИ,8,IFERROR(MATCH(ЕТАЛОН_ПЛ,ПЛ_РЯДОК,0),0)),"")="",IFERROR(INDEX(БАЗА_ЦІНИ,8,IFERROR(MATCH(ЕТАЛОН_ПЛ,ПЛ_РЯДОК,0),0)),"")=0),"",AI19/IFERROR(INDEX(БАЗА_ЦІНИ,8,IFERROR(MATCH(ЕТАЛОН_ПЛ,ПЛ_РЯДОК,0),0)),"")-1)</f>
        <v/>
      </c>
      <c r="AK50" s="70" t="str">
        <f aca="false">IF(OR(AK19="",ЕТАЛОН_ПЛ="",IFERROR(INDEX(БАЗА_ЦІНИ,8,IFERROR(MATCH(ЕТАЛОН_ПЛ,ПЛ_РЯДОК,0),0)),"")=""),"",AK19-IFERROR(INDEX(БАЗА_ЦІНИ,8,IFERROR(MATCH(ЕТАЛОН_ПЛ,ПЛ_РЯДОК,0),0)),""))</f>
        <v/>
      </c>
      <c r="AL50" s="71" t="str">
        <f aca="false">IF(OR(AK19="",ЕТАЛОН_ПЛ="",IFERROR(INDEX(БАЗА_ЦІНИ,8,IFERROR(MATCH(ЕТАЛОН_ПЛ,ПЛ_РЯДОК,0),0)),"")="",IFERROR(INDEX(БАЗА_ЦІНИ,8,IFERROR(MATCH(ЕТАЛОН_ПЛ,ПЛ_РЯДОК,0),0)),"")=0),"",AK19/IFERROR(INDEX(БАЗА_ЦІНИ,8,IFERROR(MATCH(ЕТАЛОН_ПЛ,ПЛ_РЯДОК,0),0)),"")-1)</f>
        <v/>
      </c>
      <c r="AM50" s="70" t="str">
        <f aca="false">IF(OR(AM19="",ЕТАЛОН_ПЛ="",IFERROR(INDEX(БАЗА_ЦІНИ,8,IFERROR(MATCH(ЕТАЛОН_ПЛ,ПЛ_РЯДОК,0),0)),"")=""),"",AM19-IFERROR(INDEX(БАЗА_ЦІНИ,8,IFERROR(MATCH(ЕТАЛОН_ПЛ,ПЛ_РЯДОК,0),0)),""))</f>
        <v/>
      </c>
      <c r="AN50" s="71" t="str">
        <f aca="false">IF(OR(AM19="",ЕТАЛОН_ПЛ="",IFERROR(INDEX(БАЗА_ЦІНИ,8,IFERROR(MATCH(ЕТАЛОН_ПЛ,ПЛ_РЯДОК,0),0)),"")="",IFERROR(INDEX(БАЗА_ЦІНИ,8,IFERROR(MATCH(ЕТАЛОН_ПЛ,ПЛ_РЯДОК,0),0)),"")=0),"",AM19/IFERROR(INDEX(БАЗА_ЦІНИ,8,IFERROR(MATCH(ЕТАЛОН_ПЛ,ПЛ_РЯДОК,0),0)),"")-1)</f>
        <v/>
      </c>
      <c r="AO50" s="70" t="str">
        <f aca="false">IF(OR(AO19="",ЕТАЛОН_ПЛ="",IFERROR(INDEX(БАЗА_ЦІНИ,8,IFERROR(MATCH(ЕТАЛОН_ПЛ,ПЛ_РЯДОК,0),0)),"")=""),"",AO19-IFERROR(INDEX(БАЗА_ЦІНИ,8,IFERROR(MATCH(ЕТАЛОН_ПЛ,ПЛ_РЯДОК,0),0)),""))</f>
        <v/>
      </c>
      <c r="AP50" s="71" t="str">
        <f aca="false">IF(OR(AO19="",ЕТАЛОН_ПЛ="",IFERROR(INDEX(БАЗА_ЦІНИ,8,IFERROR(MATCH(ЕТАЛОН_ПЛ,ПЛ_РЯДОК,0),0)),"")="",IFERROR(INDEX(БАЗА_ЦІНИ,8,IFERROR(MATCH(ЕТАЛОН_ПЛ,ПЛ_РЯДОК,0),0)),"")=0),"",AO19/IFERROR(INDEX(БАЗА_ЦІНИ,8,IFERROR(MATCH(ЕТАЛОН_ПЛ,ПЛ_РЯДОК,0),0)),"")-1)</f>
        <v/>
      </c>
      <c r="AQ50" s="70" t="str">
        <f aca="false">IF(OR(AQ19="",ЕТАЛОН_ПЛ="",IFERROR(INDEX(БАЗА_ЦІНИ,8,IFERROR(MATCH(ЕТАЛОН_ПЛ,ПЛ_РЯДОК,0),0)),"")=""),"",AQ19-IFERROR(INDEX(БАЗА_ЦІНИ,8,IFERROR(MATCH(ЕТАЛОН_ПЛ,ПЛ_РЯДОК,0),0)),""))</f>
        <v/>
      </c>
      <c r="AR50" s="71" t="str">
        <f aca="false">IF(OR(AQ19="",ЕТАЛОН_ПЛ="",IFERROR(INDEX(БАЗА_ЦІНИ,8,IFERROR(MATCH(ЕТАЛОН_ПЛ,ПЛ_РЯДОК,0),0)),"")="",IFERROR(INDEX(БАЗА_ЦІНИ,8,IFERROR(MATCH(ЕТАЛОН_ПЛ,ПЛ_РЯДОК,0),0)),"")=0),"",AQ19/IFERROR(INDEX(БАЗА_ЦІНИ,8,IFERROR(MATCH(ЕТАЛОН_ПЛ,ПЛ_РЯДОК,0),0)),"")-1)</f>
        <v/>
      </c>
      <c r="AS50" s="70" t="str">
        <f aca="false">IF(OR(AS19="",ЕТАЛОН_ПЛ="",IFERROR(INDEX(БАЗА_ЦІНИ,8,IFERROR(MATCH(ЕТАЛОН_ПЛ,ПЛ_РЯДОК,0),0)),"")=""),"",AS19-IFERROR(INDEX(БАЗА_ЦІНИ,8,IFERROR(MATCH(ЕТАЛОН_ПЛ,ПЛ_РЯДОК,0),0)),""))</f>
        <v/>
      </c>
      <c r="AT50" s="71" t="str">
        <f aca="false">IF(OR(AS19="",ЕТАЛОН_ПЛ="",IFERROR(INDEX(БАЗА_ЦІНИ,8,IFERROR(MATCH(ЕТАЛОН_ПЛ,ПЛ_РЯДОК,0),0)),"")="",IFERROR(INDEX(БАЗА_ЦІНИ,8,IFERROR(MATCH(ЕТАЛОН_ПЛ,ПЛ_РЯДОК,0),0)),"")=0),"",AS19/IFERROR(INDEX(БАЗА_ЦІНИ,8,IFERROR(MATCH(ЕТАЛОН_ПЛ,ПЛ_РЯДОК,0),0)),"")-1)</f>
        <v/>
      </c>
      <c r="AU50" s="70" t="str">
        <f aca="false">IF(OR(AU19="",ЕТАЛОН_ПЛ="",IFERROR(INDEX(БАЗА_ЦІНИ,8,IFERROR(MATCH(ЕТАЛОН_ПЛ,ПЛ_РЯДОК,0),0)),"")=""),"",AU19-IFERROR(INDEX(БАЗА_ЦІНИ,8,IFERROR(MATCH(ЕТАЛОН_ПЛ,ПЛ_РЯДОК,0),0)),""))</f>
        <v/>
      </c>
      <c r="AV50" s="71" t="str">
        <f aca="false">IF(OR(AU19="",ЕТАЛОН_ПЛ="",IFERROR(INDEX(БАЗА_ЦІНИ,8,IFERROR(MATCH(ЕТАЛОН_ПЛ,ПЛ_РЯДОК,0),0)),"")="",IFERROR(INDEX(БАЗА_ЦІНИ,8,IFERROR(MATCH(ЕТАЛОН_ПЛ,ПЛ_РЯДОК,0),0)),"")=0),"",AU19/IFERROR(INDEX(БАЗА_ЦІНИ,8,IFERROR(MATCH(ЕТАЛОН_ПЛ,ПЛ_РЯДОК,0),0)),"")-1)</f>
        <v/>
      </c>
      <c r="AW50" s="70" t="str">
        <f aca="false">IF(OR(AW19="",ЕТАЛОН_ПЛ="",IFERROR(INDEX(БАЗА_ЦІНИ,8,IFERROR(MATCH(ЕТАЛОН_ПЛ,ПЛ_РЯДОК,0),0)),"")=""),"",AW19-IFERROR(INDEX(БАЗА_ЦІНИ,8,IFERROR(MATCH(ЕТАЛОН_ПЛ,ПЛ_РЯДОК,0),0)),""))</f>
        <v/>
      </c>
      <c r="AX50" s="71" t="str">
        <f aca="false">IF(OR(AW19="",ЕТАЛОН_ПЛ="",IFERROR(INDEX(БАЗА_ЦІНИ,8,IFERROR(MATCH(ЕТАЛОН_ПЛ,ПЛ_РЯДОК,0),0)),"")="",IFERROR(INDEX(БАЗА_ЦІНИ,8,IFERROR(MATCH(ЕТАЛОН_ПЛ,ПЛ_РЯДОК,0),0)),"")=0),"",AW19/IFERROR(INDEX(БАЗА_ЦІНИ,8,IFERROR(MATCH(ЕТАЛОН_ПЛ,ПЛ_РЯДОК,0),0)),"")-1)</f>
        <v/>
      </c>
      <c r="AY50" s="70" t="str">
        <f aca="false">IF(OR(AY19="",ЕТАЛОН_ПЛ="",IFERROR(INDEX(БАЗА_ЦІНИ,8,IFERROR(MATCH(ЕТАЛОН_ПЛ,ПЛ_РЯДОК,0),0)),"")=""),"",AY19-IFERROR(INDEX(БАЗА_ЦІНИ,8,IFERROR(MATCH(ЕТАЛОН_ПЛ,ПЛ_РЯДОК,0),0)),""))</f>
        <v/>
      </c>
      <c r="AZ50" s="71" t="str">
        <f aca="false">IF(OR(AY19="",ЕТАЛОН_ПЛ="",IFERROR(INDEX(БАЗА_ЦІНИ,8,IFERROR(MATCH(ЕТАЛОН_ПЛ,ПЛ_РЯДОК,0),0)),"")="",IFERROR(INDEX(БАЗА_ЦІНИ,8,IFERROR(MATCH(ЕТАЛОН_ПЛ,ПЛ_РЯДОК,0),0)),"")=0),"",AY19/IFERROR(INDEX(БАЗА_ЦІНИ,8,IFERROR(MATCH(ЕТАЛОН_ПЛ,ПЛ_РЯДОК,0),0)),"")-1)</f>
        <v/>
      </c>
      <c r="BA50" s="70" t="str">
        <f aca="false">IF(OR(BA19="",ЕТАЛОН_ПЛ="",IFERROR(INDEX(БАЗА_ЦІНИ,8,IFERROR(MATCH(ЕТАЛОН_ПЛ,ПЛ_РЯДОК,0),0)),"")=""),"",BA19-IFERROR(INDEX(БАЗА_ЦІНИ,8,IFERROR(MATCH(ЕТАЛОН_ПЛ,ПЛ_РЯДОК,0),0)),""))</f>
        <v/>
      </c>
      <c r="BB50" s="71" t="str">
        <f aca="false">IF(OR(BA19="",ЕТАЛОН_ПЛ="",IFERROR(INDEX(БАЗА_ЦІНИ,8,IFERROR(MATCH(ЕТАЛОН_ПЛ,ПЛ_РЯДОК,0),0)),"")="",IFERROR(INDEX(БАЗА_ЦІНИ,8,IFERROR(MATCH(ЕТАЛОН_ПЛ,ПЛ_РЯДОК,0),0)),"")=0),"",BA19/IFERROR(INDEX(БАЗА_ЦІНИ,8,IFERROR(MATCH(ЕТАЛОН_ПЛ,ПЛ_РЯДОК,0),0)),"")-1)</f>
        <v/>
      </c>
      <c r="BC50" s="70" t="str">
        <f aca="false">IF(OR(BC19="",ЕТАЛОН_ПЛ="",IFERROR(INDEX(БАЗА_ЦІНИ,8,IFERROR(MATCH(ЕТАЛОН_ПЛ,ПЛ_РЯДОК,0),0)),"")=""),"",BC19-IFERROR(INDEX(БАЗА_ЦІНИ,8,IFERROR(MATCH(ЕТАЛОН_ПЛ,ПЛ_РЯДОК,0),0)),""))</f>
        <v/>
      </c>
      <c r="BD50" s="71" t="str">
        <f aca="false">IF(OR(BC19="",ЕТАЛОН_ПЛ="",IFERROR(INDEX(БАЗА_ЦІНИ,8,IFERROR(MATCH(ЕТАЛОН_ПЛ,ПЛ_РЯДОК,0),0)),"")="",IFERROR(INDEX(БАЗА_ЦІНИ,8,IFERROR(MATCH(ЕТАЛОН_ПЛ,ПЛ_РЯДОК,0),0)),"")=0),"",BC19/IFERROR(INDEX(БАЗА_ЦІНИ,8,IFERROR(MATCH(ЕТАЛОН_ПЛ,ПЛ_РЯДОК,0),0)),"")-1)</f>
        <v/>
      </c>
      <c r="BE50" s="70" t="str">
        <f aca="false">IF(OR(BE19="",ЕТАЛОН_ПЛ="",IFERROR(INDEX(БАЗА_ЦІНИ,8,IFERROR(MATCH(ЕТАЛОН_ПЛ,ПЛ_РЯДОК,0),0)),"")=""),"",BE19-IFERROR(INDEX(БАЗА_ЦІНИ,8,IFERROR(MATCH(ЕТАЛОН_ПЛ,ПЛ_РЯДОК,0),0)),""))</f>
        <v/>
      </c>
      <c r="BF50" s="71" t="str">
        <f aca="false">IF(OR(BE19="",ЕТАЛОН_ПЛ="",IFERROR(INDEX(БАЗА_ЦІНИ,8,IFERROR(MATCH(ЕТАЛОН_ПЛ,ПЛ_РЯДОК,0),0)),"")="",IFERROR(INDEX(БАЗА_ЦІНИ,8,IFERROR(MATCH(ЕТАЛОН_ПЛ,ПЛ_РЯДОК,0),0)),"")=0),"",BE19/IFERROR(INDEX(БАЗА_ЦІНИ,8,IFERROR(MATCH(ЕТАЛОН_ПЛ,ПЛ_РЯДОК,0),0)),"")-1)</f>
        <v/>
      </c>
      <c r="BG50" s="70" t="str">
        <f aca="false">IF(OR(BG19="",ЕТАЛОН_ПЛ="",IFERROR(INDEX(БАЗА_ЦІНИ,8,IFERROR(MATCH(ЕТАЛОН_ПЛ,ПЛ_РЯДОК,0),0)),"")=""),"",BG19-IFERROR(INDEX(БАЗА_ЦІНИ,8,IFERROR(MATCH(ЕТАЛОН_ПЛ,ПЛ_РЯДОК,0),0)),""))</f>
        <v/>
      </c>
      <c r="BH50" s="71" t="str">
        <f aca="false">IF(OR(BG19="",ЕТАЛОН_ПЛ="",IFERROR(INDEX(БАЗА_ЦІНИ,8,IFERROR(MATCH(ЕТАЛОН_ПЛ,ПЛ_РЯДОК,0),0)),"")="",IFERROR(INDEX(БАЗА_ЦІНИ,8,IFERROR(MATCH(ЕТАЛОН_ПЛ,ПЛ_РЯДОК,0),0)),"")=0),"",BG19/IFERROR(INDEX(БАЗА_ЦІНИ,8,IFERROR(MATCH(ЕТАЛОН_ПЛ,ПЛ_РЯДОК,0),0)),"")-1)</f>
        <v/>
      </c>
      <c r="BI50" s="70" t="str">
        <f aca="false">IF(OR(BI19="",ЕТАЛОН_ПЛ="",IFERROR(INDEX(БАЗА_ЦІНИ,8,IFERROR(MATCH(ЕТАЛОН_ПЛ,ПЛ_РЯДОК,0),0)),"")=""),"",BI19-IFERROR(INDEX(БАЗА_ЦІНИ,8,IFERROR(MATCH(ЕТАЛОН_ПЛ,ПЛ_РЯДОК,0),0)),""))</f>
        <v/>
      </c>
      <c r="BJ50" s="71" t="str">
        <f aca="false">IF(OR(BI19="",ЕТАЛОН_ПЛ="",IFERROR(INDEX(БАЗА_ЦІНИ,8,IFERROR(MATCH(ЕТАЛОН_ПЛ,ПЛ_РЯДОК,0),0)),"")="",IFERROR(INDEX(БАЗА_ЦІНИ,8,IFERROR(MATCH(ЕТАЛОН_ПЛ,ПЛ_РЯДОК,0),0)),"")=0),"",BI19/IFERROR(INDEX(БАЗА_ЦІНИ,8,IFERROR(MATCH(ЕТАЛОН_ПЛ,ПЛ_РЯДОК,0),0)),"")-1)</f>
        <v/>
      </c>
      <c r="BK50" s="70" t="str">
        <f aca="false">IF(OR(BK19="",ЕТАЛОН_ПЛ="",IFERROR(INDEX(БАЗА_ЦІНИ,8,IFERROR(MATCH(ЕТАЛОН_ПЛ,ПЛ_РЯДОК,0),0)),"")=""),"",BK19-IFERROR(INDEX(БАЗА_ЦІНИ,8,IFERROR(MATCH(ЕТАЛОН_ПЛ,ПЛ_РЯДОК,0),0)),""))</f>
        <v/>
      </c>
      <c r="BL50" s="71" t="str">
        <f aca="false">IF(OR(BK19="",ЕТАЛОН_ПЛ="",IFERROR(INDEX(БАЗА_ЦІНИ,8,IFERROR(MATCH(ЕТАЛОН_ПЛ,ПЛ_РЯДОК,0),0)),"")="",IFERROR(INDEX(БАЗА_ЦІНИ,8,IFERROR(MATCH(ЕТАЛОН_ПЛ,ПЛ_РЯДОК,0),0)),"")=0),"",BK19/IFERROR(INDEX(БАЗА_ЦІНИ,8,IFERROR(MATCH(ЕТАЛОН_ПЛ,ПЛ_РЯДОК,0),0)),"")-1)</f>
        <v/>
      </c>
      <c r="BM50" s="70" t="str">
        <f aca="false">IF(OR(BM19="",ЕТАЛОН_ПЛ="",IFERROR(INDEX(БАЗА_ЦІНИ,8,IFERROR(MATCH(ЕТАЛОН_ПЛ,ПЛ_РЯДОК,0),0)),"")=""),"",BM19-IFERROR(INDEX(БАЗА_ЦІНИ,8,IFERROR(MATCH(ЕТАЛОН_ПЛ,ПЛ_РЯДОК,0),0)),""))</f>
        <v/>
      </c>
      <c r="BN50" s="71" t="str">
        <f aca="false">IF(OR(BM19="",ЕТАЛОН_ПЛ="",IFERROR(INDEX(БАЗА_ЦІНИ,8,IFERROR(MATCH(ЕТАЛОН_ПЛ,ПЛ_РЯДОК,0),0)),"")="",IFERROR(INDEX(БАЗА_ЦІНИ,8,IFERROR(MATCH(ЕТАЛОН_ПЛ,ПЛ_РЯДОК,0),0)),"")=0),"",BM19/IFERROR(INDEX(БАЗА_ЦІНИ,8,IFERROR(MATCH(ЕТАЛОН_ПЛ,ПЛ_РЯДОК,0),0)),"")-1)</f>
        <v/>
      </c>
      <c r="BO50" s="70" t="str">
        <f aca="false">IF(OR(BO19="",ЕТАЛОН_ПЛ="",IFERROR(INDEX(БАЗА_ЦІНИ,8,IFERROR(MATCH(ЕТАЛОН_ПЛ,ПЛ_РЯДОК,0),0)),"")=""),"",BO19-IFERROR(INDEX(БАЗА_ЦІНИ,8,IFERROR(MATCH(ЕТАЛОН_ПЛ,ПЛ_РЯДОК,0),0)),""))</f>
        <v/>
      </c>
      <c r="BP50" s="71" t="str">
        <f aca="false">IF(OR(BO19="",ЕТАЛОН_ПЛ="",IFERROR(INDEX(БАЗА_ЦІНИ,8,IFERROR(MATCH(ЕТАЛОН_ПЛ,ПЛ_РЯДОК,0),0)),"")="",IFERROR(INDEX(БАЗА_ЦІНИ,8,IFERROR(MATCH(ЕТАЛОН_ПЛ,ПЛ_РЯДОК,0),0)),"")=0),"",BO19/IFERROR(INDEX(БАЗА_ЦІНИ,8,IFERROR(MATCH(ЕТАЛОН_ПЛ,ПЛ_РЯДОК,0),0)),"")-1)</f>
        <v/>
      </c>
      <c r="BQ50" s="70" t="str">
        <f aca="false">IF(OR(BQ19="",ЕТАЛОН_ПЛ="",IFERROR(INDEX(БАЗА_ЦІНИ,8,IFERROR(MATCH(ЕТАЛОН_ПЛ,ПЛ_РЯДОК,0),0)),"")=""),"",BQ19-IFERROR(INDEX(БАЗА_ЦІНИ,8,IFERROR(MATCH(ЕТАЛОН_ПЛ,ПЛ_РЯДОК,0),0)),""))</f>
        <v/>
      </c>
      <c r="BR50" s="71" t="str">
        <f aca="false">IF(OR(BQ19="",ЕТАЛОН_ПЛ="",IFERROR(INDEX(БАЗА_ЦІНИ,8,IFERROR(MATCH(ЕТАЛОН_ПЛ,ПЛ_РЯДОК,0),0)),"")="",IFERROR(INDEX(БАЗА_ЦІНИ,8,IFERROR(MATCH(ЕТАЛОН_ПЛ,ПЛ_РЯДОК,0),0)),"")=0),"",BQ19/IFERROR(INDEX(БАЗА_ЦІНИ,8,IFERROR(MATCH(ЕТАЛОН_ПЛ,ПЛ_РЯДОК,0),0)),"")-1)</f>
        <v/>
      </c>
      <c r="BS50" s="70" t="str">
        <f aca="false">IF(OR(BS19="",ЕТАЛОН_ПЛ="",IFERROR(INDEX(БАЗА_ЦІНИ,8,IFERROR(MATCH(ЕТАЛОН_ПЛ,ПЛ_РЯДОК,0),0)),"")=""),"",BS19-IFERROR(INDEX(БАЗА_ЦІНИ,8,IFERROR(MATCH(ЕТАЛОН_ПЛ,ПЛ_РЯДОК,0),0)),""))</f>
        <v/>
      </c>
      <c r="BT50" s="71" t="str">
        <f aca="false">IF(OR(BS19="",ЕТАЛОН_ПЛ="",IFERROR(INDEX(БАЗА_ЦІНИ,8,IFERROR(MATCH(ЕТАЛОН_ПЛ,ПЛ_РЯДОК,0),0)),"")="",IFERROR(INDEX(БАЗА_ЦІНИ,8,IFERROR(MATCH(ЕТАЛОН_ПЛ,ПЛ_РЯДОК,0),0)),"")=0),"",BS19/IFERROR(INDEX(БАЗА_ЦІНИ,8,IFERROR(MATCH(ЕТАЛОН_ПЛ,ПЛ_РЯДОК,0),0)),"")-1)</f>
        <v/>
      </c>
      <c r="BU50" s="70" t="str">
        <f aca="false">IF(OR(BU19="",ЕТАЛОН_ПЛ="",IFERROR(INDEX(БАЗА_ЦІНИ,8,IFERROR(MATCH(ЕТАЛОН_ПЛ,ПЛ_РЯДОК,0),0)),"")=""),"",BU19-IFERROR(INDEX(БАЗА_ЦІНИ,8,IFERROR(MATCH(ЕТАЛОН_ПЛ,ПЛ_РЯДОК,0),0)),""))</f>
        <v/>
      </c>
      <c r="BV50" s="71" t="str">
        <f aca="false">IF(OR(BU19="",ЕТАЛОН_ПЛ="",IFERROR(INDEX(БАЗА_ЦІНИ,8,IFERROR(MATCH(ЕТАЛОН_ПЛ,ПЛ_РЯДОК,0),0)),"")="",IFERROR(INDEX(БАЗА_ЦІНИ,8,IFERROR(MATCH(ЕТАЛОН_ПЛ,ПЛ_РЯДОК,0),0)),"")=0),"",BU19/IFERROR(INDEX(БАЗА_ЦІНИ,8,IFERROR(MATCH(ЕТАЛОН_ПЛ,ПЛ_РЯДОК,0),0)),"")-1)</f>
        <v/>
      </c>
      <c r="BW50" s="70" t="str">
        <f aca="false">IF(OR(BW19="",ЕТАЛОН_ПЛ="",IFERROR(INDEX(БАЗА_ЦІНИ,8,IFERROR(MATCH(ЕТАЛОН_ПЛ,ПЛ_РЯДОК,0),0)),"")=""),"",BW19-IFERROR(INDEX(БАЗА_ЦІНИ,8,IFERROR(MATCH(ЕТАЛОН_ПЛ,ПЛ_РЯДОК,0),0)),""))</f>
        <v/>
      </c>
      <c r="BX50" s="71" t="str">
        <f aca="false">IF(OR(BW19="",ЕТАЛОН_ПЛ="",IFERROR(INDEX(БАЗА_ЦІНИ,8,IFERROR(MATCH(ЕТАЛОН_ПЛ,ПЛ_РЯДОК,0),0)),"")="",IFERROR(INDEX(БАЗА_ЦІНИ,8,IFERROR(MATCH(ЕТАЛОН_ПЛ,ПЛ_РЯДОК,0),0)),"")=0),"",BW19/IFERROR(INDEX(БАЗА_ЦІНИ,8,IFERROR(MATCH(ЕТАЛОН_ПЛ,ПЛ_РЯДОК,0),0)),"")-1)</f>
        <v/>
      </c>
      <c r="BY50" s="70" t="str">
        <f aca="false">IF(OR(BY19="",ЕТАЛОН_ПЛ="",IFERROR(INDEX(БАЗА_ЦІНИ,8,IFERROR(MATCH(ЕТАЛОН_ПЛ,ПЛ_РЯДОК,0),0)),"")=""),"",BY19-IFERROR(INDEX(БАЗА_ЦІНИ,8,IFERROR(MATCH(ЕТАЛОН_ПЛ,ПЛ_РЯДОК,0),0)),""))</f>
        <v/>
      </c>
      <c r="BZ50" s="71" t="str">
        <f aca="false">IF(OR(BY19="",ЕТАЛОН_ПЛ="",IFERROR(INDEX(БАЗА_ЦІНИ,8,IFERROR(MATCH(ЕТАЛОН_ПЛ,ПЛ_РЯДОК,0),0)),"")="",IFERROR(INDEX(БАЗА_ЦІНИ,8,IFERROR(MATCH(ЕТАЛОН_ПЛ,ПЛ_РЯДОК,0),0)),"")=0),"",BY19/IFERROR(INDEX(БАЗА_ЦІНИ,8,IFERROR(MATCH(ЕТАЛОН_ПЛ,ПЛ_РЯДОК,0),0)),"")-1)</f>
        <v/>
      </c>
      <c r="CA50" s="70" t="str">
        <f aca="false">IF(OR(CA19="",ЕТАЛОН_ПЛ="",IFERROR(INDEX(БАЗА_ЦІНИ,8,IFERROR(MATCH(ЕТАЛОН_ПЛ,ПЛ_РЯДОК,0),0)),"")=""),"",CA19-IFERROR(INDEX(БАЗА_ЦІНИ,8,IFERROR(MATCH(ЕТАЛОН_ПЛ,ПЛ_РЯДОК,0),0)),""))</f>
        <v/>
      </c>
      <c r="CB50" s="71" t="str">
        <f aca="false">IF(OR(CA19="",ЕТАЛОН_ПЛ="",IFERROR(INDEX(БАЗА_ЦІНИ,8,IFERROR(MATCH(ЕТАЛОН_ПЛ,ПЛ_РЯДОК,0),0)),"")="",IFERROR(INDEX(БАЗА_ЦІНИ,8,IFERROR(MATCH(ЕТАЛОН_ПЛ,ПЛ_РЯДОК,0),0)),"")=0),"",CA19/IFERROR(INDEX(БАЗА_ЦІНИ,8,IFERROR(MATCH(ЕТАЛОН_ПЛ,ПЛ_РЯДОК,0),0)),"")-1)</f>
        <v/>
      </c>
      <c r="CC50" s="70" t="str">
        <f aca="false">IF(OR(CC19="",ЕТАЛОН_ПЛ="",IFERROR(INDEX(БАЗА_ЦІНИ,8,IFERROR(MATCH(ЕТАЛОН_ПЛ,ПЛ_РЯДОК,0),0)),"")=""),"",CC19-IFERROR(INDEX(БАЗА_ЦІНИ,8,IFERROR(MATCH(ЕТАЛОН_ПЛ,ПЛ_РЯДОК,0),0)),""))</f>
        <v/>
      </c>
      <c r="CD50" s="71" t="str">
        <f aca="false">IF(OR(CC19="",ЕТАЛОН_ПЛ="",IFERROR(INDEX(БАЗА_ЦІНИ,8,IFERROR(MATCH(ЕТАЛОН_ПЛ,ПЛ_РЯДОК,0),0)),"")="",IFERROR(INDEX(БАЗА_ЦІНИ,8,IFERROR(MATCH(ЕТАЛОН_ПЛ,ПЛ_РЯДОК,0),0)),"")=0),"",CC19/IFERROR(INDEX(БАЗА_ЦІНИ,8,IFERROR(MATCH(ЕТАЛОН_ПЛ,ПЛ_РЯДОК,0),0)),"")-1)</f>
        <v/>
      </c>
      <c r="CE50" s="70" t="str">
        <f aca="false">IF(OR(CE19="",ЕТАЛОН_ПЛ="",IFERROR(INDEX(БАЗА_ЦІНИ,8,IFERROR(MATCH(ЕТАЛОН_ПЛ,ПЛ_РЯДОК,0),0)),"")=""),"",CE19-IFERROR(INDEX(БАЗА_ЦІНИ,8,IFERROR(MATCH(ЕТАЛОН_ПЛ,ПЛ_РЯДОК,0),0)),""))</f>
        <v/>
      </c>
      <c r="CF50" s="71" t="str">
        <f aca="false">IF(OR(CE19="",ЕТАЛОН_ПЛ="",IFERROR(INDEX(БАЗА_ЦІНИ,8,IFERROR(MATCH(ЕТАЛОН_ПЛ,ПЛ_РЯДОК,0),0)),"")="",IFERROR(INDEX(БАЗА_ЦІНИ,8,IFERROR(MATCH(ЕТАЛОН_ПЛ,ПЛ_РЯДОК,0),0)),"")=0),"",CE19/IFERROR(INDEX(БАЗА_ЦІНИ,8,IFERROR(MATCH(ЕТАЛОН_ПЛ,ПЛ_РЯДОК,0),0)),"")-1)</f>
        <v/>
      </c>
      <c r="CG50" s="70" t="str">
        <f aca="false">IF(OR(CG19="",ЕТАЛОН_ПЛ="",IFERROR(INDEX(БАЗА_ЦІНИ,8,IFERROR(MATCH(ЕТАЛОН_ПЛ,ПЛ_РЯДОК,0),0)),"")=""),"",CG19-IFERROR(INDEX(БАЗА_ЦІНИ,8,IFERROR(MATCH(ЕТАЛОН_ПЛ,ПЛ_РЯДОК,0),0)),""))</f>
        <v/>
      </c>
      <c r="CH50" s="71" t="str">
        <f aca="false">IF(OR(CG19="",ЕТАЛОН_ПЛ="",IFERROR(INDEX(БАЗА_ЦІНИ,8,IFERROR(MATCH(ЕТАЛОН_ПЛ,ПЛ_РЯДОК,0),0)),"")="",IFERROR(INDEX(БАЗА_ЦІНИ,8,IFERROR(MATCH(ЕТАЛОН_ПЛ,ПЛ_РЯДОК,0),0)),"")=0),"",CG19/IFERROR(INDEX(БАЗА_ЦІНИ,8,IFERROR(MATCH(ЕТАЛОН_ПЛ,ПЛ_РЯДОК,0),0)),"")-1)</f>
        <v/>
      </c>
      <c r="CI50" s="70" t="str">
        <f aca="false">IF(OR(CI19="",ЕТАЛОН_ПЛ="",IFERROR(INDEX(БАЗА_ЦІНИ,8,IFERROR(MATCH(ЕТАЛОН_ПЛ,ПЛ_РЯДОК,0),0)),"")=""),"",CI19-IFERROR(INDEX(БАЗА_ЦІНИ,8,IFERROR(MATCH(ЕТАЛОН_ПЛ,ПЛ_РЯДОК,0),0)),""))</f>
        <v/>
      </c>
      <c r="CJ50" s="71" t="str">
        <f aca="false">IF(OR(CI19="",ЕТАЛОН_ПЛ="",IFERROR(INDEX(БАЗА_ЦІНИ,8,IFERROR(MATCH(ЕТАЛОН_ПЛ,ПЛ_РЯДОК,0),0)),"")="",IFERROR(INDEX(БАЗА_ЦІНИ,8,IFERROR(MATCH(ЕТАЛОН_ПЛ,ПЛ_РЯДОК,0),0)),"")=0),"",CI19/IFERROR(INDEX(БАЗА_ЦІНИ,8,IFERROR(MATCH(ЕТАЛОН_ПЛ,ПЛ_РЯДОК,0),0)),"")-1)</f>
        <v/>
      </c>
      <c r="CK50" s="70" t="str">
        <f aca="false">IF(OR(CK19="",ЕТАЛОН_ПЛ="",IFERROR(INDEX(БАЗА_ЦІНИ,8,IFERROR(MATCH(ЕТАЛОН_ПЛ,ПЛ_РЯДОК,0),0)),"")=""),"",CK19-IFERROR(INDEX(БАЗА_ЦІНИ,8,IFERROR(MATCH(ЕТАЛОН_ПЛ,ПЛ_РЯДОК,0),0)),""))</f>
        <v/>
      </c>
      <c r="CL50" s="71" t="str">
        <f aca="false">IF(OR(CK19="",ЕТАЛОН_ПЛ="",IFERROR(INDEX(БАЗА_ЦІНИ,8,IFERROR(MATCH(ЕТАЛОН_ПЛ,ПЛ_РЯДОК,0),0)),"")="",IFERROR(INDEX(БАЗА_ЦІНИ,8,IFERROR(MATCH(ЕТАЛОН_ПЛ,ПЛ_РЯДОК,0),0)),"")=0),"",CK19/IFERROR(INDEX(БАЗА_ЦІНИ,8,IFERROR(MATCH(ЕТАЛОН_ПЛ,ПЛ_РЯДОК,0),0)),"")-1)</f>
        <v/>
      </c>
      <c r="CM50" s="70" t="str">
        <f aca="false">IF(OR(CM19="",ЕТАЛОН_ПЛ="",IFERROR(INDEX(БАЗА_ЦІНИ,8,IFERROR(MATCH(ЕТАЛОН_ПЛ,ПЛ_РЯДОК,0),0)),"")=""),"",CM19-IFERROR(INDEX(БАЗА_ЦІНИ,8,IFERROR(MATCH(ЕТАЛОН_ПЛ,ПЛ_РЯДОК,0),0)),""))</f>
        <v/>
      </c>
      <c r="CN50" s="71" t="str">
        <f aca="false">IF(OR(CM19="",ЕТАЛОН_ПЛ="",IFERROR(INDEX(БАЗА_ЦІНИ,8,IFERROR(MATCH(ЕТАЛОН_ПЛ,ПЛ_РЯДОК,0),0)),"")="",IFERROR(INDEX(БАЗА_ЦІНИ,8,IFERROR(MATCH(ЕТАЛОН_ПЛ,ПЛ_РЯДОК,0),0)),"")=0),"",CM19/IFERROR(INDEX(БАЗА_ЦІНИ,8,IFERROR(MATCH(ЕТАЛОН_ПЛ,ПЛ_РЯДОК,0),0)),"")-1)</f>
        <v/>
      </c>
      <c r="CO50" s="70" t="str">
        <f aca="false">IF(OR(CO19="",ЕТАЛОН_ПЛ="",IFERROR(INDEX(БАЗА_ЦІНИ,8,IFERROR(MATCH(ЕТАЛОН_ПЛ,ПЛ_РЯДОК,0),0)),"")=""),"",CO19-IFERROR(INDEX(БАЗА_ЦІНИ,8,IFERROR(MATCH(ЕТАЛОН_ПЛ,ПЛ_РЯДОК,0),0)),""))</f>
        <v/>
      </c>
      <c r="CP50" s="71" t="str">
        <f aca="false">IF(OR(CO19="",ЕТАЛОН_ПЛ="",IFERROR(INDEX(БАЗА_ЦІНИ,8,IFERROR(MATCH(ЕТАЛОН_ПЛ,ПЛ_РЯДОК,0),0)),"")="",IFERROR(INDEX(БАЗА_ЦІНИ,8,IFERROR(MATCH(ЕТАЛОН_ПЛ,ПЛ_РЯДОК,0),0)),"")=0),"",CO19/IFERROR(INDEX(БАЗА_ЦІНИ,8,IFERROR(MATCH(ЕТАЛОН_ПЛ,ПЛ_РЯДОК,0),0)),"")-1)</f>
        <v/>
      </c>
      <c r="CQ50" s="70" t="str">
        <f aca="false">IF(OR(CQ19="",ЕТАЛОН_ПЛ="",IFERROR(INDEX(БАЗА_ЦІНИ,8,IFERROR(MATCH(ЕТАЛОН_ПЛ,ПЛ_РЯДОК,0),0)),"")=""),"",CQ19-IFERROR(INDEX(БАЗА_ЦІНИ,8,IFERROR(MATCH(ЕТАЛОН_ПЛ,ПЛ_РЯДОК,0),0)),""))</f>
        <v/>
      </c>
      <c r="CR50" s="71" t="str">
        <f aca="false">IF(OR(CQ19="",ЕТАЛОН_ПЛ="",IFERROR(INDEX(БАЗА_ЦІНИ,8,IFERROR(MATCH(ЕТАЛОН_ПЛ,ПЛ_РЯДОК,0),0)),"")="",IFERROR(INDEX(БАЗА_ЦІНИ,8,IFERROR(MATCH(ЕТАЛОН_ПЛ,ПЛ_РЯДОК,0),0)),"")=0),"",CQ19/IFERROR(INDEX(БАЗА_ЦІНИ,8,IFERROR(MATCH(ЕТАЛОН_ПЛ,ПЛ_РЯДОК,0),0)),"")-1)</f>
        <v/>
      </c>
      <c r="CS50" s="70" t="str">
        <f aca="false">IF(OR(CS19="",ЕТАЛОН_ПЛ="",IFERROR(INDEX(БАЗА_ЦІНИ,8,IFERROR(MATCH(ЕТАЛОН_ПЛ,ПЛ_РЯДОК,0),0)),"")=""),"",CS19-IFERROR(INDEX(БАЗА_ЦІНИ,8,IFERROR(MATCH(ЕТАЛОН_ПЛ,ПЛ_РЯДОК,0),0)),""))</f>
        <v/>
      </c>
      <c r="CT50" s="71" t="str">
        <f aca="false">IF(OR(CS19="",ЕТАЛОН_ПЛ="",IFERROR(INDEX(БАЗА_ЦІНИ,8,IFERROR(MATCH(ЕТАЛОН_ПЛ,ПЛ_РЯДОК,0),0)),"")="",IFERROR(INDEX(БАЗА_ЦІНИ,8,IFERROR(MATCH(ЕТАЛОН_ПЛ,ПЛ_РЯДОК,0),0)),"")=0),"",CS19/IFERROR(INDEX(БАЗА_ЦІНИ,8,IFERROR(MATCH(ЕТАЛОН_ПЛ,ПЛ_РЯДОК,0),0)),"")-1)</f>
        <v/>
      </c>
      <c r="CU50" s="70" t="str">
        <f aca="false">IF(OR(CU19="",ЕТАЛОН_ПЛ="",IFERROR(INDEX(БАЗА_ЦІНИ,8,IFERROR(MATCH(ЕТАЛОН_ПЛ,ПЛ_РЯДОК,0),0)),"")=""),"",CU19-IFERROR(INDEX(БАЗА_ЦІНИ,8,IFERROR(MATCH(ЕТАЛОН_ПЛ,ПЛ_РЯДОК,0),0)),""))</f>
        <v/>
      </c>
      <c r="CV50" s="71" t="str">
        <f aca="false">IF(OR(CU19="",ЕТАЛОН_ПЛ="",IFERROR(INDEX(БАЗА_ЦІНИ,8,IFERROR(MATCH(ЕТАЛОН_ПЛ,ПЛ_РЯДОК,0),0)),"")="",IFERROR(INDEX(БАЗА_ЦІНИ,8,IFERROR(MATCH(ЕТАЛОН_ПЛ,ПЛ_РЯДОК,0),0)),"")=0),"",CU19/IFERROR(INDEX(БАЗА_ЦІНИ,8,IFERROR(MATCH(ЕТАЛОН_ПЛ,ПЛ_РЯДОК,0),0)),"")-1)</f>
        <v/>
      </c>
      <c r="CW50" s="70" t="str">
        <f aca="false">IF(OR(CW19="",ЕТАЛОН_ПЛ="",IFERROR(INDEX(БАЗА_ЦІНИ,8,IFERROR(MATCH(ЕТАЛОН_ПЛ,ПЛ_РЯДОК,0),0)),"")=""),"",CW19-IFERROR(INDEX(БАЗА_ЦІНИ,8,IFERROR(MATCH(ЕТАЛОН_ПЛ,ПЛ_РЯДОК,0),0)),""))</f>
        <v/>
      </c>
      <c r="CX50" s="71" t="str">
        <f aca="false">IF(OR(CW19="",ЕТАЛОН_ПЛ="",IFERROR(INDEX(БАЗА_ЦІНИ,8,IFERROR(MATCH(ЕТАЛОН_ПЛ,ПЛ_РЯДОК,0),0)),"")="",IFERROR(INDEX(БАЗА_ЦІНИ,8,IFERROR(MATCH(ЕТАЛОН_ПЛ,ПЛ_РЯДОК,0),0)),"")=0),"",CW19/IFERROR(INDEX(БАЗА_ЦІНИ,8,IFERROR(MATCH(ЕТАЛОН_ПЛ,ПЛ_РЯДОК,0),0)),"")-1)</f>
        <v/>
      </c>
      <c r="CY50" s="70" t="str">
        <f aca="false">IF(OR(CY19="",ЕТАЛОН_ПЛ="",IFERROR(INDEX(БАЗА_ЦІНИ,8,IFERROR(MATCH(ЕТАЛОН_ПЛ,ПЛ_РЯДОК,0),0)),"")=""),"",CY19-IFERROR(INDEX(БАЗА_ЦІНИ,8,IFERROR(MATCH(ЕТАЛОН_ПЛ,ПЛ_РЯДОК,0),0)),""))</f>
        <v/>
      </c>
      <c r="CZ50" s="71" t="str">
        <f aca="false">IF(OR(CY19="",ЕТАЛОН_ПЛ="",IFERROR(INDEX(БАЗА_ЦІНИ,8,IFERROR(MATCH(ЕТАЛОН_ПЛ,ПЛ_РЯДОК,0),0)),"")="",IFERROR(INDEX(БАЗА_ЦІНИ,8,IFERROR(MATCH(ЕТАЛОН_ПЛ,ПЛ_РЯДОК,0),0)),"")=0),"",CY19/IFERROR(INDEX(БАЗА_ЦІНИ,8,IFERROR(MATCH(ЕТАЛОН_ПЛ,ПЛ_РЯДОК,0),0)),"")-1)</f>
        <v/>
      </c>
      <c r="DA50" s="70" t="str">
        <f aca="false">IF(OR(DA19="",ЕТАЛОН_ПЛ="",IFERROR(INDEX(БАЗА_ЦІНИ,8,IFERROR(MATCH(ЕТАЛОН_ПЛ,ПЛ_РЯДОК,0),0)),"")=""),"",DA19-IFERROR(INDEX(БАЗА_ЦІНИ,8,IFERROR(MATCH(ЕТАЛОН_ПЛ,ПЛ_РЯДОК,0),0)),""))</f>
        <v/>
      </c>
      <c r="DB50" s="71" t="str">
        <f aca="false">IF(OR(DA19="",ЕТАЛОН_ПЛ="",IFERROR(INDEX(БАЗА_ЦІНИ,8,IFERROR(MATCH(ЕТАЛОН_ПЛ,ПЛ_РЯДОК,0),0)),"")="",IFERROR(INDEX(БАЗА_ЦІНИ,8,IFERROR(MATCH(ЕТАЛОН_ПЛ,ПЛ_РЯДОК,0),0)),"")=0),"",DA19/IFERROR(INDEX(БАЗА_ЦІНИ,8,IFERROR(MATCH(ЕТАЛОН_ПЛ,ПЛ_РЯДОК,0),0)),"")-1)</f>
        <v/>
      </c>
      <c r="DC50" s="70" t="str">
        <f aca="false">IF(OR(DC19="",ЕТАЛОН_ПЛ="",IFERROR(INDEX(БАЗА_ЦІНИ,8,IFERROR(MATCH(ЕТАЛОН_ПЛ,ПЛ_РЯДОК,0),0)),"")=""),"",DC19-IFERROR(INDEX(БАЗА_ЦІНИ,8,IFERROR(MATCH(ЕТАЛОН_ПЛ,ПЛ_РЯДОК,0),0)),""))</f>
        <v/>
      </c>
      <c r="DD50" s="71" t="str">
        <f aca="false">IF(OR(DC19="",ЕТАЛОН_ПЛ="",IFERROR(INDEX(БАЗА_ЦІНИ,8,IFERROR(MATCH(ЕТАЛОН_ПЛ,ПЛ_РЯДОК,0),0)),"")="",IFERROR(INDEX(БАЗА_ЦІНИ,8,IFERROR(MATCH(ЕТАЛОН_ПЛ,ПЛ_РЯДОК,0),0)),"")=0),"",DC19/IFERROR(INDEX(БАЗА_ЦІНИ,8,IFERROR(MATCH(ЕТАЛОН_ПЛ,ПЛ_РЯДОК,0),0)),"")-1)</f>
        <v/>
      </c>
      <c r="DE50" s="70" t="str">
        <f aca="false">IF(OR(DE19="",ЕТАЛОН_ПЛ="",IFERROR(INDEX(БАЗА_ЦІНИ,8,IFERROR(MATCH(ЕТАЛОН_ПЛ,ПЛ_РЯДОК,0),0)),"")=""),"",DE19-IFERROR(INDEX(БАЗА_ЦІНИ,8,IFERROR(MATCH(ЕТАЛОН_ПЛ,ПЛ_РЯДОК,0),0)),""))</f>
        <v/>
      </c>
      <c r="DF50" s="71" t="str">
        <f aca="false">IF(OR(DE19="",ЕТАЛОН_ПЛ="",IFERROR(INDEX(БАЗА_ЦІНИ,8,IFERROR(MATCH(ЕТАЛОН_ПЛ,ПЛ_РЯДОК,0),0)),"")="",IFERROR(INDEX(БАЗА_ЦІНИ,8,IFERROR(MATCH(ЕТАЛОН_ПЛ,ПЛ_РЯДОК,0),0)),"")=0),"",DE19/IFERROR(INDEX(БАЗА_ЦІНИ,8,IFERROR(MATCH(ЕТАЛОН_ПЛ,ПЛ_РЯДОК,0),0)),"")-1)</f>
        <v/>
      </c>
      <c r="DG50" s="70" t="str">
        <f aca="false">IF(OR(DG19="",ЕТАЛОН_ПЛ="",IFERROR(INDEX(БАЗА_ЦІНИ,8,IFERROR(MATCH(ЕТАЛОН_ПЛ,ПЛ_РЯДОК,0),0)),"")=""),"",DG19-IFERROR(INDEX(БАЗА_ЦІНИ,8,IFERROR(MATCH(ЕТАЛОН_ПЛ,ПЛ_РЯДОК,0),0)),""))</f>
        <v/>
      </c>
      <c r="DH50" s="71" t="str">
        <f aca="false">IF(OR(DG19="",ЕТАЛОН_ПЛ="",IFERROR(INDEX(БАЗА_ЦІНИ,8,IFERROR(MATCH(ЕТАЛОН_ПЛ,ПЛ_РЯДОК,0),0)),"")="",IFERROR(INDEX(БАЗА_ЦІНИ,8,IFERROR(MATCH(ЕТАЛОН_ПЛ,ПЛ_РЯДОК,0),0)),"")=0),"",DG19/IFERROR(INDEX(БАЗА_ЦІНИ,8,IFERROR(MATCH(ЕТАЛОН_ПЛ,ПЛ_РЯДОК,0),0)),"")-1)</f>
        <v/>
      </c>
      <c r="DI50" s="70" t="str">
        <f aca="false">IF(OR(DI19="",ЕТАЛОН_ПЛ="",IFERROR(INDEX(БАЗА_ЦІНИ,8,IFERROR(MATCH(ЕТАЛОН_ПЛ,ПЛ_РЯДОК,0),0)),"")=""),"",DI19-IFERROR(INDEX(БАЗА_ЦІНИ,8,IFERROR(MATCH(ЕТАЛОН_ПЛ,ПЛ_РЯДОК,0),0)),""))</f>
        <v/>
      </c>
      <c r="DJ50" s="71" t="str">
        <f aca="false">IF(OR(DI19="",ЕТАЛОН_ПЛ="",IFERROR(INDEX(БАЗА_ЦІНИ,8,IFERROR(MATCH(ЕТАЛОН_ПЛ,ПЛ_РЯДОК,0),0)),"")="",IFERROR(INDEX(БАЗА_ЦІНИ,8,IFERROR(MATCH(ЕТАЛОН_ПЛ,ПЛ_РЯДОК,0),0)),"")=0),"",DI19/IFERROR(INDEX(БАЗА_ЦІНИ,8,IFERROR(MATCH(ЕТАЛОН_ПЛ,ПЛ_РЯДОК,0),0)),"")-1)</f>
        <v/>
      </c>
      <c r="DK50" s="70" t="str">
        <f aca="false">IF(OR(DK19="",ЕТАЛОН_ПЛ="",IFERROR(INDEX(БАЗА_ЦІНИ,8,IFERROR(MATCH(ЕТАЛОН_ПЛ,ПЛ_РЯДОК,0),0)),"")=""),"",DK19-IFERROR(INDEX(БАЗА_ЦІНИ,8,IFERROR(MATCH(ЕТАЛОН_ПЛ,ПЛ_РЯДОК,0),0)),""))</f>
        <v/>
      </c>
      <c r="DL50" s="71" t="str">
        <f aca="false">IF(OR(DK19="",ЕТАЛОН_ПЛ="",IFERROR(INDEX(БАЗА_ЦІНИ,8,IFERROR(MATCH(ЕТАЛОН_ПЛ,ПЛ_РЯДОК,0),0)),"")="",IFERROR(INDEX(БАЗА_ЦІНИ,8,IFERROR(MATCH(ЕТАЛОН_ПЛ,ПЛ_РЯДОК,0),0)),"")=0),"",DK19/IFERROR(INDEX(БАЗА_ЦІНИ,8,IFERROR(MATCH(ЕТАЛОН_ПЛ,ПЛ_РЯДОК,0),0)),"")-1)</f>
        <v/>
      </c>
      <c r="DM50" s="70" t="str">
        <f aca="false">IF(OR(DM19="",ЕТАЛОН_ПЛ="",IFERROR(INDEX(БАЗА_ЦІНИ,8,IFERROR(MATCH(ЕТАЛОН_ПЛ,ПЛ_РЯДОК,0),0)),"")=""),"",DM19-IFERROR(INDEX(БАЗА_ЦІНИ,8,IFERROR(MATCH(ЕТАЛОН_ПЛ,ПЛ_РЯДОК,0),0)),""))</f>
        <v/>
      </c>
      <c r="DN50" s="71" t="str">
        <f aca="false">IF(OR(DM19="",ЕТАЛОН_ПЛ="",IFERROR(INDEX(БАЗА_ЦІНИ,8,IFERROR(MATCH(ЕТАЛОН_ПЛ,ПЛ_РЯДОК,0),0)),"")="",IFERROR(INDEX(БАЗА_ЦІНИ,8,IFERROR(MATCH(ЕТАЛОН_ПЛ,ПЛ_РЯДОК,0),0)),"")=0),"",DM19/IFERROR(INDEX(БАЗА_ЦІНИ,8,IFERROR(MATCH(ЕТАЛОН_ПЛ,ПЛ_РЯДОК,0),0)),"")-1)</f>
        <v/>
      </c>
      <c r="DO50" s="70" t="str">
        <f aca="false">IF(OR(DO19="",ЕТАЛОН_ПЛ="",IFERROR(INDEX(БАЗА_ЦІНИ,8,IFERROR(MATCH(ЕТАЛОН_ПЛ,ПЛ_РЯДОК,0),0)),"")=""),"",DO19-IFERROR(INDEX(БАЗА_ЦІНИ,8,IFERROR(MATCH(ЕТАЛОН_ПЛ,ПЛ_РЯДОК,0),0)),""))</f>
        <v/>
      </c>
      <c r="DP50" s="71" t="str">
        <f aca="false">IF(OR(DO19="",ЕТАЛОН_ПЛ="",IFERROR(INDEX(БАЗА_ЦІНИ,8,IFERROR(MATCH(ЕТАЛОН_ПЛ,ПЛ_РЯДОК,0),0)),"")="",IFERROR(INDEX(БАЗА_ЦІНИ,8,IFERROR(MATCH(ЕТАЛОН_ПЛ,ПЛ_РЯДОК,0),0)),"")=0),"",DO19/IFERROR(INDEX(БАЗА_ЦІНИ,8,IFERROR(MATCH(ЕТАЛОН_ПЛ,ПЛ_РЯДОК,0),0)),"")-1)</f>
        <v/>
      </c>
      <c r="DQ50" s="70" t="str">
        <f aca="false">IF(OR(DQ19="",ЕТАЛОН_ПЛ="",IFERROR(INDEX(БАЗА_ЦІНИ,8,IFERROR(MATCH(ЕТАЛОН_ПЛ,ПЛ_РЯДОК,0),0)),"")=""),"",DQ19-IFERROR(INDEX(БАЗА_ЦІНИ,8,IFERROR(MATCH(ЕТАЛОН_ПЛ,ПЛ_РЯДОК,0),0)),""))</f>
        <v/>
      </c>
      <c r="DR50" s="71" t="str">
        <f aca="false">IF(OR(DQ19="",ЕТАЛОН_ПЛ="",IFERROR(INDEX(БАЗА_ЦІНИ,8,IFERROR(MATCH(ЕТАЛОН_ПЛ,ПЛ_РЯДОК,0),0)),"")="",IFERROR(INDEX(БАЗА_ЦІНИ,8,IFERROR(MATCH(ЕТАЛОН_ПЛ,ПЛ_РЯДОК,0),0)),"")=0),"",DQ19/IFERROR(INDEX(БАЗА_ЦІНИ,8,IFERROR(MATCH(ЕТАЛОН_ПЛ,ПЛ_РЯДОК,0),0)),"")-1)</f>
        <v/>
      </c>
      <c r="DS50" s="70" t="str">
        <f aca="false">IF(OR(DS19="",ЕТАЛОН_ПЛ="",IFERROR(INDEX(БАЗА_ЦІНИ,8,IFERROR(MATCH(ЕТАЛОН_ПЛ,ПЛ_РЯДОК,0),0)),"")=""),"",DS19-IFERROR(INDEX(БАЗА_ЦІНИ,8,IFERROR(MATCH(ЕТАЛОН_ПЛ,ПЛ_РЯДОК,0),0)),""))</f>
        <v/>
      </c>
      <c r="DT50" s="71" t="str">
        <f aca="false">IF(OR(DS19="",ЕТАЛОН_ПЛ="",IFERROR(INDEX(БАЗА_ЦІНИ,8,IFERROR(MATCH(ЕТАЛОН_ПЛ,ПЛ_РЯДОК,0),0)),"")="",IFERROR(INDEX(БАЗА_ЦІНИ,8,IFERROR(MATCH(ЕТАЛОН_ПЛ,ПЛ_РЯДОК,0),0)),"")=0),"",DS19/IFERROR(INDEX(БАЗА_ЦІНИ,8,IFERROR(MATCH(ЕТАЛОН_ПЛ,ПЛ_РЯДОК,0),0)),"")-1)</f>
        <v/>
      </c>
      <c r="DU50" s="70" t="str">
        <f aca="false">IF(OR(DU19="",ЕТАЛОН_ПЛ="",IFERROR(INDEX(БАЗА_ЦІНИ,8,IFERROR(MATCH(ЕТАЛОН_ПЛ,ПЛ_РЯДОК,0),0)),"")=""),"",DU19-IFERROR(INDEX(БАЗА_ЦІНИ,8,IFERROR(MATCH(ЕТАЛОН_ПЛ,ПЛ_РЯДОК,0),0)),""))</f>
        <v/>
      </c>
      <c r="DV50" s="71" t="str">
        <f aca="false">IF(OR(DU19="",ЕТАЛОН_ПЛ="",IFERROR(INDEX(БАЗА_ЦІНИ,8,IFERROR(MATCH(ЕТАЛОН_ПЛ,ПЛ_РЯДОК,0),0)),"")="",IFERROR(INDEX(БАЗА_ЦІНИ,8,IFERROR(MATCH(ЕТАЛОН_ПЛ,ПЛ_РЯДОК,0),0)),"")=0),"",DU19/IFERROR(INDEX(БАЗА_ЦІНИ,8,IFERROR(MATCH(ЕТАЛОН_ПЛ,ПЛ_РЯДОК,0),0)),"")-1)</f>
        <v/>
      </c>
      <c r="DW50" s="70" t="str">
        <f aca="false">IF(OR(DW19="",ЕТАЛОН_ПЛ="",IFERROR(INDEX(БАЗА_ЦІНИ,8,IFERROR(MATCH(ЕТАЛОН_ПЛ,ПЛ_РЯДОК,0),0)),"")=""),"",DW19-IFERROR(INDEX(БАЗА_ЦІНИ,8,IFERROR(MATCH(ЕТАЛОН_ПЛ,ПЛ_РЯДОК,0),0)),""))</f>
        <v/>
      </c>
      <c r="DX50" s="71" t="str">
        <f aca="false">IF(OR(DW19="",ЕТАЛОН_ПЛ="",IFERROR(INDEX(БАЗА_ЦІНИ,8,IFERROR(MATCH(ЕТАЛОН_ПЛ,ПЛ_РЯДОК,0),0)),"")="",IFERROR(INDEX(БАЗА_ЦІНИ,8,IFERROR(MATCH(ЕТАЛОН_ПЛ,ПЛ_РЯДОК,0),0)),"")=0),"",DW19/IFERROR(INDEX(БАЗА_ЦІНИ,8,IFERROR(MATCH(ЕТАЛОН_ПЛ,ПЛ_РЯДОК,0),0)),"")-1)</f>
        <v/>
      </c>
      <c r="DY50" s="70" t="str">
        <f aca="false">IF(OR(DY19="",ЕТАЛОН_ПЛ="",IFERROR(INDEX(БАЗА_ЦІНИ,8,IFERROR(MATCH(ЕТАЛОН_ПЛ,ПЛ_РЯДОК,0),0)),"")=""),"",DY19-IFERROR(INDEX(БАЗА_ЦІНИ,8,IFERROR(MATCH(ЕТАЛОН_ПЛ,ПЛ_РЯДОК,0),0)),""))</f>
        <v/>
      </c>
      <c r="DZ50" s="71" t="str">
        <f aca="false">IF(OR(DY19="",ЕТАЛОН_ПЛ="",IFERROR(INDEX(БАЗА_ЦІНИ,8,IFERROR(MATCH(ЕТАЛОН_ПЛ,ПЛ_РЯДОК,0),0)),"")="",IFERROR(INDEX(БАЗА_ЦІНИ,8,IFERROR(MATCH(ЕТАЛОН_ПЛ,ПЛ_РЯДОК,0),0)),"")=0),"",DY19/IFERROR(INDEX(БАЗА_ЦІНИ,8,IFERROR(MATCH(ЕТАЛОН_ПЛ,ПЛ_РЯДОК,0),0)),"")-1)</f>
        <v/>
      </c>
      <c r="EA50" s="70" t="str">
        <f aca="false">IF(OR(EA19="",ЕТАЛОН_ПЛ="",IFERROR(INDEX(БАЗА_ЦІНИ,8,IFERROR(MATCH(ЕТАЛОН_ПЛ,ПЛ_РЯДОК,0),0)),"")=""),"",EA19-IFERROR(INDEX(БАЗА_ЦІНИ,8,IFERROR(MATCH(ЕТАЛОН_ПЛ,ПЛ_РЯДОК,0),0)),""))</f>
        <v/>
      </c>
      <c r="EB50" s="71" t="str">
        <f aca="false">IF(OR(EA19="",ЕТАЛОН_ПЛ="",IFERROR(INDEX(БАЗА_ЦІНИ,8,IFERROR(MATCH(ЕТАЛОН_ПЛ,ПЛ_РЯДОК,0),0)),"")="",IFERROR(INDEX(БАЗА_ЦІНИ,8,IFERROR(MATCH(ЕТАЛОН_ПЛ,ПЛ_РЯДОК,0),0)),"")=0),"",EA19/IFERROR(INDEX(БАЗА_ЦІНИ,8,IFERROR(MATCH(ЕТАЛОН_ПЛ,ПЛ_РЯДОК,0),0)),"")-1)</f>
        <v/>
      </c>
      <c r="EC50" s="70" t="str">
        <f aca="false">IF(OR(EC19="",ЕТАЛОН_ПЛ="",IFERROR(INDEX(БАЗА_ЦІНИ,8,IFERROR(MATCH(ЕТАЛОН_ПЛ,ПЛ_РЯДОК,0),0)),"")=""),"",EC19-IFERROR(INDEX(БАЗА_ЦІНИ,8,IFERROR(MATCH(ЕТАЛОН_ПЛ,ПЛ_РЯДОК,0),0)),""))</f>
        <v/>
      </c>
      <c r="ED50" s="71" t="str">
        <f aca="false">IF(OR(EC19="",ЕТАЛОН_ПЛ="",IFERROR(INDEX(БАЗА_ЦІНИ,8,IFERROR(MATCH(ЕТАЛОН_ПЛ,ПЛ_РЯДОК,0),0)),"")="",IFERROR(INDEX(БАЗА_ЦІНИ,8,IFERROR(MATCH(ЕТАЛОН_ПЛ,ПЛ_РЯДОК,0),0)),"")=0),"",EC19/IFERROR(INDEX(БАЗА_ЦІНИ,8,IFERROR(MATCH(ЕТАЛОН_ПЛ,ПЛ_РЯДОК,0),0)),"")-1)</f>
        <v/>
      </c>
      <c r="EE50" s="70" t="str">
        <f aca="false">IF(OR(EE19="",ЕТАЛОН_ПЛ="",IFERROR(INDEX(БАЗА_ЦІНИ,8,IFERROR(MATCH(ЕТАЛОН_ПЛ,ПЛ_РЯДОК,0),0)),"")=""),"",EE19-IFERROR(INDEX(БАЗА_ЦІНИ,8,IFERROR(MATCH(ЕТАЛОН_ПЛ,ПЛ_РЯДОК,0),0)),""))</f>
        <v/>
      </c>
      <c r="EF50" s="71" t="str">
        <f aca="false">IF(OR(EE19="",ЕТАЛОН_ПЛ="",IFERROR(INDEX(БАЗА_ЦІНИ,8,IFERROR(MATCH(ЕТАЛОН_ПЛ,ПЛ_РЯДОК,0),0)),"")="",IFERROR(INDEX(БАЗА_ЦІНИ,8,IFERROR(MATCH(ЕТАЛОН_ПЛ,ПЛ_РЯДОК,0),0)),"")=0),"",EE19/IFERROR(INDEX(БАЗА_ЦІНИ,8,IFERROR(MATCH(ЕТАЛОН_ПЛ,ПЛ_РЯДОК,0),0)),"")-1)</f>
        <v/>
      </c>
      <c r="EG50" s="70" t="str">
        <f aca="false">IF(OR(EG19="",ЕТАЛОН_ПЛ="",IFERROR(INDEX(БАЗА_ЦІНИ,8,IFERROR(MATCH(ЕТАЛОН_ПЛ,ПЛ_РЯДОК,0),0)),"")=""),"",EG19-IFERROR(INDEX(БАЗА_ЦІНИ,8,IFERROR(MATCH(ЕТАЛОН_ПЛ,ПЛ_РЯДОК,0),0)),""))</f>
        <v/>
      </c>
      <c r="EH50" s="71" t="str">
        <f aca="false">IF(OR(EG19="",ЕТАЛОН_ПЛ="",IFERROR(INDEX(БАЗА_ЦІНИ,8,IFERROR(MATCH(ЕТАЛОН_ПЛ,ПЛ_РЯДОК,0),0)),"")="",IFERROR(INDEX(БАЗА_ЦІНИ,8,IFERROR(MATCH(ЕТАЛОН_ПЛ,ПЛ_РЯДОК,0),0)),"")=0),"",EG19/IFERROR(INDEX(БАЗА_ЦІНИ,8,IFERROR(MATCH(ЕТАЛОН_ПЛ,ПЛ_РЯДОК,0),0)),"")-1)</f>
        <v/>
      </c>
      <c r="EI50" s="70" t="str">
        <f aca="false">IF(OR(EI19="",ЕТАЛОН_ПЛ="",IFERROR(INDEX(БАЗА_ЦІНИ,8,IFERROR(MATCH(ЕТАЛОН_ПЛ,ПЛ_РЯДОК,0),0)),"")=""),"",EI19-IFERROR(INDEX(БАЗА_ЦІНИ,8,IFERROR(MATCH(ЕТАЛОН_ПЛ,ПЛ_РЯДОК,0),0)),""))</f>
        <v/>
      </c>
      <c r="EJ50" s="71" t="str">
        <f aca="false">IF(OR(EI19="",ЕТАЛОН_ПЛ="",IFERROR(INDEX(БАЗА_ЦІНИ,8,IFERROR(MATCH(ЕТАЛОН_ПЛ,ПЛ_РЯДОК,0),0)),"")="",IFERROR(INDEX(БАЗА_ЦІНИ,8,IFERROR(MATCH(ЕТАЛОН_ПЛ,ПЛ_РЯДОК,0),0)),"")=0),"",EI19/IFERROR(INDEX(БАЗА_ЦІНИ,8,IFERROR(MATCH(ЕТАЛОН_ПЛ,ПЛ_РЯДОК,0),0)),"")-1)</f>
        <v/>
      </c>
      <c r="EK50" s="70" t="str">
        <f aca="false">IF(OR(EK19="",ЕТАЛОН_ПЛ="",IFERROR(INDEX(БАЗА_ЦІНИ,8,IFERROR(MATCH(ЕТАЛОН_ПЛ,ПЛ_РЯДОК,0),0)),"")=""),"",EK19-IFERROR(INDEX(БАЗА_ЦІНИ,8,IFERROR(MATCH(ЕТАЛОН_ПЛ,ПЛ_РЯДОК,0),0)),""))</f>
        <v/>
      </c>
      <c r="EL50" s="71" t="str">
        <f aca="false">IF(OR(EK19="",ЕТАЛОН_ПЛ="",IFERROR(INDEX(БАЗА_ЦІНИ,8,IFERROR(MATCH(ЕТАЛОН_ПЛ,ПЛ_РЯДОК,0),0)),"")="",IFERROR(INDEX(БАЗА_ЦІНИ,8,IFERROR(MATCH(ЕТАЛОН_ПЛ,ПЛ_РЯДОК,0),0)),"")=0),"",EK19/IFERROR(INDEX(БАЗА_ЦІНИ,8,IFERROR(MATCH(ЕТАЛОН_ПЛ,ПЛ_РЯДОК,0),0)),"")-1)</f>
        <v/>
      </c>
      <c r="EM50" s="70" t="str">
        <f aca="false">IF(OR(EM19="",ЕТАЛОН_ПЛ="",IFERROR(INDEX(БАЗА_ЦІНИ,8,IFERROR(MATCH(ЕТАЛОН_ПЛ,ПЛ_РЯДОК,0),0)),"")=""),"",EM19-IFERROR(INDEX(БАЗА_ЦІНИ,8,IFERROR(MATCH(ЕТАЛОН_ПЛ,ПЛ_РЯДОК,0),0)),""))</f>
        <v/>
      </c>
      <c r="EN50" s="71" t="str">
        <f aca="false">IF(OR(EM19="",ЕТАЛОН_ПЛ="",IFERROR(INDEX(БАЗА_ЦІНИ,8,IFERROR(MATCH(ЕТАЛОН_ПЛ,ПЛ_РЯДОК,0),0)),"")="",IFERROR(INDEX(БАЗА_ЦІНИ,8,IFERROR(MATCH(ЕТАЛОН_ПЛ,ПЛ_РЯДОК,0),0)),"")=0),"",EM19/IFERROR(INDEX(БАЗА_ЦІНИ,8,IFERROR(MATCH(ЕТАЛОН_ПЛ,ПЛ_РЯДОК,0),0)),"")-1)</f>
        <v/>
      </c>
      <c r="EO50" s="70" t="str">
        <f aca="false">IF(OR(EO19="",ЕТАЛОН_ПЛ="",IFERROR(INDEX(БАЗА_ЦІНИ,8,IFERROR(MATCH(ЕТАЛОН_ПЛ,ПЛ_РЯДОК,0),0)),"")=""),"",EO19-IFERROR(INDEX(БАЗА_ЦІНИ,8,IFERROR(MATCH(ЕТАЛОН_ПЛ,ПЛ_РЯДОК,0),0)),""))</f>
        <v/>
      </c>
      <c r="EP50" s="71" t="str">
        <f aca="false">IF(OR(EO19="",ЕТАЛОН_ПЛ="",IFERROR(INDEX(БАЗА_ЦІНИ,8,IFERROR(MATCH(ЕТАЛОН_ПЛ,ПЛ_РЯДОК,0),0)),"")="",IFERROR(INDEX(БАЗА_ЦІНИ,8,IFERROR(MATCH(ЕТАЛОН_ПЛ,ПЛ_РЯДОК,0),0)),"")=0),"",EO19/IFERROR(INDEX(БАЗА_ЦІНИ,8,IFERROR(MATCH(ЕТАЛОН_ПЛ,ПЛ_РЯДОК,0),0)),"")-1)</f>
        <v/>
      </c>
      <c r="EQ50" s="70" t="str">
        <f aca="false">IF(OR(EQ19="",ЕТАЛОН_ПЛ="",IFERROR(INDEX(БАЗА_ЦІНИ,8,IFERROR(MATCH(ЕТАЛОН_ПЛ,ПЛ_РЯДОК,0),0)),"")=""),"",EQ19-IFERROR(INDEX(БАЗА_ЦІНИ,8,IFERROR(MATCH(ЕТАЛОН_ПЛ,ПЛ_РЯДОК,0),0)),""))</f>
        <v/>
      </c>
      <c r="ER50" s="71" t="str">
        <f aca="false">IF(OR(EQ19="",ЕТАЛОН_ПЛ="",IFERROR(INDEX(БАЗА_ЦІНИ,8,IFERROR(MATCH(ЕТАЛОН_ПЛ,ПЛ_РЯДОК,0),0)),"")="",IFERROR(INDEX(БАЗА_ЦІНИ,8,IFERROR(MATCH(ЕТАЛОН_ПЛ,ПЛ_РЯДОК,0),0)),"")=0),"",EQ19/IFERROR(INDEX(БАЗА_ЦІНИ,8,IFERROR(MATCH(ЕТАЛОН_ПЛ,ПЛ_РЯДОК,0),0)),"")-1)</f>
        <v/>
      </c>
      <c r="ES50" s="70" t="str">
        <f aca="false">IF(OR(ES19="",ЕТАЛОН_ПЛ="",IFERROR(INDEX(БАЗА_ЦІНИ,8,IFERROR(MATCH(ЕТАЛОН_ПЛ,ПЛ_РЯДОК,0),0)),"")=""),"",ES19-IFERROR(INDEX(БАЗА_ЦІНИ,8,IFERROR(MATCH(ЕТАЛОН_ПЛ,ПЛ_РЯДОК,0),0)),""))</f>
        <v/>
      </c>
      <c r="ET50" s="71" t="str">
        <f aca="false">IF(OR(ES19="",ЕТАЛОН_ПЛ="",IFERROR(INDEX(БАЗА_ЦІНИ,8,IFERROR(MATCH(ЕТАЛОН_ПЛ,ПЛ_РЯДОК,0),0)),"")="",IFERROR(INDEX(БАЗА_ЦІНИ,8,IFERROR(MATCH(ЕТАЛОН_ПЛ,ПЛ_РЯДОК,0),0)),"")=0),"",ES19/IFERROR(INDEX(БАЗА_ЦІНИ,8,IFERROR(MATCH(ЕТАЛОН_ПЛ,ПЛ_РЯДОК,0),0)),"")-1)</f>
        <v/>
      </c>
      <c r="EU50" s="70" t="str">
        <f aca="false">IF(OR(EU19="",ЕТАЛОН_ПЛ="",IFERROR(INDEX(БАЗА_ЦІНИ,8,IFERROR(MATCH(ЕТАЛОН_ПЛ,ПЛ_РЯДОК,0),0)),"")=""),"",EU19-IFERROR(INDEX(БАЗА_ЦІНИ,8,IFERROR(MATCH(ЕТАЛОН_ПЛ,ПЛ_РЯДОК,0),0)),""))</f>
        <v/>
      </c>
      <c r="EV50" s="71" t="str">
        <f aca="false">IF(OR(EU19="",ЕТАЛОН_ПЛ="",IFERROR(INDEX(БАЗА_ЦІНИ,8,IFERROR(MATCH(ЕТАЛОН_ПЛ,ПЛ_РЯДОК,0),0)),"")="",IFERROR(INDEX(БАЗА_ЦІНИ,8,IFERROR(MATCH(ЕТАЛОН_ПЛ,ПЛ_РЯДОК,0),0)),"")=0),"",EU19/IFERROR(INDEX(БАЗА_ЦІНИ,8,IFERROR(MATCH(ЕТАЛОН_ПЛ,ПЛ_РЯДОК,0),0)),"")-1)</f>
        <v/>
      </c>
      <c r="EW50" s="70" t="str">
        <f aca="false">IF(OR(EW19="",ЕТАЛОН_ПЛ="",IFERROR(INDEX(БАЗА_ЦІНИ,8,IFERROR(MATCH(ЕТАЛОН_ПЛ,ПЛ_РЯДОК,0),0)),"")=""),"",EW19-IFERROR(INDEX(БАЗА_ЦІНИ,8,IFERROR(MATCH(ЕТАЛОН_ПЛ,ПЛ_РЯДОК,0),0)),""))</f>
        <v/>
      </c>
      <c r="EX50" s="71" t="str">
        <f aca="false">IF(OR(EW19="",ЕТАЛОН_ПЛ="",IFERROR(INDEX(БАЗА_ЦІНИ,8,IFERROR(MATCH(ЕТАЛОН_ПЛ,ПЛ_РЯДОК,0),0)),"")="",IFERROR(INDEX(БАЗА_ЦІНИ,8,IFERROR(MATCH(ЕТАЛОН_ПЛ,ПЛ_РЯДОК,0),0)),"")=0),"",EW19/IFERROR(INDEX(БАЗА_ЦІНИ,8,IFERROR(MATCH(ЕТАЛОН_ПЛ,ПЛ_РЯДОК,0),0)),"")-1)</f>
        <v/>
      </c>
      <c r="EY50" s="70" t="str">
        <f aca="false">IF(OR(EY19="",ЕТАЛОН_ПЛ="",IFERROR(INDEX(БАЗА_ЦІНИ,8,IFERROR(MATCH(ЕТАЛОН_ПЛ,ПЛ_РЯДОК,0),0)),"")=""),"",EY19-IFERROR(INDEX(БАЗА_ЦІНИ,8,IFERROR(MATCH(ЕТАЛОН_ПЛ,ПЛ_РЯДОК,0),0)),""))</f>
        <v/>
      </c>
      <c r="EZ50" s="71" t="str">
        <f aca="false">IF(OR(EY19="",ЕТАЛОН_ПЛ="",IFERROR(INDEX(БАЗА_ЦІНИ,8,IFERROR(MATCH(ЕТАЛОН_ПЛ,ПЛ_РЯДОК,0),0)),"")="",IFERROR(INDEX(БАЗА_ЦІНИ,8,IFERROR(MATCH(ЕТАЛОН_ПЛ,ПЛ_РЯДОК,0),0)),"")=0),"",EY19/IFERROR(INDEX(БАЗА_ЦІНИ,8,IFERROR(MATCH(ЕТАЛОН_ПЛ,ПЛ_РЯДОК,0),0)),"")-1)</f>
        <v/>
      </c>
      <c r="FA50" s="70" t="str">
        <f aca="false">IF(OR(FA19="",ЕТАЛОН_ПЛ="",IFERROR(INDEX(БАЗА_ЦІНИ,8,IFERROR(MATCH(ЕТАЛОН_ПЛ,ПЛ_РЯДОК,0),0)),"")=""),"",FA19-IFERROR(INDEX(БАЗА_ЦІНИ,8,IFERROR(MATCH(ЕТАЛОН_ПЛ,ПЛ_РЯДОК,0),0)),""))</f>
        <v/>
      </c>
      <c r="FB50" s="71" t="str">
        <f aca="false">IF(OR(FA19="",ЕТАЛОН_ПЛ="",IFERROR(INDEX(БАЗА_ЦІНИ,8,IFERROR(MATCH(ЕТАЛОН_ПЛ,ПЛ_РЯДОК,0),0)),"")="",IFERROR(INDEX(БАЗА_ЦІНИ,8,IFERROR(MATCH(ЕТАЛОН_ПЛ,ПЛ_РЯДОК,0),0)),"")=0),"",FA19/IFERROR(INDEX(БАЗА_ЦІНИ,8,IFERROR(MATCH(ЕТАЛОН_ПЛ,ПЛ_РЯДОК,0),0)),"")-1)</f>
        <v/>
      </c>
      <c r="FC50" s="70" t="str">
        <f aca="false">IF(OR(FC19="",ЕТАЛОН_ПЛ="",IFERROR(INDEX(БАЗА_ЦІНИ,8,IFERROR(MATCH(ЕТАЛОН_ПЛ,ПЛ_РЯДОК,0),0)),"")=""),"",FC19-IFERROR(INDEX(БАЗА_ЦІНИ,8,IFERROR(MATCH(ЕТАЛОН_ПЛ,ПЛ_РЯДОК,0),0)),""))</f>
        <v/>
      </c>
      <c r="FD50" s="71" t="str">
        <f aca="false">IF(OR(FC19="",ЕТАЛОН_ПЛ="",IFERROR(INDEX(БАЗА_ЦІНИ,8,IFERROR(MATCH(ЕТАЛОН_ПЛ,ПЛ_РЯДОК,0),0)),"")="",IFERROR(INDEX(БАЗА_ЦІНИ,8,IFERROR(MATCH(ЕТАЛОН_ПЛ,ПЛ_РЯДОК,0),0)),"")=0),"",FC19/IFERROR(INDEX(БАЗА_ЦІНИ,8,IFERROR(MATCH(ЕТАЛОН_ПЛ,ПЛ_РЯДОК,0),0)),"")-1)</f>
        <v/>
      </c>
      <c r="FE50" s="70" t="str">
        <f aca="false">IF(OR(FE19="",ЕТАЛОН_ПЛ="",IFERROR(INDEX(БАЗА_ЦІНИ,8,IFERROR(MATCH(ЕТАЛОН_ПЛ,ПЛ_РЯДОК,0),0)),"")=""),"",FE19-IFERROR(INDEX(БАЗА_ЦІНИ,8,IFERROR(MATCH(ЕТАЛОН_ПЛ,ПЛ_РЯДОК,0),0)),""))</f>
        <v/>
      </c>
      <c r="FF50" s="71" t="str">
        <f aca="false">IF(OR(FE19="",ЕТАЛОН_ПЛ="",IFERROR(INDEX(БАЗА_ЦІНИ,8,IFERROR(MATCH(ЕТАЛОН_ПЛ,ПЛ_РЯДОК,0),0)),"")="",IFERROR(INDEX(БАЗА_ЦІНИ,8,IFERROR(MATCH(ЕТАЛОН_ПЛ,ПЛ_РЯДОК,0),0)),"")=0),"",FE19/IFERROR(INDEX(БАЗА_ЦІНИ,8,IFERROR(MATCH(ЕТАЛОН_ПЛ,ПЛ_РЯДОК,0),0)),"")-1)</f>
        <v/>
      </c>
      <c r="FG50" s="70" t="str">
        <f aca="false">IF(OR(FG19="",ЕТАЛОН_ПЛ="",IFERROR(INDEX(БАЗА_ЦІНИ,8,IFERROR(MATCH(ЕТАЛОН_ПЛ,ПЛ_РЯДОК,0),0)),"")=""),"",FG19-IFERROR(INDEX(БАЗА_ЦІНИ,8,IFERROR(MATCH(ЕТАЛОН_ПЛ,ПЛ_РЯДОК,0),0)),""))</f>
        <v/>
      </c>
      <c r="FH50" s="71" t="str">
        <f aca="false">IF(OR(FG19="",ЕТАЛОН_ПЛ="",IFERROR(INDEX(БАЗА_ЦІНИ,8,IFERROR(MATCH(ЕТАЛОН_ПЛ,ПЛ_РЯДОК,0),0)),"")="",IFERROR(INDEX(БАЗА_ЦІНИ,8,IFERROR(MATCH(ЕТАЛОН_ПЛ,ПЛ_РЯДОК,0),0)),"")=0),"",FG19/IFERROR(INDEX(БАЗА_ЦІНИ,8,IFERROR(MATCH(ЕТАЛОН_ПЛ,ПЛ_РЯДОК,0),0)),"")-1)</f>
        <v/>
      </c>
      <c r="FI50" s="70" t="str">
        <f aca="false">IF(OR(FI19="",ЕТАЛОН_ПЛ="",IFERROR(INDEX(БАЗА_ЦІНИ,8,IFERROR(MATCH(ЕТАЛОН_ПЛ,ПЛ_РЯДОК,0),0)),"")=""),"",FI19-IFERROR(INDEX(БАЗА_ЦІНИ,8,IFERROR(MATCH(ЕТАЛОН_ПЛ,ПЛ_РЯДОК,0),0)),""))</f>
        <v/>
      </c>
      <c r="FJ50" s="71" t="str">
        <f aca="false">IF(OR(FI19="",ЕТАЛОН_ПЛ="",IFERROR(INDEX(БАЗА_ЦІНИ,8,IFERROR(MATCH(ЕТАЛОН_ПЛ,ПЛ_РЯДОК,0),0)),"")="",IFERROR(INDEX(БАЗА_ЦІНИ,8,IFERROR(MATCH(ЕТАЛОН_ПЛ,ПЛ_РЯДОК,0),0)),"")=0),"",FI19/IFERROR(INDEX(БАЗА_ЦІНИ,8,IFERROR(MATCH(ЕТАЛОН_ПЛ,ПЛ_РЯДОК,0),0)),"")-1)</f>
        <v/>
      </c>
      <c r="FK50" s="70" t="str">
        <f aca="false">IF(OR(FK19="",ЕТАЛОН_ПЛ="",IFERROR(INDEX(БАЗА_ЦІНИ,8,IFERROR(MATCH(ЕТАЛОН_ПЛ,ПЛ_РЯДОК,0),0)),"")=""),"",FK19-IFERROR(INDEX(БАЗА_ЦІНИ,8,IFERROR(MATCH(ЕТАЛОН_ПЛ,ПЛ_РЯДОК,0),0)),""))</f>
        <v/>
      </c>
      <c r="FL50" s="71" t="str">
        <f aca="false">IF(OR(FK19="",ЕТАЛОН_ПЛ="",IFERROR(INDEX(БАЗА_ЦІНИ,8,IFERROR(MATCH(ЕТАЛОН_ПЛ,ПЛ_РЯДОК,0),0)),"")="",IFERROR(INDEX(БАЗА_ЦІНИ,8,IFERROR(MATCH(ЕТАЛОН_ПЛ,ПЛ_РЯДОК,0),0)),"")=0),"",FK19/IFERROR(INDEX(БАЗА_ЦІНИ,8,IFERROR(MATCH(ЕТАЛОН_ПЛ,ПЛ_РЯДОК,0),0)),"")-1)</f>
        <v/>
      </c>
      <c r="FM50" s="70" t="str">
        <f aca="false">IF(OR(FM19="",ЕТАЛОН_ПЛ="",IFERROR(INDEX(БАЗА_ЦІНИ,8,IFERROR(MATCH(ЕТАЛОН_ПЛ,ПЛ_РЯДОК,0),0)),"")=""),"",FM19-IFERROR(INDEX(БАЗА_ЦІНИ,8,IFERROR(MATCH(ЕТАЛОН_ПЛ,ПЛ_РЯДОК,0),0)),""))</f>
        <v/>
      </c>
      <c r="FN50" s="71" t="str">
        <f aca="false">IF(OR(FM19="",ЕТАЛОН_ПЛ="",IFERROR(INDEX(БАЗА_ЦІНИ,8,IFERROR(MATCH(ЕТАЛОН_ПЛ,ПЛ_РЯДОК,0),0)),"")="",IFERROR(INDEX(БАЗА_ЦІНИ,8,IFERROR(MATCH(ЕТАЛОН_ПЛ,ПЛ_РЯДОК,0),0)),"")=0),"",FM19/IFERROR(INDEX(БАЗА_ЦІНИ,8,IFERROR(MATCH(ЕТАЛОН_ПЛ,ПЛ_РЯДОК,0),0)),"")-1)</f>
        <v/>
      </c>
      <c r="FO50" s="70" t="str">
        <f aca="false">IF(OR(FO19="",ЕТАЛОН_ПЛ="",IFERROR(INDEX(БАЗА_ЦІНИ,8,IFERROR(MATCH(ЕТАЛОН_ПЛ,ПЛ_РЯДОК,0),0)),"")=""),"",FO19-IFERROR(INDEX(БАЗА_ЦІНИ,8,IFERROR(MATCH(ЕТАЛОН_ПЛ,ПЛ_РЯДОК,0),0)),""))</f>
        <v/>
      </c>
      <c r="FP50" s="71" t="str">
        <f aca="false">IF(OR(FO19="",ЕТАЛОН_ПЛ="",IFERROR(INDEX(БАЗА_ЦІНИ,8,IFERROR(MATCH(ЕТАЛОН_ПЛ,ПЛ_РЯДОК,0),0)),"")="",IFERROR(INDEX(БАЗА_ЦІНИ,8,IFERROR(MATCH(ЕТАЛОН_ПЛ,ПЛ_РЯДОК,0),0)),"")=0),"",FO19/IFERROR(INDEX(БАЗА_ЦІНИ,8,IFERROR(MATCH(ЕТАЛОН_ПЛ,ПЛ_РЯДОК,0),0)),"")-1)</f>
        <v/>
      </c>
      <c r="FQ50" s="70" t="str">
        <f aca="false">IF(OR(FQ19="",ЕТАЛОН_ПЛ="",IFERROR(INDEX(БАЗА_ЦІНИ,8,IFERROR(MATCH(ЕТАЛОН_ПЛ,ПЛ_РЯДОК,0),0)),"")=""),"",FQ19-IFERROR(INDEX(БАЗА_ЦІНИ,8,IFERROR(MATCH(ЕТАЛОН_ПЛ,ПЛ_РЯДОК,0),0)),""))</f>
        <v/>
      </c>
      <c r="FR50" s="71" t="str">
        <f aca="false">IF(OR(FQ19="",ЕТАЛОН_ПЛ="",IFERROR(INDEX(БАЗА_ЦІНИ,8,IFERROR(MATCH(ЕТАЛОН_ПЛ,ПЛ_РЯДОК,0),0)),"")="",IFERROR(INDEX(БАЗА_ЦІНИ,8,IFERROR(MATCH(ЕТАЛОН_ПЛ,ПЛ_РЯДОК,0),0)),"")=0),"",FQ19/IFERROR(INDEX(БАЗА_ЦІНИ,8,IFERROR(MATCH(ЕТАЛОН_ПЛ,ПЛ_РЯДОК,0),0)),"")-1)</f>
        <v/>
      </c>
      <c r="FS50" s="70" t="str">
        <f aca="false">IF(OR(FS19="",ЕТАЛОН_ПЛ="",IFERROR(INDEX(БАЗА_ЦІНИ,8,IFERROR(MATCH(ЕТАЛОН_ПЛ,ПЛ_РЯДОК,0),0)),"")=""),"",FS19-IFERROR(INDEX(БАЗА_ЦІНИ,8,IFERROR(MATCH(ЕТАЛОН_ПЛ,ПЛ_РЯДОК,0),0)),""))</f>
        <v/>
      </c>
      <c r="FT50" s="71" t="str">
        <f aca="false">IF(OR(FS19="",ЕТАЛОН_ПЛ="",IFERROR(INDEX(БАЗА_ЦІНИ,8,IFERROR(MATCH(ЕТАЛОН_ПЛ,ПЛ_РЯДОК,0),0)),"")="",IFERROR(INDEX(БАЗА_ЦІНИ,8,IFERROR(MATCH(ЕТАЛОН_ПЛ,ПЛ_РЯДОК,0),0)),"")=0),"",FS19/IFERROR(INDEX(БАЗА_ЦІНИ,8,IFERROR(MATCH(ЕТАЛОН_ПЛ,ПЛ_РЯДОК,0),0)),"")-1)</f>
        <v/>
      </c>
      <c r="FU50" s="70" t="str">
        <f aca="false">IF(OR(FU19="",ЕТАЛОН_ПЛ="",IFERROR(INDEX(БАЗА_ЦІНИ,8,IFERROR(MATCH(ЕТАЛОН_ПЛ,ПЛ_РЯДОК,0),0)),"")=""),"",FU19-IFERROR(INDEX(БАЗА_ЦІНИ,8,IFERROR(MATCH(ЕТАЛОН_ПЛ,ПЛ_РЯДОК,0),0)),""))</f>
        <v/>
      </c>
      <c r="FV50" s="71" t="str">
        <f aca="false">IF(OR(FU19="",ЕТАЛОН_ПЛ="",IFERROR(INDEX(БАЗА_ЦІНИ,8,IFERROR(MATCH(ЕТАЛОН_ПЛ,ПЛ_РЯДОК,0),0)),"")="",IFERROR(INDEX(БАЗА_ЦІНИ,8,IFERROR(MATCH(ЕТАЛОН_ПЛ,ПЛ_РЯДОК,0),0)),"")=0),"",FU19/IFERROR(INDEX(БАЗА_ЦІНИ,8,IFERROR(MATCH(ЕТАЛОН_ПЛ,ПЛ_РЯДОК,0),0)),"")-1)</f>
        <v/>
      </c>
      <c r="FW50" s="70" t="str">
        <f aca="false">IF(OR(FW19="",ЕТАЛОН_ПЛ="",IFERROR(INDEX(БАЗА_ЦІНИ,8,IFERROR(MATCH(ЕТАЛОН_ПЛ,ПЛ_РЯДОК,0),0)),"")=""),"",FW19-IFERROR(INDEX(БАЗА_ЦІНИ,8,IFERROR(MATCH(ЕТАЛОН_ПЛ,ПЛ_РЯДОК,0),0)),""))</f>
        <v/>
      </c>
      <c r="FX50" s="71" t="str">
        <f aca="false">IF(OR(FW19="",ЕТАЛОН_ПЛ="",IFERROR(INDEX(БАЗА_ЦІНИ,8,IFERROR(MATCH(ЕТАЛОН_ПЛ,ПЛ_РЯДОК,0),0)),"")="",IFERROR(INDEX(БАЗА_ЦІНИ,8,IFERROR(MATCH(ЕТАЛОН_ПЛ,ПЛ_РЯДОК,0),0)),"")=0),"",FW19/IFERROR(INDEX(БАЗА_ЦІНИ,8,IFERROR(MATCH(ЕТАЛОН_ПЛ,ПЛ_РЯДОК,0),0)),"")-1)</f>
        <v/>
      </c>
      <c r="FY50" s="70" t="str">
        <f aca="false">IF(OR(FY19="",ЕТАЛОН_ПЛ="",IFERROR(INDEX(БАЗА_ЦІНИ,8,IFERROR(MATCH(ЕТАЛОН_ПЛ,ПЛ_РЯДОК,0),0)),"")=""),"",FY19-IFERROR(INDEX(БАЗА_ЦІНИ,8,IFERROR(MATCH(ЕТАЛОН_ПЛ,ПЛ_РЯДОК,0),0)),""))</f>
        <v/>
      </c>
      <c r="FZ50" s="71" t="str">
        <f aca="false">IF(OR(FY19="",ЕТАЛОН_ПЛ="",IFERROR(INDEX(БАЗА_ЦІНИ,8,IFERROR(MATCH(ЕТАЛОН_ПЛ,ПЛ_РЯДОК,0),0)),"")="",IFERROR(INDEX(БАЗА_ЦІНИ,8,IFERROR(MATCH(ЕТАЛОН_ПЛ,ПЛ_РЯДОК,0),0)),"")=0),"",FY19/IFERROR(INDEX(БАЗА_ЦІНИ,8,IFERROR(MATCH(ЕТАЛОН_ПЛ,ПЛ_РЯДОК,0),0)),"")-1)</f>
        <v/>
      </c>
      <c r="GA50" s="70" t="str">
        <f aca="false">IF(OR(GA19="",ЕТАЛОН_ПЛ="",IFERROR(INDEX(БАЗА_ЦІНИ,8,IFERROR(MATCH(ЕТАЛОН_ПЛ,ПЛ_РЯДОК,0),0)),"")=""),"",GA19-IFERROR(INDEX(БАЗА_ЦІНИ,8,IFERROR(MATCH(ЕТАЛОН_ПЛ,ПЛ_РЯДОК,0),0)),""))</f>
        <v/>
      </c>
      <c r="GB50" s="71" t="str">
        <f aca="false">IF(OR(GA19="",ЕТАЛОН_ПЛ="",IFERROR(INDEX(БАЗА_ЦІНИ,8,IFERROR(MATCH(ЕТАЛОН_ПЛ,ПЛ_РЯДОК,0),0)),"")="",IFERROR(INDEX(БАЗА_ЦІНИ,8,IFERROR(MATCH(ЕТАЛОН_ПЛ,ПЛ_РЯДОК,0),0)),"")=0),"",GA19/IFERROR(INDEX(БАЗА_ЦІНИ,8,IFERROR(MATCH(ЕТАЛОН_ПЛ,ПЛ_РЯДОК,0),0)),"")-1)</f>
        <v/>
      </c>
      <c r="GC50" s="70" t="str">
        <f aca="false">IF(OR(GC19="",ЕТАЛОН_ПЛ="",IFERROR(INDEX(БАЗА_ЦІНИ,8,IFERROR(MATCH(ЕТАЛОН_ПЛ,ПЛ_РЯДОК,0),0)),"")=""),"",GC19-IFERROR(INDEX(БАЗА_ЦІНИ,8,IFERROR(MATCH(ЕТАЛОН_ПЛ,ПЛ_РЯДОК,0),0)),""))</f>
        <v/>
      </c>
      <c r="GD50" s="71" t="str">
        <f aca="false">IF(OR(GC19="",ЕТАЛОН_ПЛ="",IFERROR(INDEX(БАЗА_ЦІНИ,8,IFERROR(MATCH(ЕТАЛОН_ПЛ,ПЛ_РЯДОК,0),0)),"")="",IFERROR(INDEX(БАЗА_ЦІНИ,8,IFERROR(MATCH(ЕТАЛОН_ПЛ,ПЛ_РЯДОК,0),0)),"")=0),"",GC19/IFERROR(INDEX(БАЗА_ЦІНИ,8,IFERROR(MATCH(ЕТАЛОН_ПЛ,ПЛ_РЯДОК,0),0)),"")-1)</f>
        <v/>
      </c>
      <c r="GE50" s="70" t="str">
        <f aca="false">IF(OR(GE19="",ЕТАЛОН_ПЛ="",IFERROR(INDEX(БАЗА_ЦІНИ,8,IFERROR(MATCH(ЕТАЛОН_ПЛ,ПЛ_РЯДОК,0),0)),"")=""),"",GE19-IFERROR(INDEX(БАЗА_ЦІНИ,8,IFERROR(MATCH(ЕТАЛОН_ПЛ,ПЛ_РЯДОК,0),0)),""))</f>
        <v/>
      </c>
      <c r="GF50" s="71" t="str">
        <f aca="false">IF(OR(GE19="",ЕТАЛОН_ПЛ="",IFERROR(INDEX(БАЗА_ЦІНИ,8,IFERROR(MATCH(ЕТАЛОН_ПЛ,ПЛ_РЯДОК,0),0)),"")="",IFERROR(INDEX(БАЗА_ЦІНИ,8,IFERROR(MATCH(ЕТАЛОН_ПЛ,ПЛ_РЯДОК,0),0)),"")=0),"",GE19/IFERROR(INDEX(БАЗА_ЦІНИ,8,IFERROR(MATCH(ЕТАЛОН_ПЛ,ПЛ_РЯДОК,0),0)),"")-1)</f>
        <v/>
      </c>
      <c r="GG50" s="70" t="str">
        <f aca="false">IF(OR(GG19="",ЕТАЛОН_ПЛ="",IFERROR(INDEX(БАЗА_ЦІНИ,8,IFERROR(MATCH(ЕТАЛОН_ПЛ,ПЛ_РЯДОК,0),0)),"")=""),"",GG19-IFERROR(INDEX(БАЗА_ЦІНИ,8,IFERROR(MATCH(ЕТАЛОН_ПЛ,ПЛ_РЯДОК,0),0)),""))</f>
        <v/>
      </c>
      <c r="GH50" s="71" t="str">
        <f aca="false">IF(OR(GG19="",ЕТАЛОН_ПЛ="",IFERROR(INDEX(БАЗА_ЦІНИ,8,IFERROR(MATCH(ЕТАЛОН_ПЛ,ПЛ_РЯДОК,0),0)),"")="",IFERROR(INDEX(БАЗА_ЦІНИ,8,IFERROR(MATCH(ЕТАЛОН_ПЛ,ПЛ_РЯДОК,0),0)),"")=0),"",GG19/IFERROR(INDEX(БАЗА_ЦІНИ,8,IFERROR(MATCH(ЕТАЛОН_ПЛ,ПЛ_РЯДОК,0),0)),"")-1)</f>
        <v/>
      </c>
      <c r="GI50" s="70" t="str">
        <f aca="false">IF(OR(GI19="",ЕТАЛОН_ПЛ="",IFERROR(INDEX(БАЗА_ЦІНИ,8,IFERROR(MATCH(ЕТАЛОН_ПЛ,ПЛ_РЯДОК,0),0)),"")=""),"",GI19-IFERROR(INDEX(БАЗА_ЦІНИ,8,IFERROR(MATCH(ЕТАЛОН_ПЛ,ПЛ_РЯДОК,0),0)),""))</f>
        <v/>
      </c>
      <c r="GJ50" s="71" t="str">
        <f aca="false">IF(OR(GI19="",ЕТАЛОН_ПЛ="",IFERROR(INDEX(БАЗА_ЦІНИ,8,IFERROR(MATCH(ЕТАЛОН_ПЛ,ПЛ_РЯДОК,0),0)),"")="",IFERROR(INDEX(БАЗА_ЦІНИ,8,IFERROR(MATCH(ЕТАЛОН_ПЛ,ПЛ_РЯДОК,0),0)),"")=0),"",GI19/IFERROR(INDEX(БАЗА_ЦІНИ,8,IFERROR(MATCH(ЕТАЛОН_ПЛ,ПЛ_РЯДОК,0),0)),"")-1)</f>
        <v/>
      </c>
      <c r="GK50" s="70" t="str">
        <f aca="false">IF(OR(GK19="",ЕТАЛОН_ПЛ="",IFERROR(INDEX(БАЗА_ЦІНИ,8,IFERROR(MATCH(ЕТАЛОН_ПЛ,ПЛ_РЯДОК,0),0)),"")=""),"",GK19-IFERROR(INDEX(БАЗА_ЦІНИ,8,IFERROR(MATCH(ЕТАЛОН_ПЛ,ПЛ_РЯДОК,0),0)),""))</f>
        <v/>
      </c>
      <c r="GL50" s="71" t="str">
        <f aca="false">IF(OR(GK19="",ЕТАЛОН_ПЛ="",IFERROR(INDEX(БАЗА_ЦІНИ,8,IFERROR(MATCH(ЕТАЛОН_ПЛ,ПЛ_РЯДОК,0),0)),"")="",IFERROR(INDEX(БАЗА_ЦІНИ,8,IFERROR(MATCH(ЕТАЛОН_ПЛ,ПЛ_РЯДОК,0),0)),"")=0),"",GK19/IFERROR(INDEX(БАЗА_ЦІНИ,8,IFERROR(MATCH(ЕТАЛОН_ПЛ,ПЛ_РЯДОК,0),0)),"")-1)</f>
        <v/>
      </c>
      <c r="GM50" s="70" t="str">
        <f aca="false">IF(OR(GM19="",ЕТАЛОН_ПЛ="",IFERROR(INDEX(БАЗА_ЦІНИ,8,IFERROR(MATCH(ЕТАЛОН_ПЛ,ПЛ_РЯДОК,0),0)),"")=""),"",GM19-IFERROR(INDEX(БАЗА_ЦІНИ,8,IFERROR(MATCH(ЕТАЛОН_ПЛ,ПЛ_РЯДОК,0),0)),""))</f>
        <v/>
      </c>
      <c r="GN50" s="71" t="str">
        <f aca="false">IF(OR(GM19="",ЕТАЛОН_ПЛ="",IFERROR(INDEX(БАЗА_ЦІНИ,8,IFERROR(MATCH(ЕТАЛОН_ПЛ,ПЛ_РЯДОК,0),0)),"")="",IFERROR(INDEX(БАЗА_ЦІНИ,8,IFERROR(MATCH(ЕТАЛОН_ПЛ,ПЛ_РЯДОК,0),0)),"")=0),"",GM19/IFERROR(INDEX(БАЗА_ЦІНИ,8,IFERROR(MATCH(ЕТАЛОН_ПЛ,ПЛ_РЯДОК,0),0)),"")-1)</f>
        <v/>
      </c>
      <c r="GO50" s="70" t="str">
        <f aca="false">IF(OR(GO19="",ЕТАЛОН_ПЛ="",IFERROR(INDEX(БАЗА_ЦІНИ,8,IFERROR(MATCH(ЕТАЛОН_ПЛ,ПЛ_РЯДОК,0),0)),"")=""),"",GO19-IFERROR(INDEX(БАЗА_ЦІНИ,8,IFERROR(MATCH(ЕТАЛОН_ПЛ,ПЛ_РЯДОК,0),0)),""))</f>
        <v/>
      </c>
      <c r="GP50" s="71" t="str">
        <f aca="false">IF(OR(GO19="",ЕТАЛОН_ПЛ="",IFERROR(INDEX(БАЗА_ЦІНИ,8,IFERROR(MATCH(ЕТАЛОН_ПЛ,ПЛ_РЯДОК,0),0)),"")="",IFERROR(INDEX(БАЗА_ЦІНИ,8,IFERROR(MATCH(ЕТАЛОН_ПЛ,ПЛ_РЯДОК,0),0)),"")=0),"",GO19/IFERROR(INDEX(БАЗА_ЦІНИ,8,IFERROR(MATCH(ЕТАЛОН_ПЛ,ПЛ_РЯДОК,0),0)),"")-1)</f>
        <v/>
      </c>
      <c r="GQ50" s="70" t="str">
        <f aca="false">IF(OR(GQ19="",ЕТАЛОН_ПЛ="",IFERROR(INDEX(БАЗА_ЦІНИ,8,IFERROR(MATCH(ЕТАЛОН_ПЛ,ПЛ_РЯДОК,0),0)),"")=""),"",GQ19-IFERROR(INDEX(БАЗА_ЦІНИ,8,IFERROR(MATCH(ЕТАЛОН_ПЛ,ПЛ_РЯДОК,0),0)),""))</f>
        <v/>
      </c>
      <c r="GR50" s="71" t="str">
        <f aca="false">IF(OR(GQ19="",ЕТАЛОН_ПЛ="",IFERROR(INDEX(БАЗА_ЦІНИ,8,IFERROR(MATCH(ЕТАЛОН_ПЛ,ПЛ_РЯДОК,0),0)),"")="",IFERROR(INDEX(БАЗА_ЦІНИ,8,IFERROR(MATCH(ЕТАЛОН_ПЛ,ПЛ_РЯДОК,0),0)),"")=0),"",GQ19/IFERROR(INDEX(БАЗА_ЦІНИ,8,IFERROR(MATCH(ЕТАЛОН_ПЛ,ПЛ_РЯДОК,0),0)),"")-1)</f>
        <v/>
      </c>
      <c r="GS50" s="70" t="str">
        <f aca="false">IF(OR(GS19="",ЕТАЛОН_ПЛ="",IFERROR(INDEX(БАЗА_ЦІНИ,8,IFERROR(MATCH(ЕТАЛОН_ПЛ,ПЛ_РЯДОК,0),0)),"")=""),"",GS19-IFERROR(INDEX(БАЗА_ЦІНИ,8,IFERROR(MATCH(ЕТАЛОН_ПЛ,ПЛ_РЯДОК,0),0)),""))</f>
        <v/>
      </c>
      <c r="GT50" s="71" t="str">
        <f aca="false">IF(OR(GS19="",ЕТАЛОН_ПЛ="",IFERROR(INDEX(БАЗА_ЦІНИ,8,IFERROR(MATCH(ЕТАЛОН_ПЛ,ПЛ_РЯДОК,0),0)),"")="",IFERROR(INDEX(БАЗА_ЦІНИ,8,IFERROR(MATCH(ЕТАЛОН_ПЛ,ПЛ_РЯДОК,0),0)),"")=0),"",GS19/IFERROR(INDEX(БАЗА_ЦІНИ,8,IFERROR(MATCH(ЕТАЛОН_ПЛ,ПЛ_РЯДОК,0),0)),"")-1)</f>
        <v/>
      </c>
      <c r="GU50" s="70" t="str">
        <f aca="false">IF(OR(GU19="",ЕТАЛОН_ПЛ="",IFERROR(INDEX(БАЗА_ЦІНИ,8,IFERROR(MATCH(ЕТАЛОН_ПЛ,ПЛ_РЯДОК,0),0)),"")=""),"",GU19-IFERROR(INDEX(БАЗА_ЦІНИ,8,IFERROR(MATCH(ЕТАЛОН_ПЛ,ПЛ_РЯДОК,0),0)),""))</f>
        <v/>
      </c>
      <c r="GV50" s="71" t="str">
        <f aca="false">IF(OR(GU19="",ЕТАЛОН_ПЛ="",IFERROR(INDEX(БАЗА_ЦІНИ,8,IFERROR(MATCH(ЕТАЛОН_ПЛ,ПЛ_РЯДОК,0),0)),"")="",IFERROR(INDEX(БАЗА_ЦІНИ,8,IFERROR(MATCH(ЕТАЛОН_ПЛ,ПЛ_РЯДОК,0),0)),"")=0),"",GU19/IFERROR(INDEX(БАЗА_ЦІНИ,8,IFERROR(MATCH(ЕТАЛОН_ПЛ,ПЛ_РЯДОК,0),0)),"")-1)</f>
        <v/>
      </c>
      <c r="GW50" s="70" t="str">
        <f aca="false">IF(OR(GW19="",ЕТАЛОН_ПЛ="",IFERROR(INDEX(БАЗА_ЦІНИ,8,IFERROR(MATCH(ЕТАЛОН_ПЛ,ПЛ_РЯДОК,0),0)),"")=""),"",GW19-IFERROR(INDEX(БАЗА_ЦІНИ,8,IFERROR(MATCH(ЕТАЛОН_ПЛ,ПЛ_РЯДОК,0),0)),""))</f>
        <v/>
      </c>
      <c r="GX50" s="71" t="str">
        <f aca="false">IF(OR(GW19="",ЕТАЛОН_ПЛ="",IFERROR(INDEX(БАЗА_ЦІНИ,8,IFERROR(MATCH(ЕТАЛОН_ПЛ,ПЛ_РЯДОК,0),0)),"")="",IFERROR(INDEX(БАЗА_ЦІНИ,8,IFERROR(MATCH(ЕТАЛОН_ПЛ,ПЛ_РЯДОК,0),0)),"")=0),"",GW19/IFERROR(INDEX(БАЗА_ЦІНИ,8,IFERROR(MATCH(ЕТАЛОН_ПЛ,ПЛ_РЯДОК,0),0)),"")-1)</f>
        <v/>
      </c>
      <c r="GY50" s="70" t="str">
        <f aca="false">IF(OR(GY19="",ЕТАЛОН_ПЛ="",IFERROR(INDEX(БАЗА_ЦІНИ,8,IFERROR(MATCH(ЕТАЛОН_ПЛ,ПЛ_РЯДОК,0),0)),"")=""),"",GY19-IFERROR(INDEX(БАЗА_ЦІНИ,8,IFERROR(MATCH(ЕТАЛОН_ПЛ,ПЛ_РЯДОК,0),0)),""))</f>
        <v/>
      </c>
      <c r="GZ50" s="71" t="str">
        <f aca="false">IF(OR(GY19="",ЕТАЛОН_ПЛ="",IFERROR(INDEX(БАЗА_ЦІНИ,8,IFERROR(MATCH(ЕТАЛОН_ПЛ,ПЛ_РЯДОК,0),0)),"")="",IFERROR(INDEX(БАЗА_ЦІНИ,8,IFERROR(MATCH(ЕТАЛОН_ПЛ,ПЛ_РЯДОК,0),0)),"")=0),"",GY19/IFERROR(INDEX(БАЗА_ЦІНИ,8,IFERROR(MATCH(ЕТАЛОН_ПЛ,ПЛ_РЯДОК,0),0)),"")-1)</f>
        <v/>
      </c>
    </row>
    <row r="51" customFormat="false" ht="15" hidden="false" customHeight="false" outlineLevel="0" collapsed="false">
      <c r="A51" s="54"/>
      <c r="B51" s="55"/>
      <c r="C51" s="55"/>
      <c r="D51" s="56"/>
      <c r="E51" s="57"/>
      <c r="H51" s="16" t="str">
        <f aca="false">IF('Довідник категорій'!B13="","",'Довідник категорій'!B13)</f>
        <v/>
      </c>
      <c r="I51" s="70" t="str">
        <f aca="false">IF(OR(I20="",ЕТАЛОН_ПЛ="",IFERROR(INDEX(БАЗА_ЦІНИ,9,IFERROR(MATCH(ЕТАЛОН_ПЛ,ПЛ_РЯДОК,0),0)),"")=""),"",I20-IFERROR(INDEX(БАЗА_ЦІНИ,9,IFERROR(MATCH(ЕТАЛОН_ПЛ,ПЛ_РЯДОК,0),0)),""))</f>
        <v/>
      </c>
      <c r="J51" s="71" t="str">
        <f aca="false">IF(OR(I20="",ЕТАЛОН_ПЛ="",IFERROR(INDEX(БАЗА_ЦІНИ,9,IFERROR(MATCH(ЕТАЛОН_ПЛ,ПЛ_РЯДОК,0),0)),"")="",IFERROR(INDEX(БАЗА_ЦІНИ,9,IFERROR(MATCH(ЕТАЛОН_ПЛ,ПЛ_РЯДОК,0),0)),"")=0),"",I20/IFERROR(INDEX(БАЗА_ЦІНИ,9,IFERROR(MATCH(ЕТАЛОН_ПЛ,ПЛ_РЯДОК,0),0)),"")-1)</f>
        <v/>
      </c>
      <c r="K51" s="70" t="str">
        <f aca="false">IF(OR(K20="",ЕТАЛОН_ПЛ="",IFERROR(INDEX(БАЗА_ЦІНИ,9,IFERROR(MATCH(ЕТАЛОН_ПЛ,ПЛ_РЯДОК,0),0)),"")=""),"",K20-IFERROR(INDEX(БАЗА_ЦІНИ,9,IFERROR(MATCH(ЕТАЛОН_ПЛ,ПЛ_РЯДОК,0),0)),""))</f>
        <v/>
      </c>
      <c r="L51" s="71" t="str">
        <f aca="false">IF(OR(K20="",ЕТАЛОН_ПЛ="",IFERROR(INDEX(БАЗА_ЦІНИ,9,IFERROR(MATCH(ЕТАЛОН_ПЛ,ПЛ_РЯДОК,0),0)),"")="",IFERROR(INDEX(БАЗА_ЦІНИ,9,IFERROR(MATCH(ЕТАЛОН_ПЛ,ПЛ_РЯДОК,0),0)),"")=0),"",K20/IFERROR(INDEX(БАЗА_ЦІНИ,9,IFERROR(MATCH(ЕТАЛОН_ПЛ,ПЛ_РЯДОК,0),0)),"")-1)</f>
        <v/>
      </c>
      <c r="M51" s="70" t="str">
        <f aca="false">IF(OR(M20="",ЕТАЛОН_ПЛ="",IFERROR(INDEX(БАЗА_ЦІНИ,9,IFERROR(MATCH(ЕТАЛОН_ПЛ,ПЛ_РЯДОК,0),0)),"")=""),"",M20-IFERROR(INDEX(БАЗА_ЦІНИ,9,IFERROR(MATCH(ЕТАЛОН_ПЛ,ПЛ_РЯДОК,0),0)),""))</f>
        <v/>
      </c>
      <c r="N51" s="71" t="str">
        <f aca="false">IF(OR(M20="",ЕТАЛОН_ПЛ="",IFERROR(INDEX(БАЗА_ЦІНИ,9,IFERROR(MATCH(ЕТАЛОН_ПЛ,ПЛ_РЯДОК,0),0)),"")="",IFERROR(INDEX(БАЗА_ЦІНИ,9,IFERROR(MATCH(ЕТАЛОН_ПЛ,ПЛ_РЯДОК,0),0)),"")=0),"",M20/IFERROR(INDEX(БАЗА_ЦІНИ,9,IFERROR(MATCH(ЕТАЛОН_ПЛ,ПЛ_РЯДОК,0),0)),"")-1)</f>
        <v/>
      </c>
      <c r="O51" s="70" t="str">
        <f aca="false">IF(OR(O20="",ЕТАЛОН_ПЛ="",IFERROR(INDEX(БАЗА_ЦІНИ,9,IFERROR(MATCH(ЕТАЛОН_ПЛ,ПЛ_РЯДОК,0),0)),"")=""),"",O20-IFERROR(INDEX(БАЗА_ЦІНИ,9,IFERROR(MATCH(ЕТАЛОН_ПЛ,ПЛ_РЯДОК,0),0)),""))</f>
        <v/>
      </c>
      <c r="P51" s="71" t="str">
        <f aca="false">IF(OR(O20="",ЕТАЛОН_ПЛ="",IFERROR(INDEX(БАЗА_ЦІНИ,9,IFERROR(MATCH(ЕТАЛОН_ПЛ,ПЛ_РЯДОК,0),0)),"")="",IFERROR(INDEX(БАЗА_ЦІНИ,9,IFERROR(MATCH(ЕТАЛОН_ПЛ,ПЛ_РЯДОК,0),0)),"")=0),"",O20/IFERROR(INDEX(БАЗА_ЦІНИ,9,IFERROR(MATCH(ЕТАЛОН_ПЛ,ПЛ_РЯДОК,0),0)),"")-1)</f>
        <v/>
      </c>
      <c r="Q51" s="70" t="str">
        <f aca="false">IF(OR(Q20="",ЕТАЛОН_ПЛ="",IFERROR(INDEX(БАЗА_ЦІНИ,9,IFERROR(MATCH(ЕТАЛОН_ПЛ,ПЛ_РЯДОК,0),0)),"")=""),"",Q20-IFERROR(INDEX(БАЗА_ЦІНИ,9,IFERROR(MATCH(ЕТАЛОН_ПЛ,ПЛ_РЯДОК,0),0)),""))</f>
        <v/>
      </c>
      <c r="R51" s="71" t="str">
        <f aca="false">IF(OR(Q20="",ЕТАЛОН_ПЛ="",IFERROR(INDEX(БАЗА_ЦІНИ,9,IFERROR(MATCH(ЕТАЛОН_ПЛ,ПЛ_РЯДОК,0),0)),"")="",IFERROR(INDEX(БАЗА_ЦІНИ,9,IFERROR(MATCH(ЕТАЛОН_ПЛ,ПЛ_РЯДОК,0),0)),"")=0),"",Q20/IFERROR(INDEX(БАЗА_ЦІНИ,9,IFERROR(MATCH(ЕТАЛОН_ПЛ,ПЛ_РЯДОК,0),0)),"")-1)</f>
        <v/>
      </c>
      <c r="S51" s="70" t="str">
        <f aca="false">IF(OR(S20="",ЕТАЛОН_ПЛ="",IFERROR(INDEX(БАЗА_ЦІНИ,9,IFERROR(MATCH(ЕТАЛОН_ПЛ,ПЛ_РЯДОК,0),0)),"")=""),"",S20-IFERROR(INDEX(БАЗА_ЦІНИ,9,IFERROR(MATCH(ЕТАЛОН_ПЛ,ПЛ_РЯДОК,0),0)),""))</f>
        <v/>
      </c>
      <c r="T51" s="71" t="str">
        <f aca="false">IF(OR(S20="",ЕТАЛОН_ПЛ="",IFERROR(INDEX(БАЗА_ЦІНИ,9,IFERROR(MATCH(ЕТАЛОН_ПЛ,ПЛ_РЯДОК,0),0)),"")="",IFERROR(INDEX(БАЗА_ЦІНИ,9,IFERROR(MATCH(ЕТАЛОН_ПЛ,ПЛ_РЯДОК,0),0)),"")=0),"",S20/IFERROR(INDEX(БАЗА_ЦІНИ,9,IFERROR(MATCH(ЕТАЛОН_ПЛ,ПЛ_РЯДОК,0),0)),"")-1)</f>
        <v/>
      </c>
      <c r="U51" s="70" t="str">
        <f aca="false">IF(OR(U20="",ЕТАЛОН_ПЛ="",IFERROR(INDEX(БАЗА_ЦІНИ,9,IFERROR(MATCH(ЕТАЛОН_ПЛ,ПЛ_РЯДОК,0),0)),"")=""),"",U20-IFERROR(INDEX(БАЗА_ЦІНИ,9,IFERROR(MATCH(ЕТАЛОН_ПЛ,ПЛ_РЯДОК,0),0)),""))</f>
        <v/>
      </c>
      <c r="V51" s="71" t="str">
        <f aca="false">IF(OR(U20="",ЕТАЛОН_ПЛ="",IFERROR(INDEX(БАЗА_ЦІНИ,9,IFERROR(MATCH(ЕТАЛОН_ПЛ,ПЛ_РЯДОК,0),0)),"")="",IFERROR(INDEX(БАЗА_ЦІНИ,9,IFERROR(MATCH(ЕТАЛОН_ПЛ,ПЛ_РЯДОК,0),0)),"")=0),"",U20/IFERROR(INDEX(БАЗА_ЦІНИ,9,IFERROR(MATCH(ЕТАЛОН_ПЛ,ПЛ_РЯДОК,0),0)),"")-1)</f>
        <v/>
      </c>
      <c r="W51" s="70" t="str">
        <f aca="false">IF(OR(W20="",ЕТАЛОН_ПЛ="",IFERROR(INDEX(БАЗА_ЦІНИ,9,IFERROR(MATCH(ЕТАЛОН_ПЛ,ПЛ_РЯДОК,0),0)),"")=""),"",W20-IFERROR(INDEX(БАЗА_ЦІНИ,9,IFERROR(MATCH(ЕТАЛОН_ПЛ,ПЛ_РЯДОК,0),0)),""))</f>
        <v/>
      </c>
      <c r="X51" s="71" t="str">
        <f aca="false">IF(OR(W20="",ЕТАЛОН_ПЛ="",IFERROR(INDEX(БАЗА_ЦІНИ,9,IFERROR(MATCH(ЕТАЛОН_ПЛ,ПЛ_РЯДОК,0),0)),"")="",IFERROR(INDEX(БАЗА_ЦІНИ,9,IFERROR(MATCH(ЕТАЛОН_ПЛ,ПЛ_РЯДОК,0),0)),"")=0),"",W20/IFERROR(INDEX(БАЗА_ЦІНИ,9,IFERROR(MATCH(ЕТАЛОН_ПЛ,ПЛ_РЯДОК,0),0)),"")-1)</f>
        <v/>
      </c>
      <c r="Y51" s="70" t="str">
        <f aca="false">IF(OR(Y20="",ЕТАЛОН_ПЛ="",IFERROR(INDEX(БАЗА_ЦІНИ,9,IFERROR(MATCH(ЕТАЛОН_ПЛ,ПЛ_РЯДОК,0),0)),"")=""),"",Y20-IFERROR(INDEX(БАЗА_ЦІНИ,9,IFERROR(MATCH(ЕТАЛОН_ПЛ,ПЛ_РЯДОК,0),0)),""))</f>
        <v/>
      </c>
      <c r="Z51" s="71" t="str">
        <f aca="false">IF(OR(Y20="",ЕТАЛОН_ПЛ="",IFERROR(INDEX(БАЗА_ЦІНИ,9,IFERROR(MATCH(ЕТАЛОН_ПЛ,ПЛ_РЯДОК,0),0)),"")="",IFERROR(INDEX(БАЗА_ЦІНИ,9,IFERROR(MATCH(ЕТАЛОН_ПЛ,ПЛ_РЯДОК,0),0)),"")=0),"",Y20/IFERROR(INDEX(БАЗА_ЦІНИ,9,IFERROR(MATCH(ЕТАЛОН_ПЛ,ПЛ_РЯДОК,0),0)),"")-1)</f>
        <v/>
      </c>
      <c r="AA51" s="70" t="str">
        <f aca="false">IF(OR(AA20="",ЕТАЛОН_ПЛ="",IFERROR(INDEX(БАЗА_ЦІНИ,9,IFERROR(MATCH(ЕТАЛОН_ПЛ,ПЛ_РЯДОК,0),0)),"")=""),"",AA20-IFERROR(INDEX(БАЗА_ЦІНИ,9,IFERROR(MATCH(ЕТАЛОН_ПЛ,ПЛ_РЯДОК,0),0)),""))</f>
        <v/>
      </c>
      <c r="AB51" s="71" t="str">
        <f aca="false">IF(OR(AA20="",ЕТАЛОН_ПЛ="",IFERROR(INDEX(БАЗА_ЦІНИ,9,IFERROR(MATCH(ЕТАЛОН_ПЛ,ПЛ_РЯДОК,0),0)),"")="",IFERROR(INDEX(БАЗА_ЦІНИ,9,IFERROR(MATCH(ЕТАЛОН_ПЛ,ПЛ_РЯДОК,0),0)),"")=0),"",AA20/IFERROR(INDEX(БАЗА_ЦІНИ,9,IFERROR(MATCH(ЕТАЛОН_ПЛ,ПЛ_РЯДОК,0),0)),"")-1)</f>
        <v/>
      </c>
      <c r="AC51" s="70" t="str">
        <f aca="false">IF(OR(AC20="",ЕТАЛОН_ПЛ="",IFERROR(INDEX(БАЗА_ЦІНИ,9,IFERROR(MATCH(ЕТАЛОН_ПЛ,ПЛ_РЯДОК,0),0)),"")=""),"",AC20-IFERROR(INDEX(БАЗА_ЦІНИ,9,IFERROR(MATCH(ЕТАЛОН_ПЛ,ПЛ_РЯДОК,0),0)),""))</f>
        <v/>
      </c>
      <c r="AD51" s="71" t="str">
        <f aca="false">IF(OR(AC20="",ЕТАЛОН_ПЛ="",IFERROR(INDEX(БАЗА_ЦІНИ,9,IFERROR(MATCH(ЕТАЛОН_ПЛ,ПЛ_РЯДОК,0),0)),"")="",IFERROR(INDEX(БАЗА_ЦІНИ,9,IFERROR(MATCH(ЕТАЛОН_ПЛ,ПЛ_РЯДОК,0),0)),"")=0),"",AC20/IFERROR(INDEX(БАЗА_ЦІНИ,9,IFERROR(MATCH(ЕТАЛОН_ПЛ,ПЛ_РЯДОК,0),0)),"")-1)</f>
        <v/>
      </c>
      <c r="AE51" s="70" t="str">
        <f aca="false">IF(OR(AE20="",ЕТАЛОН_ПЛ="",IFERROR(INDEX(БАЗА_ЦІНИ,9,IFERROR(MATCH(ЕТАЛОН_ПЛ,ПЛ_РЯДОК,0),0)),"")=""),"",AE20-IFERROR(INDEX(БАЗА_ЦІНИ,9,IFERROR(MATCH(ЕТАЛОН_ПЛ,ПЛ_РЯДОК,0),0)),""))</f>
        <v/>
      </c>
      <c r="AF51" s="71" t="str">
        <f aca="false">IF(OR(AE20="",ЕТАЛОН_ПЛ="",IFERROR(INDEX(БАЗА_ЦІНИ,9,IFERROR(MATCH(ЕТАЛОН_ПЛ,ПЛ_РЯДОК,0),0)),"")="",IFERROR(INDEX(БАЗА_ЦІНИ,9,IFERROR(MATCH(ЕТАЛОН_ПЛ,ПЛ_РЯДОК,0),0)),"")=0),"",AE20/IFERROR(INDEX(БАЗА_ЦІНИ,9,IFERROR(MATCH(ЕТАЛОН_ПЛ,ПЛ_РЯДОК,0),0)),"")-1)</f>
        <v/>
      </c>
      <c r="AG51" s="70" t="str">
        <f aca="false">IF(OR(AG20="",ЕТАЛОН_ПЛ="",IFERROR(INDEX(БАЗА_ЦІНИ,9,IFERROR(MATCH(ЕТАЛОН_ПЛ,ПЛ_РЯДОК,0),0)),"")=""),"",AG20-IFERROR(INDEX(БАЗА_ЦІНИ,9,IFERROR(MATCH(ЕТАЛОН_ПЛ,ПЛ_РЯДОК,0),0)),""))</f>
        <v/>
      </c>
      <c r="AH51" s="71" t="str">
        <f aca="false">IF(OR(AG20="",ЕТАЛОН_ПЛ="",IFERROR(INDEX(БАЗА_ЦІНИ,9,IFERROR(MATCH(ЕТАЛОН_ПЛ,ПЛ_РЯДОК,0),0)),"")="",IFERROR(INDEX(БАЗА_ЦІНИ,9,IFERROR(MATCH(ЕТАЛОН_ПЛ,ПЛ_РЯДОК,0),0)),"")=0),"",AG20/IFERROR(INDEX(БАЗА_ЦІНИ,9,IFERROR(MATCH(ЕТАЛОН_ПЛ,ПЛ_РЯДОК,0),0)),"")-1)</f>
        <v/>
      </c>
      <c r="AI51" s="70" t="str">
        <f aca="false">IF(OR(AI20="",ЕТАЛОН_ПЛ="",IFERROR(INDEX(БАЗА_ЦІНИ,9,IFERROR(MATCH(ЕТАЛОН_ПЛ,ПЛ_РЯДОК,0),0)),"")=""),"",AI20-IFERROR(INDEX(БАЗА_ЦІНИ,9,IFERROR(MATCH(ЕТАЛОН_ПЛ,ПЛ_РЯДОК,0),0)),""))</f>
        <v/>
      </c>
      <c r="AJ51" s="71" t="str">
        <f aca="false">IF(OR(AI20="",ЕТАЛОН_ПЛ="",IFERROR(INDEX(БАЗА_ЦІНИ,9,IFERROR(MATCH(ЕТАЛОН_ПЛ,ПЛ_РЯДОК,0),0)),"")="",IFERROR(INDEX(БАЗА_ЦІНИ,9,IFERROR(MATCH(ЕТАЛОН_ПЛ,ПЛ_РЯДОК,0),0)),"")=0),"",AI20/IFERROR(INDEX(БАЗА_ЦІНИ,9,IFERROR(MATCH(ЕТАЛОН_ПЛ,ПЛ_РЯДОК,0),0)),"")-1)</f>
        <v/>
      </c>
      <c r="AK51" s="70" t="str">
        <f aca="false">IF(OR(AK20="",ЕТАЛОН_ПЛ="",IFERROR(INDEX(БАЗА_ЦІНИ,9,IFERROR(MATCH(ЕТАЛОН_ПЛ,ПЛ_РЯДОК,0),0)),"")=""),"",AK20-IFERROR(INDEX(БАЗА_ЦІНИ,9,IFERROR(MATCH(ЕТАЛОН_ПЛ,ПЛ_РЯДОК,0),0)),""))</f>
        <v/>
      </c>
      <c r="AL51" s="71" t="str">
        <f aca="false">IF(OR(AK20="",ЕТАЛОН_ПЛ="",IFERROR(INDEX(БАЗА_ЦІНИ,9,IFERROR(MATCH(ЕТАЛОН_ПЛ,ПЛ_РЯДОК,0),0)),"")="",IFERROR(INDEX(БАЗА_ЦІНИ,9,IFERROR(MATCH(ЕТАЛОН_ПЛ,ПЛ_РЯДОК,0),0)),"")=0),"",AK20/IFERROR(INDEX(БАЗА_ЦІНИ,9,IFERROR(MATCH(ЕТАЛОН_ПЛ,ПЛ_РЯДОК,0),0)),"")-1)</f>
        <v/>
      </c>
      <c r="AM51" s="70" t="str">
        <f aca="false">IF(OR(AM20="",ЕТАЛОН_ПЛ="",IFERROR(INDEX(БАЗА_ЦІНИ,9,IFERROR(MATCH(ЕТАЛОН_ПЛ,ПЛ_РЯДОК,0),0)),"")=""),"",AM20-IFERROR(INDEX(БАЗА_ЦІНИ,9,IFERROR(MATCH(ЕТАЛОН_ПЛ,ПЛ_РЯДОК,0),0)),""))</f>
        <v/>
      </c>
      <c r="AN51" s="71" t="str">
        <f aca="false">IF(OR(AM20="",ЕТАЛОН_ПЛ="",IFERROR(INDEX(БАЗА_ЦІНИ,9,IFERROR(MATCH(ЕТАЛОН_ПЛ,ПЛ_РЯДОК,0),0)),"")="",IFERROR(INDEX(БАЗА_ЦІНИ,9,IFERROR(MATCH(ЕТАЛОН_ПЛ,ПЛ_РЯДОК,0),0)),"")=0),"",AM20/IFERROR(INDEX(БАЗА_ЦІНИ,9,IFERROR(MATCH(ЕТАЛОН_ПЛ,ПЛ_РЯДОК,0),0)),"")-1)</f>
        <v/>
      </c>
      <c r="AO51" s="70" t="str">
        <f aca="false">IF(OR(AO20="",ЕТАЛОН_ПЛ="",IFERROR(INDEX(БАЗА_ЦІНИ,9,IFERROR(MATCH(ЕТАЛОН_ПЛ,ПЛ_РЯДОК,0),0)),"")=""),"",AO20-IFERROR(INDEX(БАЗА_ЦІНИ,9,IFERROR(MATCH(ЕТАЛОН_ПЛ,ПЛ_РЯДОК,0),0)),""))</f>
        <v/>
      </c>
      <c r="AP51" s="71" t="str">
        <f aca="false">IF(OR(AO20="",ЕТАЛОН_ПЛ="",IFERROR(INDEX(БАЗА_ЦІНИ,9,IFERROR(MATCH(ЕТАЛОН_ПЛ,ПЛ_РЯДОК,0),0)),"")="",IFERROR(INDEX(БАЗА_ЦІНИ,9,IFERROR(MATCH(ЕТАЛОН_ПЛ,ПЛ_РЯДОК,0),0)),"")=0),"",AO20/IFERROR(INDEX(БАЗА_ЦІНИ,9,IFERROR(MATCH(ЕТАЛОН_ПЛ,ПЛ_РЯДОК,0),0)),"")-1)</f>
        <v/>
      </c>
      <c r="AQ51" s="70" t="str">
        <f aca="false">IF(OR(AQ20="",ЕТАЛОН_ПЛ="",IFERROR(INDEX(БАЗА_ЦІНИ,9,IFERROR(MATCH(ЕТАЛОН_ПЛ,ПЛ_РЯДОК,0),0)),"")=""),"",AQ20-IFERROR(INDEX(БАЗА_ЦІНИ,9,IFERROR(MATCH(ЕТАЛОН_ПЛ,ПЛ_РЯДОК,0),0)),""))</f>
        <v/>
      </c>
      <c r="AR51" s="71" t="str">
        <f aca="false">IF(OR(AQ20="",ЕТАЛОН_ПЛ="",IFERROR(INDEX(БАЗА_ЦІНИ,9,IFERROR(MATCH(ЕТАЛОН_ПЛ,ПЛ_РЯДОК,0),0)),"")="",IFERROR(INDEX(БАЗА_ЦІНИ,9,IFERROR(MATCH(ЕТАЛОН_ПЛ,ПЛ_РЯДОК,0),0)),"")=0),"",AQ20/IFERROR(INDEX(БАЗА_ЦІНИ,9,IFERROR(MATCH(ЕТАЛОН_ПЛ,ПЛ_РЯДОК,0),0)),"")-1)</f>
        <v/>
      </c>
      <c r="AS51" s="70" t="str">
        <f aca="false">IF(OR(AS20="",ЕТАЛОН_ПЛ="",IFERROR(INDEX(БАЗА_ЦІНИ,9,IFERROR(MATCH(ЕТАЛОН_ПЛ,ПЛ_РЯДОК,0),0)),"")=""),"",AS20-IFERROR(INDEX(БАЗА_ЦІНИ,9,IFERROR(MATCH(ЕТАЛОН_ПЛ,ПЛ_РЯДОК,0),0)),""))</f>
        <v/>
      </c>
      <c r="AT51" s="71" t="str">
        <f aca="false">IF(OR(AS20="",ЕТАЛОН_ПЛ="",IFERROR(INDEX(БАЗА_ЦІНИ,9,IFERROR(MATCH(ЕТАЛОН_ПЛ,ПЛ_РЯДОК,0),0)),"")="",IFERROR(INDEX(БАЗА_ЦІНИ,9,IFERROR(MATCH(ЕТАЛОН_ПЛ,ПЛ_РЯДОК,0),0)),"")=0),"",AS20/IFERROR(INDEX(БАЗА_ЦІНИ,9,IFERROR(MATCH(ЕТАЛОН_ПЛ,ПЛ_РЯДОК,0),0)),"")-1)</f>
        <v/>
      </c>
      <c r="AU51" s="70" t="str">
        <f aca="false">IF(OR(AU20="",ЕТАЛОН_ПЛ="",IFERROR(INDEX(БАЗА_ЦІНИ,9,IFERROR(MATCH(ЕТАЛОН_ПЛ,ПЛ_РЯДОК,0),0)),"")=""),"",AU20-IFERROR(INDEX(БАЗА_ЦІНИ,9,IFERROR(MATCH(ЕТАЛОН_ПЛ,ПЛ_РЯДОК,0),0)),""))</f>
        <v/>
      </c>
      <c r="AV51" s="71" t="str">
        <f aca="false">IF(OR(AU20="",ЕТАЛОН_ПЛ="",IFERROR(INDEX(БАЗА_ЦІНИ,9,IFERROR(MATCH(ЕТАЛОН_ПЛ,ПЛ_РЯДОК,0),0)),"")="",IFERROR(INDEX(БАЗА_ЦІНИ,9,IFERROR(MATCH(ЕТАЛОН_ПЛ,ПЛ_РЯДОК,0),0)),"")=0),"",AU20/IFERROR(INDEX(БАЗА_ЦІНИ,9,IFERROR(MATCH(ЕТАЛОН_ПЛ,ПЛ_РЯДОК,0),0)),"")-1)</f>
        <v/>
      </c>
      <c r="AW51" s="70" t="str">
        <f aca="false">IF(OR(AW20="",ЕТАЛОН_ПЛ="",IFERROR(INDEX(БАЗА_ЦІНИ,9,IFERROR(MATCH(ЕТАЛОН_ПЛ,ПЛ_РЯДОК,0),0)),"")=""),"",AW20-IFERROR(INDEX(БАЗА_ЦІНИ,9,IFERROR(MATCH(ЕТАЛОН_ПЛ,ПЛ_РЯДОК,0),0)),""))</f>
        <v/>
      </c>
      <c r="AX51" s="71" t="str">
        <f aca="false">IF(OR(AW20="",ЕТАЛОН_ПЛ="",IFERROR(INDEX(БАЗА_ЦІНИ,9,IFERROR(MATCH(ЕТАЛОН_ПЛ,ПЛ_РЯДОК,0),0)),"")="",IFERROR(INDEX(БАЗА_ЦІНИ,9,IFERROR(MATCH(ЕТАЛОН_ПЛ,ПЛ_РЯДОК,0),0)),"")=0),"",AW20/IFERROR(INDEX(БАЗА_ЦІНИ,9,IFERROR(MATCH(ЕТАЛОН_ПЛ,ПЛ_РЯДОК,0),0)),"")-1)</f>
        <v/>
      </c>
      <c r="AY51" s="70" t="str">
        <f aca="false">IF(OR(AY20="",ЕТАЛОН_ПЛ="",IFERROR(INDEX(БАЗА_ЦІНИ,9,IFERROR(MATCH(ЕТАЛОН_ПЛ,ПЛ_РЯДОК,0),0)),"")=""),"",AY20-IFERROR(INDEX(БАЗА_ЦІНИ,9,IFERROR(MATCH(ЕТАЛОН_ПЛ,ПЛ_РЯДОК,0),0)),""))</f>
        <v/>
      </c>
      <c r="AZ51" s="71" t="str">
        <f aca="false">IF(OR(AY20="",ЕТАЛОН_ПЛ="",IFERROR(INDEX(БАЗА_ЦІНИ,9,IFERROR(MATCH(ЕТАЛОН_ПЛ,ПЛ_РЯДОК,0),0)),"")="",IFERROR(INDEX(БАЗА_ЦІНИ,9,IFERROR(MATCH(ЕТАЛОН_ПЛ,ПЛ_РЯДОК,0),0)),"")=0),"",AY20/IFERROR(INDEX(БАЗА_ЦІНИ,9,IFERROR(MATCH(ЕТАЛОН_ПЛ,ПЛ_РЯДОК,0),0)),"")-1)</f>
        <v/>
      </c>
      <c r="BA51" s="70" t="str">
        <f aca="false">IF(OR(BA20="",ЕТАЛОН_ПЛ="",IFERROR(INDEX(БАЗА_ЦІНИ,9,IFERROR(MATCH(ЕТАЛОН_ПЛ,ПЛ_РЯДОК,0),0)),"")=""),"",BA20-IFERROR(INDEX(БАЗА_ЦІНИ,9,IFERROR(MATCH(ЕТАЛОН_ПЛ,ПЛ_РЯДОК,0),0)),""))</f>
        <v/>
      </c>
      <c r="BB51" s="71" t="str">
        <f aca="false">IF(OR(BA20="",ЕТАЛОН_ПЛ="",IFERROR(INDEX(БАЗА_ЦІНИ,9,IFERROR(MATCH(ЕТАЛОН_ПЛ,ПЛ_РЯДОК,0),0)),"")="",IFERROR(INDEX(БАЗА_ЦІНИ,9,IFERROR(MATCH(ЕТАЛОН_ПЛ,ПЛ_РЯДОК,0),0)),"")=0),"",BA20/IFERROR(INDEX(БАЗА_ЦІНИ,9,IFERROR(MATCH(ЕТАЛОН_ПЛ,ПЛ_РЯДОК,0),0)),"")-1)</f>
        <v/>
      </c>
      <c r="BC51" s="70" t="str">
        <f aca="false">IF(OR(BC20="",ЕТАЛОН_ПЛ="",IFERROR(INDEX(БАЗА_ЦІНИ,9,IFERROR(MATCH(ЕТАЛОН_ПЛ,ПЛ_РЯДОК,0),0)),"")=""),"",BC20-IFERROR(INDEX(БАЗА_ЦІНИ,9,IFERROR(MATCH(ЕТАЛОН_ПЛ,ПЛ_РЯДОК,0),0)),""))</f>
        <v/>
      </c>
      <c r="BD51" s="71" t="str">
        <f aca="false">IF(OR(BC20="",ЕТАЛОН_ПЛ="",IFERROR(INDEX(БАЗА_ЦІНИ,9,IFERROR(MATCH(ЕТАЛОН_ПЛ,ПЛ_РЯДОК,0),0)),"")="",IFERROR(INDEX(БАЗА_ЦІНИ,9,IFERROR(MATCH(ЕТАЛОН_ПЛ,ПЛ_РЯДОК,0),0)),"")=0),"",BC20/IFERROR(INDEX(БАЗА_ЦІНИ,9,IFERROR(MATCH(ЕТАЛОН_ПЛ,ПЛ_РЯДОК,0),0)),"")-1)</f>
        <v/>
      </c>
      <c r="BE51" s="70" t="str">
        <f aca="false">IF(OR(BE20="",ЕТАЛОН_ПЛ="",IFERROR(INDEX(БАЗА_ЦІНИ,9,IFERROR(MATCH(ЕТАЛОН_ПЛ,ПЛ_РЯДОК,0),0)),"")=""),"",BE20-IFERROR(INDEX(БАЗА_ЦІНИ,9,IFERROR(MATCH(ЕТАЛОН_ПЛ,ПЛ_РЯДОК,0),0)),""))</f>
        <v/>
      </c>
      <c r="BF51" s="71" t="str">
        <f aca="false">IF(OR(BE20="",ЕТАЛОН_ПЛ="",IFERROR(INDEX(БАЗА_ЦІНИ,9,IFERROR(MATCH(ЕТАЛОН_ПЛ,ПЛ_РЯДОК,0),0)),"")="",IFERROR(INDEX(БАЗА_ЦІНИ,9,IFERROR(MATCH(ЕТАЛОН_ПЛ,ПЛ_РЯДОК,0),0)),"")=0),"",BE20/IFERROR(INDEX(БАЗА_ЦІНИ,9,IFERROR(MATCH(ЕТАЛОН_ПЛ,ПЛ_РЯДОК,0),0)),"")-1)</f>
        <v/>
      </c>
      <c r="BG51" s="70" t="str">
        <f aca="false">IF(OR(BG20="",ЕТАЛОН_ПЛ="",IFERROR(INDEX(БАЗА_ЦІНИ,9,IFERROR(MATCH(ЕТАЛОН_ПЛ,ПЛ_РЯДОК,0),0)),"")=""),"",BG20-IFERROR(INDEX(БАЗА_ЦІНИ,9,IFERROR(MATCH(ЕТАЛОН_ПЛ,ПЛ_РЯДОК,0),0)),""))</f>
        <v/>
      </c>
      <c r="BH51" s="71" t="str">
        <f aca="false">IF(OR(BG20="",ЕТАЛОН_ПЛ="",IFERROR(INDEX(БАЗА_ЦІНИ,9,IFERROR(MATCH(ЕТАЛОН_ПЛ,ПЛ_РЯДОК,0),0)),"")="",IFERROR(INDEX(БАЗА_ЦІНИ,9,IFERROR(MATCH(ЕТАЛОН_ПЛ,ПЛ_РЯДОК,0),0)),"")=0),"",BG20/IFERROR(INDEX(БАЗА_ЦІНИ,9,IFERROR(MATCH(ЕТАЛОН_ПЛ,ПЛ_РЯДОК,0),0)),"")-1)</f>
        <v/>
      </c>
      <c r="BI51" s="70" t="str">
        <f aca="false">IF(OR(BI20="",ЕТАЛОН_ПЛ="",IFERROR(INDEX(БАЗА_ЦІНИ,9,IFERROR(MATCH(ЕТАЛОН_ПЛ,ПЛ_РЯДОК,0),0)),"")=""),"",BI20-IFERROR(INDEX(БАЗА_ЦІНИ,9,IFERROR(MATCH(ЕТАЛОН_ПЛ,ПЛ_РЯДОК,0),0)),""))</f>
        <v/>
      </c>
      <c r="BJ51" s="71" t="str">
        <f aca="false">IF(OR(BI20="",ЕТАЛОН_ПЛ="",IFERROR(INDEX(БАЗА_ЦІНИ,9,IFERROR(MATCH(ЕТАЛОН_ПЛ,ПЛ_РЯДОК,0),0)),"")="",IFERROR(INDEX(БАЗА_ЦІНИ,9,IFERROR(MATCH(ЕТАЛОН_ПЛ,ПЛ_РЯДОК,0),0)),"")=0),"",BI20/IFERROR(INDEX(БАЗА_ЦІНИ,9,IFERROR(MATCH(ЕТАЛОН_ПЛ,ПЛ_РЯДОК,0),0)),"")-1)</f>
        <v/>
      </c>
      <c r="BK51" s="70" t="str">
        <f aca="false">IF(OR(BK20="",ЕТАЛОН_ПЛ="",IFERROR(INDEX(БАЗА_ЦІНИ,9,IFERROR(MATCH(ЕТАЛОН_ПЛ,ПЛ_РЯДОК,0),0)),"")=""),"",BK20-IFERROR(INDEX(БАЗА_ЦІНИ,9,IFERROR(MATCH(ЕТАЛОН_ПЛ,ПЛ_РЯДОК,0),0)),""))</f>
        <v/>
      </c>
      <c r="BL51" s="71" t="str">
        <f aca="false">IF(OR(BK20="",ЕТАЛОН_ПЛ="",IFERROR(INDEX(БАЗА_ЦІНИ,9,IFERROR(MATCH(ЕТАЛОН_ПЛ,ПЛ_РЯДОК,0),0)),"")="",IFERROR(INDEX(БАЗА_ЦІНИ,9,IFERROR(MATCH(ЕТАЛОН_ПЛ,ПЛ_РЯДОК,0),0)),"")=0),"",BK20/IFERROR(INDEX(БАЗА_ЦІНИ,9,IFERROR(MATCH(ЕТАЛОН_ПЛ,ПЛ_РЯДОК,0),0)),"")-1)</f>
        <v/>
      </c>
      <c r="BM51" s="70" t="str">
        <f aca="false">IF(OR(BM20="",ЕТАЛОН_ПЛ="",IFERROR(INDEX(БАЗА_ЦІНИ,9,IFERROR(MATCH(ЕТАЛОН_ПЛ,ПЛ_РЯДОК,0),0)),"")=""),"",BM20-IFERROR(INDEX(БАЗА_ЦІНИ,9,IFERROR(MATCH(ЕТАЛОН_ПЛ,ПЛ_РЯДОК,0),0)),""))</f>
        <v/>
      </c>
      <c r="BN51" s="71" t="str">
        <f aca="false">IF(OR(BM20="",ЕТАЛОН_ПЛ="",IFERROR(INDEX(БАЗА_ЦІНИ,9,IFERROR(MATCH(ЕТАЛОН_ПЛ,ПЛ_РЯДОК,0),0)),"")="",IFERROR(INDEX(БАЗА_ЦІНИ,9,IFERROR(MATCH(ЕТАЛОН_ПЛ,ПЛ_РЯДОК,0),0)),"")=0),"",BM20/IFERROR(INDEX(БАЗА_ЦІНИ,9,IFERROR(MATCH(ЕТАЛОН_ПЛ,ПЛ_РЯДОК,0),0)),"")-1)</f>
        <v/>
      </c>
      <c r="BO51" s="70" t="str">
        <f aca="false">IF(OR(BO20="",ЕТАЛОН_ПЛ="",IFERROR(INDEX(БАЗА_ЦІНИ,9,IFERROR(MATCH(ЕТАЛОН_ПЛ,ПЛ_РЯДОК,0),0)),"")=""),"",BO20-IFERROR(INDEX(БАЗА_ЦІНИ,9,IFERROR(MATCH(ЕТАЛОН_ПЛ,ПЛ_РЯДОК,0),0)),""))</f>
        <v/>
      </c>
      <c r="BP51" s="71" t="str">
        <f aca="false">IF(OR(BO20="",ЕТАЛОН_ПЛ="",IFERROR(INDEX(БАЗА_ЦІНИ,9,IFERROR(MATCH(ЕТАЛОН_ПЛ,ПЛ_РЯДОК,0),0)),"")="",IFERROR(INDEX(БАЗА_ЦІНИ,9,IFERROR(MATCH(ЕТАЛОН_ПЛ,ПЛ_РЯДОК,0),0)),"")=0),"",BO20/IFERROR(INDEX(БАЗА_ЦІНИ,9,IFERROR(MATCH(ЕТАЛОН_ПЛ,ПЛ_РЯДОК,0),0)),"")-1)</f>
        <v/>
      </c>
      <c r="BQ51" s="70" t="str">
        <f aca="false">IF(OR(BQ20="",ЕТАЛОН_ПЛ="",IFERROR(INDEX(БАЗА_ЦІНИ,9,IFERROR(MATCH(ЕТАЛОН_ПЛ,ПЛ_РЯДОК,0),0)),"")=""),"",BQ20-IFERROR(INDEX(БАЗА_ЦІНИ,9,IFERROR(MATCH(ЕТАЛОН_ПЛ,ПЛ_РЯДОК,0),0)),""))</f>
        <v/>
      </c>
      <c r="BR51" s="71" t="str">
        <f aca="false">IF(OR(BQ20="",ЕТАЛОН_ПЛ="",IFERROR(INDEX(БАЗА_ЦІНИ,9,IFERROR(MATCH(ЕТАЛОН_ПЛ,ПЛ_РЯДОК,0),0)),"")="",IFERROR(INDEX(БАЗА_ЦІНИ,9,IFERROR(MATCH(ЕТАЛОН_ПЛ,ПЛ_РЯДОК,0),0)),"")=0),"",BQ20/IFERROR(INDEX(БАЗА_ЦІНИ,9,IFERROR(MATCH(ЕТАЛОН_ПЛ,ПЛ_РЯДОК,0),0)),"")-1)</f>
        <v/>
      </c>
      <c r="BS51" s="70" t="str">
        <f aca="false">IF(OR(BS20="",ЕТАЛОН_ПЛ="",IFERROR(INDEX(БАЗА_ЦІНИ,9,IFERROR(MATCH(ЕТАЛОН_ПЛ,ПЛ_РЯДОК,0),0)),"")=""),"",BS20-IFERROR(INDEX(БАЗА_ЦІНИ,9,IFERROR(MATCH(ЕТАЛОН_ПЛ,ПЛ_РЯДОК,0),0)),""))</f>
        <v/>
      </c>
      <c r="BT51" s="71" t="str">
        <f aca="false">IF(OR(BS20="",ЕТАЛОН_ПЛ="",IFERROR(INDEX(БАЗА_ЦІНИ,9,IFERROR(MATCH(ЕТАЛОН_ПЛ,ПЛ_РЯДОК,0),0)),"")="",IFERROR(INDEX(БАЗА_ЦІНИ,9,IFERROR(MATCH(ЕТАЛОН_ПЛ,ПЛ_РЯДОК,0),0)),"")=0),"",BS20/IFERROR(INDEX(БАЗА_ЦІНИ,9,IFERROR(MATCH(ЕТАЛОН_ПЛ,ПЛ_РЯДОК,0),0)),"")-1)</f>
        <v/>
      </c>
      <c r="BU51" s="70" t="str">
        <f aca="false">IF(OR(BU20="",ЕТАЛОН_ПЛ="",IFERROR(INDEX(БАЗА_ЦІНИ,9,IFERROR(MATCH(ЕТАЛОН_ПЛ,ПЛ_РЯДОК,0),0)),"")=""),"",BU20-IFERROR(INDEX(БАЗА_ЦІНИ,9,IFERROR(MATCH(ЕТАЛОН_ПЛ,ПЛ_РЯДОК,0),0)),""))</f>
        <v/>
      </c>
      <c r="BV51" s="71" t="str">
        <f aca="false">IF(OR(BU20="",ЕТАЛОН_ПЛ="",IFERROR(INDEX(БАЗА_ЦІНИ,9,IFERROR(MATCH(ЕТАЛОН_ПЛ,ПЛ_РЯДОК,0),0)),"")="",IFERROR(INDEX(БАЗА_ЦІНИ,9,IFERROR(MATCH(ЕТАЛОН_ПЛ,ПЛ_РЯДОК,0),0)),"")=0),"",BU20/IFERROR(INDEX(БАЗА_ЦІНИ,9,IFERROR(MATCH(ЕТАЛОН_ПЛ,ПЛ_РЯДОК,0),0)),"")-1)</f>
        <v/>
      </c>
      <c r="BW51" s="70" t="str">
        <f aca="false">IF(OR(BW20="",ЕТАЛОН_ПЛ="",IFERROR(INDEX(БАЗА_ЦІНИ,9,IFERROR(MATCH(ЕТАЛОН_ПЛ,ПЛ_РЯДОК,0),0)),"")=""),"",BW20-IFERROR(INDEX(БАЗА_ЦІНИ,9,IFERROR(MATCH(ЕТАЛОН_ПЛ,ПЛ_РЯДОК,0),0)),""))</f>
        <v/>
      </c>
      <c r="BX51" s="71" t="str">
        <f aca="false">IF(OR(BW20="",ЕТАЛОН_ПЛ="",IFERROR(INDEX(БАЗА_ЦІНИ,9,IFERROR(MATCH(ЕТАЛОН_ПЛ,ПЛ_РЯДОК,0),0)),"")="",IFERROR(INDEX(БАЗА_ЦІНИ,9,IFERROR(MATCH(ЕТАЛОН_ПЛ,ПЛ_РЯДОК,0),0)),"")=0),"",BW20/IFERROR(INDEX(БАЗА_ЦІНИ,9,IFERROR(MATCH(ЕТАЛОН_ПЛ,ПЛ_РЯДОК,0),0)),"")-1)</f>
        <v/>
      </c>
      <c r="BY51" s="70" t="str">
        <f aca="false">IF(OR(BY20="",ЕТАЛОН_ПЛ="",IFERROR(INDEX(БАЗА_ЦІНИ,9,IFERROR(MATCH(ЕТАЛОН_ПЛ,ПЛ_РЯДОК,0),0)),"")=""),"",BY20-IFERROR(INDEX(БАЗА_ЦІНИ,9,IFERROR(MATCH(ЕТАЛОН_ПЛ,ПЛ_РЯДОК,0),0)),""))</f>
        <v/>
      </c>
      <c r="BZ51" s="71" t="str">
        <f aca="false">IF(OR(BY20="",ЕТАЛОН_ПЛ="",IFERROR(INDEX(БАЗА_ЦІНИ,9,IFERROR(MATCH(ЕТАЛОН_ПЛ,ПЛ_РЯДОК,0),0)),"")="",IFERROR(INDEX(БАЗА_ЦІНИ,9,IFERROR(MATCH(ЕТАЛОН_ПЛ,ПЛ_РЯДОК,0),0)),"")=0),"",BY20/IFERROR(INDEX(БАЗА_ЦІНИ,9,IFERROR(MATCH(ЕТАЛОН_ПЛ,ПЛ_РЯДОК,0),0)),"")-1)</f>
        <v/>
      </c>
      <c r="CA51" s="70" t="str">
        <f aca="false">IF(OR(CA20="",ЕТАЛОН_ПЛ="",IFERROR(INDEX(БАЗА_ЦІНИ,9,IFERROR(MATCH(ЕТАЛОН_ПЛ,ПЛ_РЯДОК,0),0)),"")=""),"",CA20-IFERROR(INDEX(БАЗА_ЦІНИ,9,IFERROR(MATCH(ЕТАЛОН_ПЛ,ПЛ_РЯДОК,0),0)),""))</f>
        <v/>
      </c>
      <c r="CB51" s="71" t="str">
        <f aca="false">IF(OR(CA20="",ЕТАЛОН_ПЛ="",IFERROR(INDEX(БАЗА_ЦІНИ,9,IFERROR(MATCH(ЕТАЛОН_ПЛ,ПЛ_РЯДОК,0),0)),"")="",IFERROR(INDEX(БАЗА_ЦІНИ,9,IFERROR(MATCH(ЕТАЛОН_ПЛ,ПЛ_РЯДОК,0),0)),"")=0),"",CA20/IFERROR(INDEX(БАЗА_ЦІНИ,9,IFERROR(MATCH(ЕТАЛОН_ПЛ,ПЛ_РЯДОК,0),0)),"")-1)</f>
        <v/>
      </c>
      <c r="CC51" s="70" t="str">
        <f aca="false">IF(OR(CC20="",ЕТАЛОН_ПЛ="",IFERROR(INDEX(БАЗА_ЦІНИ,9,IFERROR(MATCH(ЕТАЛОН_ПЛ,ПЛ_РЯДОК,0),0)),"")=""),"",CC20-IFERROR(INDEX(БАЗА_ЦІНИ,9,IFERROR(MATCH(ЕТАЛОН_ПЛ,ПЛ_РЯДОК,0),0)),""))</f>
        <v/>
      </c>
      <c r="CD51" s="71" t="str">
        <f aca="false">IF(OR(CC20="",ЕТАЛОН_ПЛ="",IFERROR(INDEX(БАЗА_ЦІНИ,9,IFERROR(MATCH(ЕТАЛОН_ПЛ,ПЛ_РЯДОК,0),0)),"")="",IFERROR(INDEX(БАЗА_ЦІНИ,9,IFERROR(MATCH(ЕТАЛОН_ПЛ,ПЛ_РЯДОК,0),0)),"")=0),"",CC20/IFERROR(INDEX(БАЗА_ЦІНИ,9,IFERROR(MATCH(ЕТАЛОН_ПЛ,ПЛ_РЯДОК,0),0)),"")-1)</f>
        <v/>
      </c>
      <c r="CE51" s="70" t="str">
        <f aca="false">IF(OR(CE20="",ЕТАЛОН_ПЛ="",IFERROR(INDEX(БАЗА_ЦІНИ,9,IFERROR(MATCH(ЕТАЛОН_ПЛ,ПЛ_РЯДОК,0),0)),"")=""),"",CE20-IFERROR(INDEX(БАЗА_ЦІНИ,9,IFERROR(MATCH(ЕТАЛОН_ПЛ,ПЛ_РЯДОК,0),0)),""))</f>
        <v/>
      </c>
      <c r="CF51" s="71" t="str">
        <f aca="false">IF(OR(CE20="",ЕТАЛОН_ПЛ="",IFERROR(INDEX(БАЗА_ЦІНИ,9,IFERROR(MATCH(ЕТАЛОН_ПЛ,ПЛ_РЯДОК,0),0)),"")="",IFERROR(INDEX(БАЗА_ЦІНИ,9,IFERROR(MATCH(ЕТАЛОН_ПЛ,ПЛ_РЯДОК,0),0)),"")=0),"",CE20/IFERROR(INDEX(БАЗА_ЦІНИ,9,IFERROR(MATCH(ЕТАЛОН_ПЛ,ПЛ_РЯДОК,0),0)),"")-1)</f>
        <v/>
      </c>
      <c r="CG51" s="70" t="str">
        <f aca="false">IF(OR(CG20="",ЕТАЛОН_ПЛ="",IFERROR(INDEX(БАЗА_ЦІНИ,9,IFERROR(MATCH(ЕТАЛОН_ПЛ,ПЛ_РЯДОК,0),0)),"")=""),"",CG20-IFERROR(INDEX(БАЗА_ЦІНИ,9,IFERROR(MATCH(ЕТАЛОН_ПЛ,ПЛ_РЯДОК,0),0)),""))</f>
        <v/>
      </c>
      <c r="CH51" s="71" t="str">
        <f aca="false">IF(OR(CG20="",ЕТАЛОН_ПЛ="",IFERROR(INDEX(БАЗА_ЦІНИ,9,IFERROR(MATCH(ЕТАЛОН_ПЛ,ПЛ_РЯДОК,0),0)),"")="",IFERROR(INDEX(БАЗА_ЦІНИ,9,IFERROR(MATCH(ЕТАЛОН_ПЛ,ПЛ_РЯДОК,0),0)),"")=0),"",CG20/IFERROR(INDEX(БАЗА_ЦІНИ,9,IFERROR(MATCH(ЕТАЛОН_ПЛ,ПЛ_РЯДОК,0),0)),"")-1)</f>
        <v/>
      </c>
      <c r="CI51" s="70" t="str">
        <f aca="false">IF(OR(CI20="",ЕТАЛОН_ПЛ="",IFERROR(INDEX(БАЗА_ЦІНИ,9,IFERROR(MATCH(ЕТАЛОН_ПЛ,ПЛ_РЯДОК,0),0)),"")=""),"",CI20-IFERROR(INDEX(БАЗА_ЦІНИ,9,IFERROR(MATCH(ЕТАЛОН_ПЛ,ПЛ_РЯДОК,0),0)),""))</f>
        <v/>
      </c>
      <c r="CJ51" s="71" t="str">
        <f aca="false">IF(OR(CI20="",ЕТАЛОН_ПЛ="",IFERROR(INDEX(БАЗА_ЦІНИ,9,IFERROR(MATCH(ЕТАЛОН_ПЛ,ПЛ_РЯДОК,0),0)),"")="",IFERROR(INDEX(БАЗА_ЦІНИ,9,IFERROR(MATCH(ЕТАЛОН_ПЛ,ПЛ_РЯДОК,0),0)),"")=0),"",CI20/IFERROR(INDEX(БАЗА_ЦІНИ,9,IFERROR(MATCH(ЕТАЛОН_ПЛ,ПЛ_РЯДОК,0),0)),"")-1)</f>
        <v/>
      </c>
      <c r="CK51" s="70" t="str">
        <f aca="false">IF(OR(CK20="",ЕТАЛОН_ПЛ="",IFERROR(INDEX(БАЗА_ЦІНИ,9,IFERROR(MATCH(ЕТАЛОН_ПЛ,ПЛ_РЯДОК,0),0)),"")=""),"",CK20-IFERROR(INDEX(БАЗА_ЦІНИ,9,IFERROR(MATCH(ЕТАЛОН_ПЛ,ПЛ_РЯДОК,0),0)),""))</f>
        <v/>
      </c>
      <c r="CL51" s="71" t="str">
        <f aca="false">IF(OR(CK20="",ЕТАЛОН_ПЛ="",IFERROR(INDEX(БАЗА_ЦІНИ,9,IFERROR(MATCH(ЕТАЛОН_ПЛ,ПЛ_РЯДОК,0),0)),"")="",IFERROR(INDEX(БАЗА_ЦІНИ,9,IFERROR(MATCH(ЕТАЛОН_ПЛ,ПЛ_РЯДОК,0),0)),"")=0),"",CK20/IFERROR(INDEX(БАЗА_ЦІНИ,9,IFERROR(MATCH(ЕТАЛОН_ПЛ,ПЛ_РЯДОК,0),0)),"")-1)</f>
        <v/>
      </c>
      <c r="CM51" s="70" t="str">
        <f aca="false">IF(OR(CM20="",ЕТАЛОН_ПЛ="",IFERROR(INDEX(БАЗА_ЦІНИ,9,IFERROR(MATCH(ЕТАЛОН_ПЛ,ПЛ_РЯДОК,0),0)),"")=""),"",CM20-IFERROR(INDEX(БАЗА_ЦІНИ,9,IFERROR(MATCH(ЕТАЛОН_ПЛ,ПЛ_РЯДОК,0),0)),""))</f>
        <v/>
      </c>
      <c r="CN51" s="71" t="str">
        <f aca="false">IF(OR(CM20="",ЕТАЛОН_ПЛ="",IFERROR(INDEX(БАЗА_ЦІНИ,9,IFERROR(MATCH(ЕТАЛОН_ПЛ,ПЛ_РЯДОК,0),0)),"")="",IFERROR(INDEX(БАЗА_ЦІНИ,9,IFERROR(MATCH(ЕТАЛОН_ПЛ,ПЛ_РЯДОК,0),0)),"")=0),"",CM20/IFERROR(INDEX(БАЗА_ЦІНИ,9,IFERROR(MATCH(ЕТАЛОН_ПЛ,ПЛ_РЯДОК,0),0)),"")-1)</f>
        <v/>
      </c>
      <c r="CO51" s="70" t="str">
        <f aca="false">IF(OR(CO20="",ЕТАЛОН_ПЛ="",IFERROR(INDEX(БАЗА_ЦІНИ,9,IFERROR(MATCH(ЕТАЛОН_ПЛ,ПЛ_РЯДОК,0),0)),"")=""),"",CO20-IFERROR(INDEX(БАЗА_ЦІНИ,9,IFERROR(MATCH(ЕТАЛОН_ПЛ,ПЛ_РЯДОК,0),0)),""))</f>
        <v/>
      </c>
      <c r="CP51" s="71" t="str">
        <f aca="false">IF(OR(CO20="",ЕТАЛОН_ПЛ="",IFERROR(INDEX(БАЗА_ЦІНИ,9,IFERROR(MATCH(ЕТАЛОН_ПЛ,ПЛ_РЯДОК,0),0)),"")="",IFERROR(INDEX(БАЗА_ЦІНИ,9,IFERROR(MATCH(ЕТАЛОН_ПЛ,ПЛ_РЯДОК,0),0)),"")=0),"",CO20/IFERROR(INDEX(БАЗА_ЦІНИ,9,IFERROR(MATCH(ЕТАЛОН_ПЛ,ПЛ_РЯДОК,0),0)),"")-1)</f>
        <v/>
      </c>
      <c r="CQ51" s="70" t="str">
        <f aca="false">IF(OR(CQ20="",ЕТАЛОН_ПЛ="",IFERROR(INDEX(БАЗА_ЦІНИ,9,IFERROR(MATCH(ЕТАЛОН_ПЛ,ПЛ_РЯДОК,0),0)),"")=""),"",CQ20-IFERROR(INDEX(БАЗА_ЦІНИ,9,IFERROR(MATCH(ЕТАЛОН_ПЛ,ПЛ_РЯДОК,0),0)),""))</f>
        <v/>
      </c>
      <c r="CR51" s="71" t="str">
        <f aca="false">IF(OR(CQ20="",ЕТАЛОН_ПЛ="",IFERROR(INDEX(БАЗА_ЦІНИ,9,IFERROR(MATCH(ЕТАЛОН_ПЛ,ПЛ_РЯДОК,0),0)),"")="",IFERROR(INDEX(БАЗА_ЦІНИ,9,IFERROR(MATCH(ЕТАЛОН_ПЛ,ПЛ_РЯДОК,0),0)),"")=0),"",CQ20/IFERROR(INDEX(БАЗА_ЦІНИ,9,IFERROR(MATCH(ЕТАЛОН_ПЛ,ПЛ_РЯДОК,0),0)),"")-1)</f>
        <v/>
      </c>
      <c r="CS51" s="70" t="str">
        <f aca="false">IF(OR(CS20="",ЕТАЛОН_ПЛ="",IFERROR(INDEX(БАЗА_ЦІНИ,9,IFERROR(MATCH(ЕТАЛОН_ПЛ,ПЛ_РЯДОК,0),0)),"")=""),"",CS20-IFERROR(INDEX(БАЗА_ЦІНИ,9,IFERROR(MATCH(ЕТАЛОН_ПЛ,ПЛ_РЯДОК,0),0)),""))</f>
        <v/>
      </c>
      <c r="CT51" s="71" t="str">
        <f aca="false">IF(OR(CS20="",ЕТАЛОН_ПЛ="",IFERROR(INDEX(БАЗА_ЦІНИ,9,IFERROR(MATCH(ЕТАЛОН_ПЛ,ПЛ_РЯДОК,0),0)),"")="",IFERROR(INDEX(БАЗА_ЦІНИ,9,IFERROR(MATCH(ЕТАЛОН_ПЛ,ПЛ_РЯДОК,0),0)),"")=0),"",CS20/IFERROR(INDEX(БАЗА_ЦІНИ,9,IFERROR(MATCH(ЕТАЛОН_ПЛ,ПЛ_РЯДОК,0),0)),"")-1)</f>
        <v/>
      </c>
      <c r="CU51" s="70" t="str">
        <f aca="false">IF(OR(CU20="",ЕТАЛОН_ПЛ="",IFERROR(INDEX(БАЗА_ЦІНИ,9,IFERROR(MATCH(ЕТАЛОН_ПЛ,ПЛ_РЯДОК,0),0)),"")=""),"",CU20-IFERROR(INDEX(БАЗА_ЦІНИ,9,IFERROR(MATCH(ЕТАЛОН_ПЛ,ПЛ_РЯДОК,0),0)),""))</f>
        <v/>
      </c>
      <c r="CV51" s="71" t="str">
        <f aca="false">IF(OR(CU20="",ЕТАЛОН_ПЛ="",IFERROR(INDEX(БАЗА_ЦІНИ,9,IFERROR(MATCH(ЕТАЛОН_ПЛ,ПЛ_РЯДОК,0),0)),"")="",IFERROR(INDEX(БАЗА_ЦІНИ,9,IFERROR(MATCH(ЕТАЛОН_ПЛ,ПЛ_РЯДОК,0),0)),"")=0),"",CU20/IFERROR(INDEX(БАЗА_ЦІНИ,9,IFERROR(MATCH(ЕТАЛОН_ПЛ,ПЛ_РЯДОК,0),0)),"")-1)</f>
        <v/>
      </c>
      <c r="CW51" s="70" t="str">
        <f aca="false">IF(OR(CW20="",ЕТАЛОН_ПЛ="",IFERROR(INDEX(БАЗА_ЦІНИ,9,IFERROR(MATCH(ЕТАЛОН_ПЛ,ПЛ_РЯДОК,0),0)),"")=""),"",CW20-IFERROR(INDEX(БАЗА_ЦІНИ,9,IFERROR(MATCH(ЕТАЛОН_ПЛ,ПЛ_РЯДОК,0),0)),""))</f>
        <v/>
      </c>
      <c r="CX51" s="71" t="str">
        <f aca="false">IF(OR(CW20="",ЕТАЛОН_ПЛ="",IFERROR(INDEX(БАЗА_ЦІНИ,9,IFERROR(MATCH(ЕТАЛОН_ПЛ,ПЛ_РЯДОК,0),0)),"")="",IFERROR(INDEX(БАЗА_ЦІНИ,9,IFERROR(MATCH(ЕТАЛОН_ПЛ,ПЛ_РЯДОК,0),0)),"")=0),"",CW20/IFERROR(INDEX(БАЗА_ЦІНИ,9,IFERROR(MATCH(ЕТАЛОН_ПЛ,ПЛ_РЯДОК,0),0)),"")-1)</f>
        <v/>
      </c>
      <c r="CY51" s="70" t="str">
        <f aca="false">IF(OR(CY20="",ЕТАЛОН_ПЛ="",IFERROR(INDEX(БАЗА_ЦІНИ,9,IFERROR(MATCH(ЕТАЛОН_ПЛ,ПЛ_РЯДОК,0),0)),"")=""),"",CY20-IFERROR(INDEX(БАЗА_ЦІНИ,9,IFERROR(MATCH(ЕТАЛОН_ПЛ,ПЛ_РЯДОК,0),0)),""))</f>
        <v/>
      </c>
      <c r="CZ51" s="71" t="str">
        <f aca="false">IF(OR(CY20="",ЕТАЛОН_ПЛ="",IFERROR(INDEX(БАЗА_ЦІНИ,9,IFERROR(MATCH(ЕТАЛОН_ПЛ,ПЛ_РЯДОК,0),0)),"")="",IFERROR(INDEX(БАЗА_ЦІНИ,9,IFERROR(MATCH(ЕТАЛОН_ПЛ,ПЛ_РЯДОК,0),0)),"")=0),"",CY20/IFERROR(INDEX(БАЗА_ЦІНИ,9,IFERROR(MATCH(ЕТАЛОН_ПЛ,ПЛ_РЯДОК,0),0)),"")-1)</f>
        <v/>
      </c>
      <c r="DA51" s="70" t="str">
        <f aca="false">IF(OR(DA20="",ЕТАЛОН_ПЛ="",IFERROR(INDEX(БАЗА_ЦІНИ,9,IFERROR(MATCH(ЕТАЛОН_ПЛ,ПЛ_РЯДОК,0),0)),"")=""),"",DA20-IFERROR(INDEX(БАЗА_ЦІНИ,9,IFERROR(MATCH(ЕТАЛОН_ПЛ,ПЛ_РЯДОК,0),0)),""))</f>
        <v/>
      </c>
      <c r="DB51" s="71" t="str">
        <f aca="false">IF(OR(DA20="",ЕТАЛОН_ПЛ="",IFERROR(INDEX(БАЗА_ЦІНИ,9,IFERROR(MATCH(ЕТАЛОН_ПЛ,ПЛ_РЯДОК,0),0)),"")="",IFERROR(INDEX(БАЗА_ЦІНИ,9,IFERROR(MATCH(ЕТАЛОН_ПЛ,ПЛ_РЯДОК,0),0)),"")=0),"",DA20/IFERROR(INDEX(БАЗА_ЦІНИ,9,IFERROR(MATCH(ЕТАЛОН_ПЛ,ПЛ_РЯДОК,0),0)),"")-1)</f>
        <v/>
      </c>
      <c r="DC51" s="70" t="str">
        <f aca="false">IF(OR(DC20="",ЕТАЛОН_ПЛ="",IFERROR(INDEX(БАЗА_ЦІНИ,9,IFERROR(MATCH(ЕТАЛОН_ПЛ,ПЛ_РЯДОК,0),0)),"")=""),"",DC20-IFERROR(INDEX(БАЗА_ЦІНИ,9,IFERROR(MATCH(ЕТАЛОН_ПЛ,ПЛ_РЯДОК,0),0)),""))</f>
        <v/>
      </c>
      <c r="DD51" s="71" t="str">
        <f aca="false">IF(OR(DC20="",ЕТАЛОН_ПЛ="",IFERROR(INDEX(БАЗА_ЦІНИ,9,IFERROR(MATCH(ЕТАЛОН_ПЛ,ПЛ_РЯДОК,0),0)),"")="",IFERROR(INDEX(БАЗА_ЦІНИ,9,IFERROR(MATCH(ЕТАЛОН_ПЛ,ПЛ_РЯДОК,0),0)),"")=0),"",DC20/IFERROR(INDEX(БАЗА_ЦІНИ,9,IFERROR(MATCH(ЕТАЛОН_ПЛ,ПЛ_РЯДОК,0),0)),"")-1)</f>
        <v/>
      </c>
      <c r="DE51" s="70" t="str">
        <f aca="false">IF(OR(DE20="",ЕТАЛОН_ПЛ="",IFERROR(INDEX(БАЗА_ЦІНИ,9,IFERROR(MATCH(ЕТАЛОН_ПЛ,ПЛ_РЯДОК,0),0)),"")=""),"",DE20-IFERROR(INDEX(БАЗА_ЦІНИ,9,IFERROR(MATCH(ЕТАЛОН_ПЛ,ПЛ_РЯДОК,0),0)),""))</f>
        <v/>
      </c>
      <c r="DF51" s="71" t="str">
        <f aca="false">IF(OR(DE20="",ЕТАЛОН_ПЛ="",IFERROR(INDEX(БАЗА_ЦІНИ,9,IFERROR(MATCH(ЕТАЛОН_ПЛ,ПЛ_РЯДОК,0),0)),"")="",IFERROR(INDEX(БАЗА_ЦІНИ,9,IFERROR(MATCH(ЕТАЛОН_ПЛ,ПЛ_РЯДОК,0),0)),"")=0),"",DE20/IFERROR(INDEX(БАЗА_ЦІНИ,9,IFERROR(MATCH(ЕТАЛОН_ПЛ,ПЛ_РЯДОК,0),0)),"")-1)</f>
        <v/>
      </c>
      <c r="DG51" s="70" t="str">
        <f aca="false">IF(OR(DG20="",ЕТАЛОН_ПЛ="",IFERROR(INDEX(БАЗА_ЦІНИ,9,IFERROR(MATCH(ЕТАЛОН_ПЛ,ПЛ_РЯДОК,0),0)),"")=""),"",DG20-IFERROR(INDEX(БАЗА_ЦІНИ,9,IFERROR(MATCH(ЕТАЛОН_ПЛ,ПЛ_РЯДОК,0),0)),""))</f>
        <v/>
      </c>
      <c r="DH51" s="71" t="str">
        <f aca="false">IF(OR(DG20="",ЕТАЛОН_ПЛ="",IFERROR(INDEX(БАЗА_ЦІНИ,9,IFERROR(MATCH(ЕТАЛОН_ПЛ,ПЛ_РЯДОК,0),0)),"")="",IFERROR(INDEX(БАЗА_ЦІНИ,9,IFERROR(MATCH(ЕТАЛОН_ПЛ,ПЛ_РЯДОК,0),0)),"")=0),"",DG20/IFERROR(INDEX(БАЗА_ЦІНИ,9,IFERROR(MATCH(ЕТАЛОН_ПЛ,ПЛ_РЯДОК,0),0)),"")-1)</f>
        <v/>
      </c>
      <c r="DI51" s="70" t="str">
        <f aca="false">IF(OR(DI20="",ЕТАЛОН_ПЛ="",IFERROR(INDEX(БАЗА_ЦІНИ,9,IFERROR(MATCH(ЕТАЛОН_ПЛ,ПЛ_РЯДОК,0),0)),"")=""),"",DI20-IFERROR(INDEX(БАЗА_ЦІНИ,9,IFERROR(MATCH(ЕТАЛОН_ПЛ,ПЛ_РЯДОК,0),0)),""))</f>
        <v/>
      </c>
      <c r="DJ51" s="71" t="str">
        <f aca="false">IF(OR(DI20="",ЕТАЛОН_ПЛ="",IFERROR(INDEX(БАЗА_ЦІНИ,9,IFERROR(MATCH(ЕТАЛОН_ПЛ,ПЛ_РЯДОК,0),0)),"")="",IFERROR(INDEX(БАЗА_ЦІНИ,9,IFERROR(MATCH(ЕТАЛОН_ПЛ,ПЛ_РЯДОК,0),0)),"")=0),"",DI20/IFERROR(INDEX(БАЗА_ЦІНИ,9,IFERROR(MATCH(ЕТАЛОН_ПЛ,ПЛ_РЯДОК,0),0)),"")-1)</f>
        <v/>
      </c>
      <c r="DK51" s="70" t="str">
        <f aca="false">IF(OR(DK20="",ЕТАЛОН_ПЛ="",IFERROR(INDEX(БАЗА_ЦІНИ,9,IFERROR(MATCH(ЕТАЛОН_ПЛ,ПЛ_РЯДОК,0),0)),"")=""),"",DK20-IFERROR(INDEX(БАЗА_ЦІНИ,9,IFERROR(MATCH(ЕТАЛОН_ПЛ,ПЛ_РЯДОК,0),0)),""))</f>
        <v/>
      </c>
      <c r="DL51" s="71" t="str">
        <f aca="false">IF(OR(DK20="",ЕТАЛОН_ПЛ="",IFERROR(INDEX(БАЗА_ЦІНИ,9,IFERROR(MATCH(ЕТАЛОН_ПЛ,ПЛ_РЯДОК,0),0)),"")="",IFERROR(INDEX(БАЗА_ЦІНИ,9,IFERROR(MATCH(ЕТАЛОН_ПЛ,ПЛ_РЯДОК,0),0)),"")=0),"",DK20/IFERROR(INDEX(БАЗА_ЦІНИ,9,IFERROR(MATCH(ЕТАЛОН_ПЛ,ПЛ_РЯДОК,0),0)),"")-1)</f>
        <v/>
      </c>
      <c r="DM51" s="70" t="str">
        <f aca="false">IF(OR(DM20="",ЕТАЛОН_ПЛ="",IFERROR(INDEX(БАЗА_ЦІНИ,9,IFERROR(MATCH(ЕТАЛОН_ПЛ,ПЛ_РЯДОК,0),0)),"")=""),"",DM20-IFERROR(INDEX(БАЗА_ЦІНИ,9,IFERROR(MATCH(ЕТАЛОН_ПЛ,ПЛ_РЯДОК,0),0)),""))</f>
        <v/>
      </c>
      <c r="DN51" s="71" t="str">
        <f aca="false">IF(OR(DM20="",ЕТАЛОН_ПЛ="",IFERROR(INDEX(БАЗА_ЦІНИ,9,IFERROR(MATCH(ЕТАЛОН_ПЛ,ПЛ_РЯДОК,0),0)),"")="",IFERROR(INDEX(БАЗА_ЦІНИ,9,IFERROR(MATCH(ЕТАЛОН_ПЛ,ПЛ_РЯДОК,0),0)),"")=0),"",DM20/IFERROR(INDEX(БАЗА_ЦІНИ,9,IFERROR(MATCH(ЕТАЛОН_ПЛ,ПЛ_РЯДОК,0),0)),"")-1)</f>
        <v/>
      </c>
      <c r="DO51" s="70" t="str">
        <f aca="false">IF(OR(DO20="",ЕТАЛОН_ПЛ="",IFERROR(INDEX(БАЗА_ЦІНИ,9,IFERROR(MATCH(ЕТАЛОН_ПЛ,ПЛ_РЯДОК,0),0)),"")=""),"",DO20-IFERROR(INDEX(БАЗА_ЦІНИ,9,IFERROR(MATCH(ЕТАЛОН_ПЛ,ПЛ_РЯДОК,0),0)),""))</f>
        <v/>
      </c>
      <c r="DP51" s="71" t="str">
        <f aca="false">IF(OR(DO20="",ЕТАЛОН_ПЛ="",IFERROR(INDEX(БАЗА_ЦІНИ,9,IFERROR(MATCH(ЕТАЛОН_ПЛ,ПЛ_РЯДОК,0),0)),"")="",IFERROR(INDEX(БАЗА_ЦІНИ,9,IFERROR(MATCH(ЕТАЛОН_ПЛ,ПЛ_РЯДОК,0),0)),"")=0),"",DO20/IFERROR(INDEX(БАЗА_ЦІНИ,9,IFERROR(MATCH(ЕТАЛОН_ПЛ,ПЛ_РЯДОК,0),0)),"")-1)</f>
        <v/>
      </c>
      <c r="DQ51" s="70" t="str">
        <f aca="false">IF(OR(DQ20="",ЕТАЛОН_ПЛ="",IFERROR(INDEX(БАЗА_ЦІНИ,9,IFERROR(MATCH(ЕТАЛОН_ПЛ,ПЛ_РЯДОК,0),0)),"")=""),"",DQ20-IFERROR(INDEX(БАЗА_ЦІНИ,9,IFERROR(MATCH(ЕТАЛОН_ПЛ,ПЛ_РЯДОК,0),0)),""))</f>
        <v/>
      </c>
      <c r="DR51" s="71" t="str">
        <f aca="false">IF(OR(DQ20="",ЕТАЛОН_ПЛ="",IFERROR(INDEX(БАЗА_ЦІНИ,9,IFERROR(MATCH(ЕТАЛОН_ПЛ,ПЛ_РЯДОК,0),0)),"")="",IFERROR(INDEX(БАЗА_ЦІНИ,9,IFERROR(MATCH(ЕТАЛОН_ПЛ,ПЛ_РЯДОК,0),0)),"")=0),"",DQ20/IFERROR(INDEX(БАЗА_ЦІНИ,9,IFERROR(MATCH(ЕТАЛОН_ПЛ,ПЛ_РЯДОК,0),0)),"")-1)</f>
        <v/>
      </c>
      <c r="DS51" s="70" t="str">
        <f aca="false">IF(OR(DS20="",ЕТАЛОН_ПЛ="",IFERROR(INDEX(БАЗА_ЦІНИ,9,IFERROR(MATCH(ЕТАЛОН_ПЛ,ПЛ_РЯДОК,0),0)),"")=""),"",DS20-IFERROR(INDEX(БАЗА_ЦІНИ,9,IFERROR(MATCH(ЕТАЛОН_ПЛ,ПЛ_РЯДОК,0),0)),""))</f>
        <v/>
      </c>
      <c r="DT51" s="71" t="str">
        <f aca="false">IF(OR(DS20="",ЕТАЛОН_ПЛ="",IFERROR(INDEX(БАЗА_ЦІНИ,9,IFERROR(MATCH(ЕТАЛОН_ПЛ,ПЛ_РЯДОК,0),0)),"")="",IFERROR(INDEX(БАЗА_ЦІНИ,9,IFERROR(MATCH(ЕТАЛОН_ПЛ,ПЛ_РЯДОК,0),0)),"")=0),"",DS20/IFERROR(INDEX(БАЗА_ЦІНИ,9,IFERROR(MATCH(ЕТАЛОН_ПЛ,ПЛ_РЯДОК,0),0)),"")-1)</f>
        <v/>
      </c>
      <c r="DU51" s="70" t="str">
        <f aca="false">IF(OR(DU20="",ЕТАЛОН_ПЛ="",IFERROR(INDEX(БАЗА_ЦІНИ,9,IFERROR(MATCH(ЕТАЛОН_ПЛ,ПЛ_РЯДОК,0),0)),"")=""),"",DU20-IFERROR(INDEX(БАЗА_ЦІНИ,9,IFERROR(MATCH(ЕТАЛОН_ПЛ,ПЛ_РЯДОК,0),0)),""))</f>
        <v/>
      </c>
      <c r="DV51" s="71" t="str">
        <f aca="false">IF(OR(DU20="",ЕТАЛОН_ПЛ="",IFERROR(INDEX(БАЗА_ЦІНИ,9,IFERROR(MATCH(ЕТАЛОН_ПЛ,ПЛ_РЯДОК,0),0)),"")="",IFERROR(INDEX(БАЗА_ЦІНИ,9,IFERROR(MATCH(ЕТАЛОН_ПЛ,ПЛ_РЯДОК,0),0)),"")=0),"",DU20/IFERROR(INDEX(БАЗА_ЦІНИ,9,IFERROR(MATCH(ЕТАЛОН_ПЛ,ПЛ_РЯДОК,0),0)),"")-1)</f>
        <v/>
      </c>
      <c r="DW51" s="70" t="str">
        <f aca="false">IF(OR(DW20="",ЕТАЛОН_ПЛ="",IFERROR(INDEX(БАЗА_ЦІНИ,9,IFERROR(MATCH(ЕТАЛОН_ПЛ,ПЛ_РЯДОК,0),0)),"")=""),"",DW20-IFERROR(INDEX(БАЗА_ЦІНИ,9,IFERROR(MATCH(ЕТАЛОН_ПЛ,ПЛ_РЯДОК,0),0)),""))</f>
        <v/>
      </c>
      <c r="DX51" s="71" t="str">
        <f aca="false">IF(OR(DW20="",ЕТАЛОН_ПЛ="",IFERROR(INDEX(БАЗА_ЦІНИ,9,IFERROR(MATCH(ЕТАЛОН_ПЛ,ПЛ_РЯДОК,0),0)),"")="",IFERROR(INDEX(БАЗА_ЦІНИ,9,IFERROR(MATCH(ЕТАЛОН_ПЛ,ПЛ_РЯДОК,0),0)),"")=0),"",DW20/IFERROR(INDEX(БАЗА_ЦІНИ,9,IFERROR(MATCH(ЕТАЛОН_ПЛ,ПЛ_РЯДОК,0),0)),"")-1)</f>
        <v/>
      </c>
      <c r="DY51" s="70" t="str">
        <f aca="false">IF(OR(DY20="",ЕТАЛОН_ПЛ="",IFERROR(INDEX(БАЗА_ЦІНИ,9,IFERROR(MATCH(ЕТАЛОН_ПЛ,ПЛ_РЯДОК,0),0)),"")=""),"",DY20-IFERROR(INDEX(БАЗА_ЦІНИ,9,IFERROR(MATCH(ЕТАЛОН_ПЛ,ПЛ_РЯДОК,0),0)),""))</f>
        <v/>
      </c>
      <c r="DZ51" s="71" t="str">
        <f aca="false">IF(OR(DY20="",ЕТАЛОН_ПЛ="",IFERROR(INDEX(БАЗА_ЦІНИ,9,IFERROR(MATCH(ЕТАЛОН_ПЛ,ПЛ_РЯДОК,0),0)),"")="",IFERROR(INDEX(БАЗА_ЦІНИ,9,IFERROR(MATCH(ЕТАЛОН_ПЛ,ПЛ_РЯДОК,0),0)),"")=0),"",DY20/IFERROR(INDEX(БАЗА_ЦІНИ,9,IFERROR(MATCH(ЕТАЛОН_ПЛ,ПЛ_РЯДОК,0),0)),"")-1)</f>
        <v/>
      </c>
      <c r="EA51" s="70" t="str">
        <f aca="false">IF(OR(EA20="",ЕТАЛОН_ПЛ="",IFERROR(INDEX(БАЗА_ЦІНИ,9,IFERROR(MATCH(ЕТАЛОН_ПЛ,ПЛ_РЯДОК,0),0)),"")=""),"",EA20-IFERROR(INDEX(БАЗА_ЦІНИ,9,IFERROR(MATCH(ЕТАЛОН_ПЛ,ПЛ_РЯДОК,0),0)),""))</f>
        <v/>
      </c>
      <c r="EB51" s="71" t="str">
        <f aca="false">IF(OR(EA20="",ЕТАЛОН_ПЛ="",IFERROR(INDEX(БАЗА_ЦІНИ,9,IFERROR(MATCH(ЕТАЛОН_ПЛ,ПЛ_РЯДОК,0),0)),"")="",IFERROR(INDEX(БАЗА_ЦІНИ,9,IFERROR(MATCH(ЕТАЛОН_ПЛ,ПЛ_РЯДОК,0),0)),"")=0),"",EA20/IFERROR(INDEX(БАЗА_ЦІНИ,9,IFERROR(MATCH(ЕТАЛОН_ПЛ,ПЛ_РЯДОК,0),0)),"")-1)</f>
        <v/>
      </c>
      <c r="EC51" s="70" t="str">
        <f aca="false">IF(OR(EC20="",ЕТАЛОН_ПЛ="",IFERROR(INDEX(БАЗА_ЦІНИ,9,IFERROR(MATCH(ЕТАЛОН_ПЛ,ПЛ_РЯДОК,0),0)),"")=""),"",EC20-IFERROR(INDEX(БАЗА_ЦІНИ,9,IFERROR(MATCH(ЕТАЛОН_ПЛ,ПЛ_РЯДОК,0),0)),""))</f>
        <v/>
      </c>
      <c r="ED51" s="71" t="str">
        <f aca="false">IF(OR(EC20="",ЕТАЛОН_ПЛ="",IFERROR(INDEX(БАЗА_ЦІНИ,9,IFERROR(MATCH(ЕТАЛОН_ПЛ,ПЛ_РЯДОК,0),0)),"")="",IFERROR(INDEX(БАЗА_ЦІНИ,9,IFERROR(MATCH(ЕТАЛОН_ПЛ,ПЛ_РЯДОК,0),0)),"")=0),"",EC20/IFERROR(INDEX(БАЗА_ЦІНИ,9,IFERROR(MATCH(ЕТАЛОН_ПЛ,ПЛ_РЯДОК,0),0)),"")-1)</f>
        <v/>
      </c>
      <c r="EE51" s="70" t="str">
        <f aca="false">IF(OR(EE20="",ЕТАЛОН_ПЛ="",IFERROR(INDEX(БАЗА_ЦІНИ,9,IFERROR(MATCH(ЕТАЛОН_ПЛ,ПЛ_РЯДОК,0),0)),"")=""),"",EE20-IFERROR(INDEX(БАЗА_ЦІНИ,9,IFERROR(MATCH(ЕТАЛОН_ПЛ,ПЛ_РЯДОК,0),0)),""))</f>
        <v/>
      </c>
      <c r="EF51" s="71" t="str">
        <f aca="false">IF(OR(EE20="",ЕТАЛОН_ПЛ="",IFERROR(INDEX(БАЗА_ЦІНИ,9,IFERROR(MATCH(ЕТАЛОН_ПЛ,ПЛ_РЯДОК,0),0)),"")="",IFERROR(INDEX(БАЗА_ЦІНИ,9,IFERROR(MATCH(ЕТАЛОН_ПЛ,ПЛ_РЯДОК,0),0)),"")=0),"",EE20/IFERROR(INDEX(БАЗА_ЦІНИ,9,IFERROR(MATCH(ЕТАЛОН_ПЛ,ПЛ_РЯДОК,0),0)),"")-1)</f>
        <v/>
      </c>
      <c r="EG51" s="70" t="str">
        <f aca="false">IF(OR(EG20="",ЕТАЛОН_ПЛ="",IFERROR(INDEX(БАЗА_ЦІНИ,9,IFERROR(MATCH(ЕТАЛОН_ПЛ,ПЛ_РЯДОК,0),0)),"")=""),"",EG20-IFERROR(INDEX(БАЗА_ЦІНИ,9,IFERROR(MATCH(ЕТАЛОН_ПЛ,ПЛ_РЯДОК,0),0)),""))</f>
        <v/>
      </c>
      <c r="EH51" s="71" t="str">
        <f aca="false">IF(OR(EG20="",ЕТАЛОН_ПЛ="",IFERROR(INDEX(БАЗА_ЦІНИ,9,IFERROR(MATCH(ЕТАЛОН_ПЛ,ПЛ_РЯДОК,0),0)),"")="",IFERROR(INDEX(БАЗА_ЦІНИ,9,IFERROR(MATCH(ЕТАЛОН_ПЛ,ПЛ_РЯДОК,0),0)),"")=0),"",EG20/IFERROR(INDEX(БАЗА_ЦІНИ,9,IFERROR(MATCH(ЕТАЛОН_ПЛ,ПЛ_РЯДОК,0),0)),"")-1)</f>
        <v/>
      </c>
      <c r="EI51" s="70" t="str">
        <f aca="false">IF(OR(EI20="",ЕТАЛОН_ПЛ="",IFERROR(INDEX(БАЗА_ЦІНИ,9,IFERROR(MATCH(ЕТАЛОН_ПЛ,ПЛ_РЯДОК,0),0)),"")=""),"",EI20-IFERROR(INDEX(БАЗА_ЦІНИ,9,IFERROR(MATCH(ЕТАЛОН_ПЛ,ПЛ_РЯДОК,0),0)),""))</f>
        <v/>
      </c>
      <c r="EJ51" s="71" t="str">
        <f aca="false">IF(OR(EI20="",ЕТАЛОН_ПЛ="",IFERROR(INDEX(БАЗА_ЦІНИ,9,IFERROR(MATCH(ЕТАЛОН_ПЛ,ПЛ_РЯДОК,0),0)),"")="",IFERROR(INDEX(БАЗА_ЦІНИ,9,IFERROR(MATCH(ЕТАЛОН_ПЛ,ПЛ_РЯДОК,0),0)),"")=0),"",EI20/IFERROR(INDEX(БАЗА_ЦІНИ,9,IFERROR(MATCH(ЕТАЛОН_ПЛ,ПЛ_РЯДОК,0),0)),"")-1)</f>
        <v/>
      </c>
      <c r="EK51" s="70" t="str">
        <f aca="false">IF(OR(EK20="",ЕТАЛОН_ПЛ="",IFERROR(INDEX(БАЗА_ЦІНИ,9,IFERROR(MATCH(ЕТАЛОН_ПЛ,ПЛ_РЯДОК,0),0)),"")=""),"",EK20-IFERROR(INDEX(БАЗА_ЦІНИ,9,IFERROR(MATCH(ЕТАЛОН_ПЛ,ПЛ_РЯДОК,0),0)),""))</f>
        <v/>
      </c>
      <c r="EL51" s="71" t="str">
        <f aca="false">IF(OR(EK20="",ЕТАЛОН_ПЛ="",IFERROR(INDEX(БАЗА_ЦІНИ,9,IFERROR(MATCH(ЕТАЛОН_ПЛ,ПЛ_РЯДОК,0),0)),"")="",IFERROR(INDEX(БАЗА_ЦІНИ,9,IFERROR(MATCH(ЕТАЛОН_ПЛ,ПЛ_РЯДОК,0),0)),"")=0),"",EK20/IFERROR(INDEX(БАЗА_ЦІНИ,9,IFERROR(MATCH(ЕТАЛОН_ПЛ,ПЛ_РЯДОК,0),0)),"")-1)</f>
        <v/>
      </c>
      <c r="EM51" s="70" t="str">
        <f aca="false">IF(OR(EM20="",ЕТАЛОН_ПЛ="",IFERROR(INDEX(БАЗА_ЦІНИ,9,IFERROR(MATCH(ЕТАЛОН_ПЛ,ПЛ_РЯДОК,0),0)),"")=""),"",EM20-IFERROR(INDEX(БАЗА_ЦІНИ,9,IFERROR(MATCH(ЕТАЛОН_ПЛ,ПЛ_РЯДОК,0),0)),""))</f>
        <v/>
      </c>
      <c r="EN51" s="71" t="str">
        <f aca="false">IF(OR(EM20="",ЕТАЛОН_ПЛ="",IFERROR(INDEX(БАЗА_ЦІНИ,9,IFERROR(MATCH(ЕТАЛОН_ПЛ,ПЛ_РЯДОК,0),0)),"")="",IFERROR(INDEX(БАЗА_ЦІНИ,9,IFERROR(MATCH(ЕТАЛОН_ПЛ,ПЛ_РЯДОК,0),0)),"")=0),"",EM20/IFERROR(INDEX(БАЗА_ЦІНИ,9,IFERROR(MATCH(ЕТАЛОН_ПЛ,ПЛ_РЯДОК,0),0)),"")-1)</f>
        <v/>
      </c>
      <c r="EO51" s="70" t="str">
        <f aca="false">IF(OR(EO20="",ЕТАЛОН_ПЛ="",IFERROR(INDEX(БАЗА_ЦІНИ,9,IFERROR(MATCH(ЕТАЛОН_ПЛ,ПЛ_РЯДОК,0),0)),"")=""),"",EO20-IFERROR(INDEX(БАЗА_ЦІНИ,9,IFERROR(MATCH(ЕТАЛОН_ПЛ,ПЛ_РЯДОК,0),0)),""))</f>
        <v/>
      </c>
      <c r="EP51" s="71" t="str">
        <f aca="false">IF(OR(EO20="",ЕТАЛОН_ПЛ="",IFERROR(INDEX(БАЗА_ЦІНИ,9,IFERROR(MATCH(ЕТАЛОН_ПЛ,ПЛ_РЯДОК,0),0)),"")="",IFERROR(INDEX(БАЗА_ЦІНИ,9,IFERROR(MATCH(ЕТАЛОН_ПЛ,ПЛ_РЯДОК,0),0)),"")=0),"",EO20/IFERROR(INDEX(БАЗА_ЦІНИ,9,IFERROR(MATCH(ЕТАЛОН_ПЛ,ПЛ_РЯДОК,0),0)),"")-1)</f>
        <v/>
      </c>
      <c r="EQ51" s="70" t="str">
        <f aca="false">IF(OR(EQ20="",ЕТАЛОН_ПЛ="",IFERROR(INDEX(БАЗА_ЦІНИ,9,IFERROR(MATCH(ЕТАЛОН_ПЛ,ПЛ_РЯДОК,0),0)),"")=""),"",EQ20-IFERROR(INDEX(БАЗА_ЦІНИ,9,IFERROR(MATCH(ЕТАЛОН_ПЛ,ПЛ_РЯДОК,0),0)),""))</f>
        <v/>
      </c>
      <c r="ER51" s="71" t="str">
        <f aca="false">IF(OR(EQ20="",ЕТАЛОН_ПЛ="",IFERROR(INDEX(БАЗА_ЦІНИ,9,IFERROR(MATCH(ЕТАЛОН_ПЛ,ПЛ_РЯДОК,0),0)),"")="",IFERROR(INDEX(БАЗА_ЦІНИ,9,IFERROR(MATCH(ЕТАЛОН_ПЛ,ПЛ_РЯДОК,0),0)),"")=0),"",EQ20/IFERROR(INDEX(БАЗА_ЦІНИ,9,IFERROR(MATCH(ЕТАЛОН_ПЛ,ПЛ_РЯДОК,0),0)),"")-1)</f>
        <v/>
      </c>
      <c r="ES51" s="70" t="str">
        <f aca="false">IF(OR(ES20="",ЕТАЛОН_ПЛ="",IFERROR(INDEX(БАЗА_ЦІНИ,9,IFERROR(MATCH(ЕТАЛОН_ПЛ,ПЛ_РЯДОК,0),0)),"")=""),"",ES20-IFERROR(INDEX(БАЗА_ЦІНИ,9,IFERROR(MATCH(ЕТАЛОН_ПЛ,ПЛ_РЯДОК,0),0)),""))</f>
        <v/>
      </c>
      <c r="ET51" s="71" t="str">
        <f aca="false">IF(OR(ES20="",ЕТАЛОН_ПЛ="",IFERROR(INDEX(БАЗА_ЦІНИ,9,IFERROR(MATCH(ЕТАЛОН_ПЛ,ПЛ_РЯДОК,0),0)),"")="",IFERROR(INDEX(БАЗА_ЦІНИ,9,IFERROR(MATCH(ЕТАЛОН_ПЛ,ПЛ_РЯДОК,0),0)),"")=0),"",ES20/IFERROR(INDEX(БАЗА_ЦІНИ,9,IFERROR(MATCH(ЕТАЛОН_ПЛ,ПЛ_РЯДОК,0),0)),"")-1)</f>
        <v/>
      </c>
      <c r="EU51" s="70" t="str">
        <f aca="false">IF(OR(EU20="",ЕТАЛОН_ПЛ="",IFERROR(INDEX(БАЗА_ЦІНИ,9,IFERROR(MATCH(ЕТАЛОН_ПЛ,ПЛ_РЯДОК,0),0)),"")=""),"",EU20-IFERROR(INDEX(БАЗА_ЦІНИ,9,IFERROR(MATCH(ЕТАЛОН_ПЛ,ПЛ_РЯДОК,0),0)),""))</f>
        <v/>
      </c>
      <c r="EV51" s="71" t="str">
        <f aca="false">IF(OR(EU20="",ЕТАЛОН_ПЛ="",IFERROR(INDEX(БАЗА_ЦІНИ,9,IFERROR(MATCH(ЕТАЛОН_ПЛ,ПЛ_РЯДОК,0),0)),"")="",IFERROR(INDEX(БАЗА_ЦІНИ,9,IFERROR(MATCH(ЕТАЛОН_ПЛ,ПЛ_РЯДОК,0),0)),"")=0),"",EU20/IFERROR(INDEX(БАЗА_ЦІНИ,9,IFERROR(MATCH(ЕТАЛОН_ПЛ,ПЛ_РЯДОК,0),0)),"")-1)</f>
        <v/>
      </c>
      <c r="EW51" s="70" t="str">
        <f aca="false">IF(OR(EW20="",ЕТАЛОН_ПЛ="",IFERROR(INDEX(БАЗА_ЦІНИ,9,IFERROR(MATCH(ЕТАЛОН_ПЛ,ПЛ_РЯДОК,0),0)),"")=""),"",EW20-IFERROR(INDEX(БАЗА_ЦІНИ,9,IFERROR(MATCH(ЕТАЛОН_ПЛ,ПЛ_РЯДОК,0),0)),""))</f>
        <v/>
      </c>
      <c r="EX51" s="71" t="str">
        <f aca="false">IF(OR(EW20="",ЕТАЛОН_ПЛ="",IFERROR(INDEX(БАЗА_ЦІНИ,9,IFERROR(MATCH(ЕТАЛОН_ПЛ,ПЛ_РЯДОК,0),0)),"")="",IFERROR(INDEX(БАЗА_ЦІНИ,9,IFERROR(MATCH(ЕТАЛОН_ПЛ,ПЛ_РЯДОК,0),0)),"")=0),"",EW20/IFERROR(INDEX(БАЗА_ЦІНИ,9,IFERROR(MATCH(ЕТАЛОН_ПЛ,ПЛ_РЯДОК,0),0)),"")-1)</f>
        <v/>
      </c>
      <c r="EY51" s="70" t="str">
        <f aca="false">IF(OR(EY20="",ЕТАЛОН_ПЛ="",IFERROR(INDEX(БАЗА_ЦІНИ,9,IFERROR(MATCH(ЕТАЛОН_ПЛ,ПЛ_РЯДОК,0),0)),"")=""),"",EY20-IFERROR(INDEX(БАЗА_ЦІНИ,9,IFERROR(MATCH(ЕТАЛОН_ПЛ,ПЛ_РЯДОК,0),0)),""))</f>
        <v/>
      </c>
      <c r="EZ51" s="71" t="str">
        <f aca="false">IF(OR(EY20="",ЕТАЛОН_ПЛ="",IFERROR(INDEX(БАЗА_ЦІНИ,9,IFERROR(MATCH(ЕТАЛОН_ПЛ,ПЛ_РЯДОК,0),0)),"")="",IFERROR(INDEX(БАЗА_ЦІНИ,9,IFERROR(MATCH(ЕТАЛОН_ПЛ,ПЛ_РЯДОК,0),0)),"")=0),"",EY20/IFERROR(INDEX(БАЗА_ЦІНИ,9,IFERROR(MATCH(ЕТАЛОН_ПЛ,ПЛ_РЯДОК,0),0)),"")-1)</f>
        <v/>
      </c>
      <c r="FA51" s="70" t="str">
        <f aca="false">IF(OR(FA20="",ЕТАЛОН_ПЛ="",IFERROR(INDEX(БАЗА_ЦІНИ,9,IFERROR(MATCH(ЕТАЛОН_ПЛ,ПЛ_РЯДОК,0),0)),"")=""),"",FA20-IFERROR(INDEX(БАЗА_ЦІНИ,9,IFERROR(MATCH(ЕТАЛОН_ПЛ,ПЛ_РЯДОК,0),0)),""))</f>
        <v/>
      </c>
      <c r="FB51" s="71" t="str">
        <f aca="false">IF(OR(FA20="",ЕТАЛОН_ПЛ="",IFERROR(INDEX(БАЗА_ЦІНИ,9,IFERROR(MATCH(ЕТАЛОН_ПЛ,ПЛ_РЯДОК,0),0)),"")="",IFERROR(INDEX(БАЗА_ЦІНИ,9,IFERROR(MATCH(ЕТАЛОН_ПЛ,ПЛ_РЯДОК,0),0)),"")=0),"",FA20/IFERROR(INDEX(БАЗА_ЦІНИ,9,IFERROR(MATCH(ЕТАЛОН_ПЛ,ПЛ_РЯДОК,0),0)),"")-1)</f>
        <v/>
      </c>
      <c r="FC51" s="70" t="str">
        <f aca="false">IF(OR(FC20="",ЕТАЛОН_ПЛ="",IFERROR(INDEX(БАЗА_ЦІНИ,9,IFERROR(MATCH(ЕТАЛОН_ПЛ,ПЛ_РЯДОК,0),0)),"")=""),"",FC20-IFERROR(INDEX(БАЗА_ЦІНИ,9,IFERROR(MATCH(ЕТАЛОН_ПЛ,ПЛ_РЯДОК,0),0)),""))</f>
        <v/>
      </c>
      <c r="FD51" s="71" t="str">
        <f aca="false">IF(OR(FC20="",ЕТАЛОН_ПЛ="",IFERROR(INDEX(БАЗА_ЦІНИ,9,IFERROR(MATCH(ЕТАЛОН_ПЛ,ПЛ_РЯДОК,0),0)),"")="",IFERROR(INDEX(БАЗА_ЦІНИ,9,IFERROR(MATCH(ЕТАЛОН_ПЛ,ПЛ_РЯДОК,0),0)),"")=0),"",FC20/IFERROR(INDEX(БАЗА_ЦІНИ,9,IFERROR(MATCH(ЕТАЛОН_ПЛ,ПЛ_РЯДОК,0),0)),"")-1)</f>
        <v/>
      </c>
      <c r="FE51" s="70" t="str">
        <f aca="false">IF(OR(FE20="",ЕТАЛОН_ПЛ="",IFERROR(INDEX(БАЗА_ЦІНИ,9,IFERROR(MATCH(ЕТАЛОН_ПЛ,ПЛ_РЯДОК,0),0)),"")=""),"",FE20-IFERROR(INDEX(БАЗА_ЦІНИ,9,IFERROR(MATCH(ЕТАЛОН_ПЛ,ПЛ_РЯДОК,0),0)),""))</f>
        <v/>
      </c>
      <c r="FF51" s="71" t="str">
        <f aca="false">IF(OR(FE20="",ЕТАЛОН_ПЛ="",IFERROR(INDEX(БАЗА_ЦІНИ,9,IFERROR(MATCH(ЕТАЛОН_ПЛ,ПЛ_РЯДОК,0),0)),"")="",IFERROR(INDEX(БАЗА_ЦІНИ,9,IFERROR(MATCH(ЕТАЛОН_ПЛ,ПЛ_РЯДОК,0),0)),"")=0),"",FE20/IFERROR(INDEX(БАЗА_ЦІНИ,9,IFERROR(MATCH(ЕТАЛОН_ПЛ,ПЛ_РЯДОК,0),0)),"")-1)</f>
        <v/>
      </c>
      <c r="FG51" s="70" t="str">
        <f aca="false">IF(OR(FG20="",ЕТАЛОН_ПЛ="",IFERROR(INDEX(БАЗА_ЦІНИ,9,IFERROR(MATCH(ЕТАЛОН_ПЛ,ПЛ_РЯДОК,0),0)),"")=""),"",FG20-IFERROR(INDEX(БАЗА_ЦІНИ,9,IFERROR(MATCH(ЕТАЛОН_ПЛ,ПЛ_РЯДОК,0),0)),""))</f>
        <v/>
      </c>
      <c r="FH51" s="71" t="str">
        <f aca="false">IF(OR(FG20="",ЕТАЛОН_ПЛ="",IFERROR(INDEX(БАЗА_ЦІНИ,9,IFERROR(MATCH(ЕТАЛОН_ПЛ,ПЛ_РЯДОК,0),0)),"")="",IFERROR(INDEX(БАЗА_ЦІНИ,9,IFERROR(MATCH(ЕТАЛОН_ПЛ,ПЛ_РЯДОК,0),0)),"")=0),"",FG20/IFERROR(INDEX(БАЗА_ЦІНИ,9,IFERROR(MATCH(ЕТАЛОН_ПЛ,ПЛ_РЯДОК,0),0)),"")-1)</f>
        <v/>
      </c>
      <c r="FI51" s="70" t="str">
        <f aca="false">IF(OR(FI20="",ЕТАЛОН_ПЛ="",IFERROR(INDEX(БАЗА_ЦІНИ,9,IFERROR(MATCH(ЕТАЛОН_ПЛ,ПЛ_РЯДОК,0),0)),"")=""),"",FI20-IFERROR(INDEX(БАЗА_ЦІНИ,9,IFERROR(MATCH(ЕТАЛОН_ПЛ,ПЛ_РЯДОК,0),0)),""))</f>
        <v/>
      </c>
      <c r="FJ51" s="71" t="str">
        <f aca="false">IF(OR(FI20="",ЕТАЛОН_ПЛ="",IFERROR(INDEX(БАЗА_ЦІНИ,9,IFERROR(MATCH(ЕТАЛОН_ПЛ,ПЛ_РЯДОК,0),0)),"")="",IFERROR(INDEX(БАЗА_ЦІНИ,9,IFERROR(MATCH(ЕТАЛОН_ПЛ,ПЛ_РЯДОК,0),0)),"")=0),"",FI20/IFERROR(INDEX(БАЗА_ЦІНИ,9,IFERROR(MATCH(ЕТАЛОН_ПЛ,ПЛ_РЯДОК,0),0)),"")-1)</f>
        <v/>
      </c>
      <c r="FK51" s="70" t="str">
        <f aca="false">IF(OR(FK20="",ЕТАЛОН_ПЛ="",IFERROR(INDEX(БАЗА_ЦІНИ,9,IFERROR(MATCH(ЕТАЛОН_ПЛ,ПЛ_РЯДОК,0),0)),"")=""),"",FK20-IFERROR(INDEX(БАЗА_ЦІНИ,9,IFERROR(MATCH(ЕТАЛОН_ПЛ,ПЛ_РЯДОК,0),0)),""))</f>
        <v/>
      </c>
      <c r="FL51" s="71" t="str">
        <f aca="false">IF(OR(FK20="",ЕТАЛОН_ПЛ="",IFERROR(INDEX(БАЗА_ЦІНИ,9,IFERROR(MATCH(ЕТАЛОН_ПЛ,ПЛ_РЯДОК,0),0)),"")="",IFERROR(INDEX(БАЗА_ЦІНИ,9,IFERROR(MATCH(ЕТАЛОН_ПЛ,ПЛ_РЯДОК,0),0)),"")=0),"",FK20/IFERROR(INDEX(БАЗА_ЦІНИ,9,IFERROR(MATCH(ЕТАЛОН_ПЛ,ПЛ_РЯДОК,0),0)),"")-1)</f>
        <v/>
      </c>
      <c r="FM51" s="70" t="str">
        <f aca="false">IF(OR(FM20="",ЕТАЛОН_ПЛ="",IFERROR(INDEX(БАЗА_ЦІНИ,9,IFERROR(MATCH(ЕТАЛОН_ПЛ,ПЛ_РЯДОК,0),0)),"")=""),"",FM20-IFERROR(INDEX(БАЗА_ЦІНИ,9,IFERROR(MATCH(ЕТАЛОН_ПЛ,ПЛ_РЯДОК,0),0)),""))</f>
        <v/>
      </c>
      <c r="FN51" s="71" t="str">
        <f aca="false">IF(OR(FM20="",ЕТАЛОН_ПЛ="",IFERROR(INDEX(БАЗА_ЦІНИ,9,IFERROR(MATCH(ЕТАЛОН_ПЛ,ПЛ_РЯДОК,0),0)),"")="",IFERROR(INDEX(БАЗА_ЦІНИ,9,IFERROR(MATCH(ЕТАЛОН_ПЛ,ПЛ_РЯДОК,0),0)),"")=0),"",FM20/IFERROR(INDEX(БАЗА_ЦІНИ,9,IFERROR(MATCH(ЕТАЛОН_ПЛ,ПЛ_РЯДОК,0),0)),"")-1)</f>
        <v/>
      </c>
      <c r="FO51" s="70" t="str">
        <f aca="false">IF(OR(FO20="",ЕТАЛОН_ПЛ="",IFERROR(INDEX(БАЗА_ЦІНИ,9,IFERROR(MATCH(ЕТАЛОН_ПЛ,ПЛ_РЯДОК,0),0)),"")=""),"",FO20-IFERROR(INDEX(БАЗА_ЦІНИ,9,IFERROR(MATCH(ЕТАЛОН_ПЛ,ПЛ_РЯДОК,0),0)),""))</f>
        <v/>
      </c>
      <c r="FP51" s="71" t="str">
        <f aca="false">IF(OR(FO20="",ЕТАЛОН_ПЛ="",IFERROR(INDEX(БАЗА_ЦІНИ,9,IFERROR(MATCH(ЕТАЛОН_ПЛ,ПЛ_РЯДОК,0),0)),"")="",IFERROR(INDEX(БАЗА_ЦІНИ,9,IFERROR(MATCH(ЕТАЛОН_ПЛ,ПЛ_РЯДОК,0),0)),"")=0),"",FO20/IFERROR(INDEX(БАЗА_ЦІНИ,9,IFERROR(MATCH(ЕТАЛОН_ПЛ,ПЛ_РЯДОК,0),0)),"")-1)</f>
        <v/>
      </c>
      <c r="FQ51" s="70" t="str">
        <f aca="false">IF(OR(FQ20="",ЕТАЛОН_ПЛ="",IFERROR(INDEX(БАЗА_ЦІНИ,9,IFERROR(MATCH(ЕТАЛОН_ПЛ,ПЛ_РЯДОК,0),0)),"")=""),"",FQ20-IFERROR(INDEX(БАЗА_ЦІНИ,9,IFERROR(MATCH(ЕТАЛОН_ПЛ,ПЛ_РЯДОК,0),0)),""))</f>
        <v/>
      </c>
      <c r="FR51" s="71" t="str">
        <f aca="false">IF(OR(FQ20="",ЕТАЛОН_ПЛ="",IFERROR(INDEX(БАЗА_ЦІНИ,9,IFERROR(MATCH(ЕТАЛОН_ПЛ,ПЛ_РЯДОК,0),0)),"")="",IFERROR(INDEX(БАЗА_ЦІНИ,9,IFERROR(MATCH(ЕТАЛОН_ПЛ,ПЛ_РЯДОК,0),0)),"")=0),"",FQ20/IFERROR(INDEX(БАЗА_ЦІНИ,9,IFERROR(MATCH(ЕТАЛОН_ПЛ,ПЛ_РЯДОК,0),0)),"")-1)</f>
        <v/>
      </c>
      <c r="FS51" s="70" t="str">
        <f aca="false">IF(OR(FS20="",ЕТАЛОН_ПЛ="",IFERROR(INDEX(БАЗА_ЦІНИ,9,IFERROR(MATCH(ЕТАЛОН_ПЛ,ПЛ_РЯДОК,0),0)),"")=""),"",FS20-IFERROR(INDEX(БАЗА_ЦІНИ,9,IFERROR(MATCH(ЕТАЛОН_ПЛ,ПЛ_РЯДОК,0),0)),""))</f>
        <v/>
      </c>
      <c r="FT51" s="71" t="str">
        <f aca="false">IF(OR(FS20="",ЕТАЛОН_ПЛ="",IFERROR(INDEX(БАЗА_ЦІНИ,9,IFERROR(MATCH(ЕТАЛОН_ПЛ,ПЛ_РЯДОК,0),0)),"")="",IFERROR(INDEX(БАЗА_ЦІНИ,9,IFERROR(MATCH(ЕТАЛОН_ПЛ,ПЛ_РЯДОК,0),0)),"")=0),"",FS20/IFERROR(INDEX(БАЗА_ЦІНИ,9,IFERROR(MATCH(ЕТАЛОН_ПЛ,ПЛ_РЯДОК,0),0)),"")-1)</f>
        <v/>
      </c>
      <c r="FU51" s="70" t="str">
        <f aca="false">IF(OR(FU20="",ЕТАЛОН_ПЛ="",IFERROR(INDEX(БАЗА_ЦІНИ,9,IFERROR(MATCH(ЕТАЛОН_ПЛ,ПЛ_РЯДОК,0),0)),"")=""),"",FU20-IFERROR(INDEX(БАЗА_ЦІНИ,9,IFERROR(MATCH(ЕТАЛОН_ПЛ,ПЛ_РЯДОК,0),0)),""))</f>
        <v/>
      </c>
      <c r="FV51" s="71" t="str">
        <f aca="false">IF(OR(FU20="",ЕТАЛОН_ПЛ="",IFERROR(INDEX(БАЗА_ЦІНИ,9,IFERROR(MATCH(ЕТАЛОН_ПЛ,ПЛ_РЯДОК,0),0)),"")="",IFERROR(INDEX(БАЗА_ЦІНИ,9,IFERROR(MATCH(ЕТАЛОН_ПЛ,ПЛ_РЯДОК,0),0)),"")=0),"",FU20/IFERROR(INDEX(БАЗА_ЦІНИ,9,IFERROR(MATCH(ЕТАЛОН_ПЛ,ПЛ_РЯДОК,0),0)),"")-1)</f>
        <v/>
      </c>
      <c r="FW51" s="70" t="str">
        <f aca="false">IF(OR(FW20="",ЕТАЛОН_ПЛ="",IFERROR(INDEX(БАЗА_ЦІНИ,9,IFERROR(MATCH(ЕТАЛОН_ПЛ,ПЛ_РЯДОК,0),0)),"")=""),"",FW20-IFERROR(INDEX(БАЗА_ЦІНИ,9,IFERROR(MATCH(ЕТАЛОН_ПЛ,ПЛ_РЯДОК,0),0)),""))</f>
        <v/>
      </c>
      <c r="FX51" s="71" t="str">
        <f aca="false">IF(OR(FW20="",ЕТАЛОН_ПЛ="",IFERROR(INDEX(БАЗА_ЦІНИ,9,IFERROR(MATCH(ЕТАЛОН_ПЛ,ПЛ_РЯДОК,0),0)),"")="",IFERROR(INDEX(БАЗА_ЦІНИ,9,IFERROR(MATCH(ЕТАЛОН_ПЛ,ПЛ_РЯДОК,0),0)),"")=0),"",FW20/IFERROR(INDEX(БАЗА_ЦІНИ,9,IFERROR(MATCH(ЕТАЛОН_ПЛ,ПЛ_РЯДОК,0),0)),"")-1)</f>
        <v/>
      </c>
      <c r="FY51" s="70" t="str">
        <f aca="false">IF(OR(FY20="",ЕТАЛОН_ПЛ="",IFERROR(INDEX(БАЗА_ЦІНИ,9,IFERROR(MATCH(ЕТАЛОН_ПЛ,ПЛ_РЯДОК,0),0)),"")=""),"",FY20-IFERROR(INDEX(БАЗА_ЦІНИ,9,IFERROR(MATCH(ЕТАЛОН_ПЛ,ПЛ_РЯДОК,0),0)),""))</f>
        <v/>
      </c>
      <c r="FZ51" s="71" t="str">
        <f aca="false">IF(OR(FY20="",ЕТАЛОН_ПЛ="",IFERROR(INDEX(БАЗА_ЦІНИ,9,IFERROR(MATCH(ЕТАЛОН_ПЛ,ПЛ_РЯДОК,0),0)),"")="",IFERROR(INDEX(БАЗА_ЦІНИ,9,IFERROR(MATCH(ЕТАЛОН_ПЛ,ПЛ_РЯДОК,0),0)),"")=0),"",FY20/IFERROR(INDEX(БАЗА_ЦІНИ,9,IFERROR(MATCH(ЕТАЛОН_ПЛ,ПЛ_РЯДОК,0),0)),"")-1)</f>
        <v/>
      </c>
      <c r="GA51" s="70" t="str">
        <f aca="false">IF(OR(GA20="",ЕТАЛОН_ПЛ="",IFERROR(INDEX(БАЗА_ЦІНИ,9,IFERROR(MATCH(ЕТАЛОН_ПЛ,ПЛ_РЯДОК,0),0)),"")=""),"",GA20-IFERROR(INDEX(БАЗА_ЦІНИ,9,IFERROR(MATCH(ЕТАЛОН_ПЛ,ПЛ_РЯДОК,0),0)),""))</f>
        <v/>
      </c>
      <c r="GB51" s="71" t="str">
        <f aca="false">IF(OR(GA20="",ЕТАЛОН_ПЛ="",IFERROR(INDEX(БАЗА_ЦІНИ,9,IFERROR(MATCH(ЕТАЛОН_ПЛ,ПЛ_РЯДОК,0),0)),"")="",IFERROR(INDEX(БАЗА_ЦІНИ,9,IFERROR(MATCH(ЕТАЛОН_ПЛ,ПЛ_РЯДОК,0),0)),"")=0),"",GA20/IFERROR(INDEX(БАЗА_ЦІНИ,9,IFERROR(MATCH(ЕТАЛОН_ПЛ,ПЛ_РЯДОК,0),0)),"")-1)</f>
        <v/>
      </c>
      <c r="GC51" s="70" t="str">
        <f aca="false">IF(OR(GC20="",ЕТАЛОН_ПЛ="",IFERROR(INDEX(БАЗА_ЦІНИ,9,IFERROR(MATCH(ЕТАЛОН_ПЛ,ПЛ_РЯДОК,0),0)),"")=""),"",GC20-IFERROR(INDEX(БАЗА_ЦІНИ,9,IFERROR(MATCH(ЕТАЛОН_ПЛ,ПЛ_РЯДОК,0),0)),""))</f>
        <v/>
      </c>
      <c r="GD51" s="71" t="str">
        <f aca="false">IF(OR(GC20="",ЕТАЛОН_ПЛ="",IFERROR(INDEX(БАЗА_ЦІНИ,9,IFERROR(MATCH(ЕТАЛОН_ПЛ,ПЛ_РЯДОК,0),0)),"")="",IFERROR(INDEX(БАЗА_ЦІНИ,9,IFERROR(MATCH(ЕТАЛОН_ПЛ,ПЛ_РЯДОК,0),0)),"")=0),"",GC20/IFERROR(INDEX(БАЗА_ЦІНИ,9,IFERROR(MATCH(ЕТАЛОН_ПЛ,ПЛ_РЯДОК,0),0)),"")-1)</f>
        <v/>
      </c>
      <c r="GE51" s="70" t="str">
        <f aca="false">IF(OR(GE20="",ЕТАЛОН_ПЛ="",IFERROR(INDEX(БАЗА_ЦІНИ,9,IFERROR(MATCH(ЕТАЛОН_ПЛ,ПЛ_РЯДОК,0),0)),"")=""),"",GE20-IFERROR(INDEX(БАЗА_ЦІНИ,9,IFERROR(MATCH(ЕТАЛОН_ПЛ,ПЛ_РЯДОК,0),0)),""))</f>
        <v/>
      </c>
      <c r="GF51" s="71" t="str">
        <f aca="false">IF(OR(GE20="",ЕТАЛОН_ПЛ="",IFERROR(INDEX(БАЗА_ЦІНИ,9,IFERROR(MATCH(ЕТАЛОН_ПЛ,ПЛ_РЯДОК,0),0)),"")="",IFERROR(INDEX(БАЗА_ЦІНИ,9,IFERROR(MATCH(ЕТАЛОН_ПЛ,ПЛ_РЯДОК,0),0)),"")=0),"",GE20/IFERROR(INDEX(БАЗА_ЦІНИ,9,IFERROR(MATCH(ЕТАЛОН_ПЛ,ПЛ_РЯДОК,0),0)),"")-1)</f>
        <v/>
      </c>
      <c r="GG51" s="70" t="str">
        <f aca="false">IF(OR(GG20="",ЕТАЛОН_ПЛ="",IFERROR(INDEX(БАЗА_ЦІНИ,9,IFERROR(MATCH(ЕТАЛОН_ПЛ,ПЛ_РЯДОК,0),0)),"")=""),"",GG20-IFERROR(INDEX(БАЗА_ЦІНИ,9,IFERROR(MATCH(ЕТАЛОН_ПЛ,ПЛ_РЯДОК,0),0)),""))</f>
        <v/>
      </c>
      <c r="GH51" s="71" t="str">
        <f aca="false">IF(OR(GG20="",ЕТАЛОН_ПЛ="",IFERROR(INDEX(БАЗА_ЦІНИ,9,IFERROR(MATCH(ЕТАЛОН_ПЛ,ПЛ_РЯДОК,0),0)),"")="",IFERROR(INDEX(БАЗА_ЦІНИ,9,IFERROR(MATCH(ЕТАЛОН_ПЛ,ПЛ_РЯДОК,0),0)),"")=0),"",GG20/IFERROR(INDEX(БАЗА_ЦІНИ,9,IFERROR(MATCH(ЕТАЛОН_ПЛ,ПЛ_РЯДОК,0),0)),"")-1)</f>
        <v/>
      </c>
      <c r="GI51" s="70" t="str">
        <f aca="false">IF(OR(GI20="",ЕТАЛОН_ПЛ="",IFERROR(INDEX(БАЗА_ЦІНИ,9,IFERROR(MATCH(ЕТАЛОН_ПЛ,ПЛ_РЯДОК,0),0)),"")=""),"",GI20-IFERROR(INDEX(БАЗА_ЦІНИ,9,IFERROR(MATCH(ЕТАЛОН_ПЛ,ПЛ_РЯДОК,0),0)),""))</f>
        <v/>
      </c>
      <c r="GJ51" s="71" t="str">
        <f aca="false">IF(OR(GI20="",ЕТАЛОН_ПЛ="",IFERROR(INDEX(БАЗА_ЦІНИ,9,IFERROR(MATCH(ЕТАЛОН_ПЛ,ПЛ_РЯДОК,0),0)),"")="",IFERROR(INDEX(БАЗА_ЦІНИ,9,IFERROR(MATCH(ЕТАЛОН_ПЛ,ПЛ_РЯДОК,0),0)),"")=0),"",GI20/IFERROR(INDEX(БАЗА_ЦІНИ,9,IFERROR(MATCH(ЕТАЛОН_ПЛ,ПЛ_РЯДОК,0),0)),"")-1)</f>
        <v/>
      </c>
      <c r="GK51" s="70" t="str">
        <f aca="false">IF(OR(GK20="",ЕТАЛОН_ПЛ="",IFERROR(INDEX(БАЗА_ЦІНИ,9,IFERROR(MATCH(ЕТАЛОН_ПЛ,ПЛ_РЯДОК,0),0)),"")=""),"",GK20-IFERROR(INDEX(БАЗА_ЦІНИ,9,IFERROR(MATCH(ЕТАЛОН_ПЛ,ПЛ_РЯДОК,0),0)),""))</f>
        <v/>
      </c>
      <c r="GL51" s="71" t="str">
        <f aca="false">IF(OR(GK20="",ЕТАЛОН_ПЛ="",IFERROR(INDEX(БАЗА_ЦІНИ,9,IFERROR(MATCH(ЕТАЛОН_ПЛ,ПЛ_РЯДОК,0),0)),"")="",IFERROR(INDEX(БАЗА_ЦІНИ,9,IFERROR(MATCH(ЕТАЛОН_ПЛ,ПЛ_РЯДОК,0),0)),"")=0),"",GK20/IFERROR(INDEX(БАЗА_ЦІНИ,9,IFERROR(MATCH(ЕТАЛОН_ПЛ,ПЛ_РЯДОК,0),0)),"")-1)</f>
        <v/>
      </c>
      <c r="GM51" s="70" t="str">
        <f aca="false">IF(OR(GM20="",ЕТАЛОН_ПЛ="",IFERROR(INDEX(БАЗА_ЦІНИ,9,IFERROR(MATCH(ЕТАЛОН_ПЛ,ПЛ_РЯДОК,0),0)),"")=""),"",GM20-IFERROR(INDEX(БАЗА_ЦІНИ,9,IFERROR(MATCH(ЕТАЛОН_ПЛ,ПЛ_РЯДОК,0),0)),""))</f>
        <v/>
      </c>
      <c r="GN51" s="71" t="str">
        <f aca="false">IF(OR(GM20="",ЕТАЛОН_ПЛ="",IFERROR(INDEX(БАЗА_ЦІНИ,9,IFERROR(MATCH(ЕТАЛОН_ПЛ,ПЛ_РЯДОК,0),0)),"")="",IFERROR(INDEX(БАЗА_ЦІНИ,9,IFERROR(MATCH(ЕТАЛОН_ПЛ,ПЛ_РЯДОК,0),0)),"")=0),"",GM20/IFERROR(INDEX(БАЗА_ЦІНИ,9,IFERROR(MATCH(ЕТАЛОН_ПЛ,ПЛ_РЯДОК,0),0)),"")-1)</f>
        <v/>
      </c>
      <c r="GO51" s="70" t="str">
        <f aca="false">IF(OR(GO20="",ЕТАЛОН_ПЛ="",IFERROR(INDEX(БАЗА_ЦІНИ,9,IFERROR(MATCH(ЕТАЛОН_ПЛ,ПЛ_РЯДОК,0),0)),"")=""),"",GO20-IFERROR(INDEX(БАЗА_ЦІНИ,9,IFERROR(MATCH(ЕТАЛОН_ПЛ,ПЛ_РЯДОК,0),0)),""))</f>
        <v/>
      </c>
      <c r="GP51" s="71" t="str">
        <f aca="false">IF(OR(GO20="",ЕТАЛОН_ПЛ="",IFERROR(INDEX(БАЗА_ЦІНИ,9,IFERROR(MATCH(ЕТАЛОН_ПЛ,ПЛ_РЯДОК,0),0)),"")="",IFERROR(INDEX(БАЗА_ЦІНИ,9,IFERROR(MATCH(ЕТАЛОН_ПЛ,ПЛ_РЯДОК,0),0)),"")=0),"",GO20/IFERROR(INDEX(БАЗА_ЦІНИ,9,IFERROR(MATCH(ЕТАЛОН_ПЛ,ПЛ_РЯДОК,0),0)),"")-1)</f>
        <v/>
      </c>
      <c r="GQ51" s="70" t="str">
        <f aca="false">IF(OR(GQ20="",ЕТАЛОН_ПЛ="",IFERROR(INDEX(БАЗА_ЦІНИ,9,IFERROR(MATCH(ЕТАЛОН_ПЛ,ПЛ_РЯДОК,0),0)),"")=""),"",GQ20-IFERROR(INDEX(БАЗА_ЦІНИ,9,IFERROR(MATCH(ЕТАЛОН_ПЛ,ПЛ_РЯДОК,0),0)),""))</f>
        <v/>
      </c>
      <c r="GR51" s="71" t="str">
        <f aca="false">IF(OR(GQ20="",ЕТАЛОН_ПЛ="",IFERROR(INDEX(БАЗА_ЦІНИ,9,IFERROR(MATCH(ЕТАЛОН_ПЛ,ПЛ_РЯДОК,0),0)),"")="",IFERROR(INDEX(БАЗА_ЦІНИ,9,IFERROR(MATCH(ЕТАЛОН_ПЛ,ПЛ_РЯДОК,0),0)),"")=0),"",GQ20/IFERROR(INDEX(БАЗА_ЦІНИ,9,IFERROR(MATCH(ЕТАЛОН_ПЛ,ПЛ_РЯДОК,0),0)),"")-1)</f>
        <v/>
      </c>
      <c r="GS51" s="70" t="str">
        <f aca="false">IF(OR(GS20="",ЕТАЛОН_ПЛ="",IFERROR(INDEX(БАЗА_ЦІНИ,9,IFERROR(MATCH(ЕТАЛОН_ПЛ,ПЛ_РЯДОК,0),0)),"")=""),"",GS20-IFERROR(INDEX(БАЗА_ЦІНИ,9,IFERROR(MATCH(ЕТАЛОН_ПЛ,ПЛ_РЯДОК,0),0)),""))</f>
        <v/>
      </c>
      <c r="GT51" s="71" t="str">
        <f aca="false">IF(OR(GS20="",ЕТАЛОН_ПЛ="",IFERROR(INDEX(БАЗА_ЦІНИ,9,IFERROR(MATCH(ЕТАЛОН_ПЛ,ПЛ_РЯДОК,0),0)),"")="",IFERROR(INDEX(БАЗА_ЦІНИ,9,IFERROR(MATCH(ЕТАЛОН_ПЛ,ПЛ_РЯДОК,0),0)),"")=0),"",GS20/IFERROR(INDEX(БАЗА_ЦІНИ,9,IFERROR(MATCH(ЕТАЛОН_ПЛ,ПЛ_РЯДОК,0),0)),"")-1)</f>
        <v/>
      </c>
      <c r="GU51" s="70" t="str">
        <f aca="false">IF(OR(GU20="",ЕТАЛОН_ПЛ="",IFERROR(INDEX(БАЗА_ЦІНИ,9,IFERROR(MATCH(ЕТАЛОН_ПЛ,ПЛ_РЯДОК,0),0)),"")=""),"",GU20-IFERROR(INDEX(БАЗА_ЦІНИ,9,IFERROR(MATCH(ЕТАЛОН_ПЛ,ПЛ_РЯДОК,0),0)),""))</f>
        <v/>
      </c>
      <c r="GV51" s="71" t="str">
        <f aca="false">IF(OR(GU20="",ЕТАЛОН_ПЛ="",IFERROR(INDEX(БАЗА_ЦІНИ,9,IFERROR(MATCH(ЕТАЛОН_ПЛ,ПЛ_РЯДОК,0),0)),"")="",IFERROR(INDEX(БАЗА_ЦІНИ,9,IFERROR(MATCH(ЕТАЛОН_ПЛ,ПЛ_РЯДОК,0),0)),"")=0),"",GU20/IFERROR(INDEX(БАЗА_ЦІНИ,9,IFERROR(MATCH(ЕТАЛОН_ПЛ,ПЛ_РЯДОК,0),0)),"")-1)</f>
        <v/>
      </c>
      <c r="GW51" s="70" t="str">
        <f aca="false">IF(OR(GW20="",ЕТАЛОН_ПЛ="",IFERROR(INDEX(БАЗА_ЦІНИ,9,IFERROR(MATCH(ЕТАЛОН_ПЛ,ПЛ_РЯДОК,0),0)),"")=""),"",GW20-IFERROR(INDEX(БАЗА_ЦІНИ,9,IFERROR(MATCH(ЕТАЛОН_ПЛ,ПЛ_РЯДОК,0),0)),""))</f>
        <v/>
      </c>
      <c r="GX51" s="71" t="str">
        <f aca="false">IF(OR(GW20="",ЕТАЛОН_ПЛ="",IFERROR(INDEX(БАЗА_ЦІНИ,9,IFERROR(MATCH(ЕТАЛОН_ПЛ,ПЛ_РЯДОК,0),0)),"")="",IFERROR(INDEX(БАЗА_ЦІНИ,9,IFERROR(MATCH(ЕТАЛОН_ПЛ,ПЛ_РЯДОК,0),0)),"")=0),"",GW20/IFERROR(INDEX(БАЗА_ЦІНИ,9,IFERROR(MATCH(ЕТАЛОН_ПЛ,ПЛ_РЯДОК,0),0)),"")-1)</f>
        <v/>
      </c>
      <c r="GY51" s="70" t="str">
        <f aca="false">IF(OR(GY20="",ЕТАЛОН_ПЛ="",IFERROR(INDEX(БАЗА_ЦІНИ,9,IFERROR(MATCH(ЕТАЛОН_ПЛ,ПЛ_РЯДОК,0),0)),"")=""),"",GY20-IFERROR(INDEX(БАЗА_ЦІНИ,9,IFERROR(MATCH(ЕТАЛОН_ПЛ,ПЛ_РЯДОК,0),0)),""))</f>
        <v/>
      </c>
      <c r="GZ51" s="71" t="str">
        <f aca="false">IF(OR(GY20="",ЕТАЛОН_ПЛ="",IFERROR(INDEX(БАЗА_ЦІНИ,9,IFERROR(MATCH(ЕТАЛОН_ПЛ,ПЛ_РЯДОК,0),0)),"")="",IFERROR(INDEX(БАЗА_ЦІНИ,9,IFERROR(MATCH(ЕТАЛОН_ПЛ,ПЛ_РЯДОК,0),0)),"")=0),"",GY20/IFERROR(INDEX(БАЗА_ЦІНИ,9,IFERROR(MATCH(ЕТАЛОН_ПЛ,ПЛ_РЯДОК,0),0)),"")-1)</f>
        <v/>
      </c>
    </row>
    <row r="52" customFormat="false" ht="15" hidden="false" customHeight="false" outlineLevel="0" collapsed="false">
      <c r="A52" s="4"/>
      <c r="B52" s="36"/>
      <c r="C52" s="36"/>
      <c r="D52" s="49"/>
      <c r="E52" s="50"/>
      <c r="H52" s="23" t="str">
        <f aca="false">IF('Довідник категорій'!B14="","",'Довідник категорій'!B14)</f>
        <v/>
      </c>
      <c r="I52" s="70" t="str">
        <f aca="false">IF(OR(I21="",ЕТАЛОН_ПЛ="",IFERROR(INDEX(БАЗА_ЦІНИ,10,IFERROR(MATCH(ЕТАЛОН_ПЛ,ПЛ_РЯДОК,0),0)),"")=""),"",I21-IFERROR(INDEX(БАЗА_ЦІНИ,10,IFERROR(MATCH(ЕТАЛОН_ПЛ,ПЛ_РЯДОК,0),0)),""))</f>
        <v/>
      </c>
      <c r="J52" s="71" t="str">
        <f aca="false">IF(OR(I21="",ЕТАЛОН_ПЛ="",IFERROR(INDEX(БАЗА_ЦІНИ,10,IFERROR(MATCH(ЕТАЛОН_ПЛ,ПЛ_РЯДОК,0),0)),"")="",IFERROR(INDEX(БАЗА_ЦІНИ,10,IFERROR(MATCH(ЕТАЛОН_ПЛ,ПЛ_РЯДОК,0),0)),"")=0),"",I21/IFERROR(INDEX(БАЗА_ЦІНИ,10,IFERROR(MATCH(ЕТАЛОН_ПЛ,ПЛ_РЯДОК,0),0)),"")-1)</f>
        <v/>
      </c>
      <c r="K52" s="70" t="str">
        <f aca="false">IF(OR(K21="",ЕТАЛОН_ПЛ="",IFERROR(INDEX(БАЗА_ЦІНИ,10,IFERROR(MATCH(ЕТАЛОН_ПЛ,ПЛ_РЯДОК,0),0)),"")=""),"",K21-IFERROR(INDEX(БАЗА_ЦІНИ,10,IFERROR(MATCH(ЕТАЛОН_ПЛ,ПЛ_РЯДОК,0),0)),""))</f>
        <v/>
      </c>
      <c r="L52" s="71" t="str">
        <f aca="false">IF(OR(K21="",ЕТАЛОН_ПЛ="",IFERROR(INDEX(БАЗА_ЦІНИ,10,IFERROR(MATCH(ЕТАЛОН_ПЛ,ПЛ_РЯДОК,0),0)),"")="",IFERROR(INDEX(БАЗА_ЦІНИ,10,IFERROR(MATCH(ЕТАЛОН_ПЛ,ПЛ_РЯДОК,0),0)),"")=0),"",K21/IFERROR(INDEX(БАЗА_ЦІНИ,10,IFERROR(MATCH(ЕТАЛОН_ПЛ,ПЛ_РЯДОК,0),0)),"")-1)</f>
        <v/>
      </c>
      <c r="M52" s="70" t="str">
        <f aca="false">IF(OR(M21="",ЕТАЛОН_ПЛ="",IFERROR(INDEX(БАЗА_ЦІНИ,10,IFERROR(MATCH(ЕТАЛОН_ПЛ,ПЛ_РЯДОК,0),0)),"")=""),"",M21-IFERROR(INDEX(БАЗА_ЦІНИ,10,IFERROR(MATCH(ЕТАЛОН_ПЛ,ПЛ_РЯДОК,0),0)),""))</f>
        <v/>
      </c>
      <c r="N52" s="71" t="str">
        <f aca="false">IF(OR(M21="",ЕТАЛОН_ПЛ="",IFERROR(INDEX(БАЗА_ЦІНИ,10,IFERROR(MATCH(ЕТАЛОН_ПЛ,ПЛ_РЯДОК,0),0)),"")="",IFERROR(INDEX(БАЗА_ЦІНИ,10,IFERROR(MATCH(ЕТАЛОН_ПЛ,ПЛ_РЯДОК,0),0)),"")=0),"",M21/IFERROR(INDEX(БАЗА_ЦІНИ,10,IFERROR(MATCH(ЕТАЛОН_ПЛ,ПЛ_РЯДОК,0),0)),"")-1)</f>
        <v/>
      </c>
      <c r="O52" s="70" t="str">
        <f aca="false">IF(OR(O21="",ЕТАЛОН_ПЛ="",IFERROR(INDEX(БАЗА_ЦІНИ,10,IFERROR(MATCH(ЕТАЛОН_ПЛ,ПЛ_РЯДОК,0),0)),"")=""),"",O21-IFERROR(INDEX(БАЗА_ЦІНИ,10,IFERROR(MATCH(ЕТАЛОН_ПЛ,ПЛ_РЯДОК,0),0)),""))</f>
        <v/>
      </c>
      <c r="P52" s="71" t="str">
        <f aca="false">IF(OR(O21="",ЕТАЛОН_ПЛ="",IFERROR(INDEX(БАЗА_ЦІНИ,10,IFERROR(MATCH(ЕТАЛОН_ПЛ,ПЛ_РЯДОК,0),0)),"")="",IFERROR(INDEX(БАЗА_ЦІНИ,10,IFERROR(MATCH(ЕТАЛОН_ПЛ,ПЛ_РЯДОК,0),0)),"")=0),"",O21/IFERROR(INDEX(БАЗА_ЦІНИ,10,IFERROR(MATCH(ЕТАЛОН_ПЛ,ПЛ_РЯДОК,0),0)),"")-1)</f>
        <v/>
      </c>
      <c r="Q52" s="70" t="str">
        <f aca="false">IF(OR(Q21="",ЕТАЛОН_ПЛ="",IFERROR(INDEX(БАЗА_ЦІНИ,10,IFERROR(MATCH(ЕТАЛОН_ПЛ,ПЛ_РЯДОК,0),0)),"")=""),"",Q21-IFERROR(INDEX(БАЗА_ЦІНИ,10,IFERROR(MATCH(ЕТАЛОН_ПЛ,ПЛ_РЯДОК,0),0)),""))</f>
        <v/>
      </c>
      <c r="R52" s="71" t="str">
        <f aca="false">IF(OR(Q21="",ЕТАЛОН_ПЛ="",IFERROR(INDEX(БАЗА_ЦІНИ,10,IFERROR(MATCH(ЕТАЛОН_ПЛ,ПЛ_РЯДОК,0),0)),"")="",IFERROR(INDEX(БАЗА_ЦІНИ,10,IFERROR(MATCH(ЕТАЛОН_ПЛ,ПЛ_РЯДОК,0),0)),"")=0),"",Q21/IFERROR(INDEX(БАЗА_ЦІНИ,10,IFERROR(MATCH(ЕТАЛОН_ПЛ,ПЛ_РЯДОК,0),0)),"")-1)</f>
        <v/>
      </c>
      <c r="S52" s="70" t="str">
        <f aca="false">IF(OR(S21="",ЕТАЛОН_ПЛ="",IFERROR(INDEX(БАЗА_ЦІНИ,10,IFERROR(MATCH(ЕТАЛОН_ПЛ,ПЛ_РЯДОК,0),0)),"")=""),"",S21-IFERROR(INDEX(БАЗА_ЦІНИ,10,IFERROR(MATCH(ЕТАЛОН_ПЛ,ПЛ_РЯДОК,0),0)),""))</f>
        <v/>
      </c>
      <c r="T52" s="71" t="str">
        <f aca="false">IF(OR(S21="",ЕТАЛОН_ПЛ="",IFERROR(INDEX(БАЗА_ЦІНИ,10,IFERROR(MATCH(ЕТАЛОН_ПЛ,ПЛ_РЯДОК,0),0)),"")="",IFERROR(INDEX(БАЗА_ЦІНИ,10,IFERROR(MATCH(ЕТАЛОН_ПЛ,ПЛ_РЯДОК,0),0)),"")=0),"",S21/IFERROR(INDEX(БАЗА_ЦІНИ,10,IFERROR(MATCH(ЕТАЛОН_ПЛ,ПЛ_РЯДОК,0),0)),"")-1)</f>
        <v/>
      </c>
      <c r="U52" s="70" t="str">
        <f aca="false">IF(OR(U21="",ЕТАЛОН_ПЛ="",IFERROR(INDEX(БАЗА_ЦІНИ,10,IFERROR(MATCH(ЕТАЛОН_ПЛ,ПЛ_РЯДОК,0),0)),"")=""),"",U21-IFERROR(INDEX(БАЗА_ЦІНИ,10,IFERROR(MATCH(ЕТАЛОН_ПЛ,ПЛ_РЯДОК,0),0)),""))</f>
        <v/>
      </c>
      <c r="V52" s="71" t="str">
        <f aca="false">IF(OR(U21="",ЕТАЛОН_ПЛ="",IFERROR(INDEX(БАЗА_ЦІНИ,10,IFERROR(MATCH(ЕТАЛОН_ПЛ,ПЛ_РЯДОК,0),0)),"")="",IFERROR(INDEX(БАЗА_ЦІНИ,10,IFERROR(MATCH(ЕТАЛОН_ПЛ,ПЛ_РЯДОК,0),0)),"")=0),"",U21/IFERROR(INDEX(БАЗА_ЦІНИ,10,IFERROR(MATCH(ЕТАЛОН_ПЛ,ПЛ_РЯДОК,0),0)),"")-1)</f>
        <v/>
      </c>
      <c r="W52" s="70" t="str">
        <f aca="false">IF(OR(W21="",ЕТАЛОН_ПЛ="",IFERROR(INDEX(БАЗА_ЦІНИ,10,IFERROR(MATCH(ЕТАЛОН_ПЛ,ПЛ_РЯДОК,0),0)),"")=""),"",W21-IFERROR(INDEX(БАЗА_ЦІНИ,10,IFERROR(MATCH(ЕТАЛОН_ПЛ,ПЛ_РЯДОК,0),0)),""))</f>
        <v/>
      </c>
      <c r="X52" s="71" t="str">
        <f aca="false">IF(OR(W21="",ЕТАЛОН_ПЛ="",IFERROR(INDEX(БАЗА_ЦІНИ,10,IFERROR(MATCH(ЕТАЛОН_ПЛ,ПЛ_РЯДОК,0),0)),"")="",IFERROR(INDEX(БАЗА_ЦІНИ,10,IFERROR(MATCH(ЕТАЛОН_ПЛ,ПЛ_РЯДОК,0),0)),"")=0),"",W21/IFERROR(INDEX(БАЗА_ЦІНИ,10,IFERROR(MATCH(ЕТАЛОН_ПЛ,ПЛ_РЯДОК,0),0)),"")-1)</f>
        <v/>
      </c>
      <c r="Y52" s="70" t="str">
        <f aca="false">IF(OR(Y21="",ЕТАЛОН_ПЛ="",IFERROR(INDEX(БАЗА_ЦІНИ,10,IFERROR(MATCH(ЕТАЛОН_ПЛ,ПЛ_РЯДОК,0),0)),"")=""),"",Y21-IFERROR(INDEX(БАЗА_ЦІНИ,10,IFERROR(MATCH(ЕТАЛОН_ПЛ,ПЛ_РЯДОК,0),0)),""))</f>
        <v/>
      </c>
      <c r="Z52" s="71" t="str">
        <f aca="false">IF(OR(Y21="",ЕТАЛОН_ПЛ="",IFERROR(INDEX(БАЗА_ЦІНИ,10,IFERROR(MATCH(ЕТАЛОН_ПЛ,ПЛ_РЯДОК,0),0)),"")="",IFERROR(INDEX(БАЗА_ЦІНИ,10,IFERROR(MATCH(ЕТАЛОН_ПЛ,ПЛ_РЯДОК,0),0)),"")=0),"",Y21/IFERROR(INDEX(БАЗА_ЦІНИ,10,IFERROR(MATCH(ЕТАЛОН_ПЛ,ПЛ_РЯДОК,0),0)),"")-1)</f>
        <v/>
      </c>
      <c r="AA52" s="70" t="str">
        <f aca="false">IF(OR(AA21="",ЕТАЛОН_ПЛ="",IFERROR(INDEX(БАЗА_ЦІНИ,10,IFERROR(MATCH(ЕТАЛОН_ПЛ,ПЛ_РЯДОК,0),0)),"")=""),"",AA21-IFERROR(INDEX(БАЗА_ЦІНИ,10,IFERROR(MATCH(ЕТАЛОН_ПЛ,ПЛ_РЯДОК,0),0)),""))</f>
        <v/>
      </c>
      <c r="AB52" s="71" t="str">
        <f aca="false">IF(OR(AA21="",ЕТАЛОН_ПЛ="",IFERROR(INDEX(БАЗА_ЦІНИ,10,IFERROR(MATCH(ЕТАЛОН_ПЛ,ПЛ_РЯДОК,0),0)),"")="",IFERROR(INDEX(БАЗА_ЦІНИ,10,IFERROR(MATCH(ЕТАЛОН_ПЛ,ПЛ_РЯДОК,0),0)),"")=0),"",AA21/IFERROR(INDEX(БАЗА_ЦІНИ,10,IFERROR(MATCH(ЕТАЛОН_ПЛ,ПЛ_РЯДОК,0),0)),"")-1)</f>
        <v/>
      </c>
      <c r="AC52" s="70" t="str">
        <f aca="false">IF(OR(AC21="",ЕТАЛОН_ПЛ="",IFERROR(INDEX(БАЗА_ЦІНИ,10,IFERROR(MATCH(ЕТАЛОН_ПЛ,ПЛ_РЯДОК,0),0)),"")=""),"",AC21-IFERROR(INDEX(БАЗА_ЦІНИ,10,IFERROR(MATCH(ЕТАЛОН_ПЛ,ПЛ_РЯДОК,0),0)),""))</f>
        <v/>
      </c>
      <c r="AD52" s="71" t="str">
        <f aca="false">IF(OR(AC21="",ЕТАЛОН_ПЛ="",IFERROR(INDEX(БАЗА_ЦІНИ,10,IFERROR(MATCH(ЕТАЛОН_ПЛ,ПЛ_РЯДОК,0),0)),"")="",IFERROR(INDEX(БАЗА_ЦІНИ,10,IFERROR(MATCH(ЕТАЛОН_ПЛ,ПЛ_РЯДОК,0),0)),"")=0),"",AC21/IFERROR(INDEX(БАЗА_ЦІНИ,10,IFERROR(MATCH(ЕТАЛОН_ПЛ,ПЛ_РЯДОК,0),0)),"")-1)</f>
        <v/>
      </c>
      <c r="AE52" s="70" t="str">
        <f aca="false">IF(OR(AE21="",ЕТАЛОН_ПЛ="",IFERROR(INDEX(БАЗА_ЦІНИ,10,IFERROR(MATCH(ЕТАЛОН_ПЛ,ПЛ_РЯДОК,0),0)),"")=""),"",AE21-IFERROR(INDEX(БАЗА_ЦІНИ,10,IFERROR(MATCH(ЕТАЛОН_ПЛ,ПЛ_РЯДОК,0),0)),""))</f>
        <v/>
      </c>
      <c r="AF52" s="71" t="str">
        <f aca="false">IF(OR(AE21="",ЕТАЛОН_ПЛ="",IFERROR(INDEX(БАЗА_ЦІНИ,10,IFERROR(MATCH(ЕТАЛОН_ПЛ,ПЛ_РЯДОК,0),0)),"")="",IFERROR(INDEX(БАЗА_ЦІНИ,10,IFERROR(MATCH(ЕТАЛОН_ПЛ,ПЛ_РЯДОК,0),0)),"")=0),"",AE21/IFERROR(INDEX(БАЗА_ЦІНИ,10,IFERROR(MATCH(ЕТАЛОН_ПЛ,ПЛ_РЯДОК,0),0)),"")-1)</f>
        <v/>
      </c>
      <c r="AG52" s="70" t="str">
        <f aca="false">IF(OR(AG21="",ЕТАЛОН_ПЛ="",IFERROR(INDEX(БАЗА_ЦІНИ,10,IFERROR(MATCH(ЕТАЛОН_ПЛ,ПЛ_РЯДОК,0),0)),"")=""),"",AG21-IFERROR(INDEX(БАЗА_ЦІНИ,10,IFERROR(MATCH(ЕТАЛОН_ПЛ,ПЛ_РЯДОК,0),0)),""))</f>
        <v/>
      </c>
      <c r="AH52" s="71" t="str">
        <f aca="false">IF(OR(AG21="",ЕТАЛОН_ПЛ="",IFERROR(INDEX(БАЗА_ЦІНИ,10,IFERROR(MATCH(ЕТАЛОН_ПЛ,ПЛ_РЯДОК,0),0)),"")="",IFERROR(INDEX(БАЗА_ЦІНИ,10,IFERROR(MATCH(ЕТАЛОН_ПЛ,ПЛ_РЯДОК,0),0)),"")=0),"",AG21/IFERROR(INDEX(БАЗА_ЦІНИ,10,IFERROR(MATCH(ЕТАЛОН_ПЛ,ПЛ_РЯДОК,0),0)),"")-1)</f>
        <v/>
      </c>
      <c r="AI52" s="70" t="str">
        <f aca="false">IF(OR(AI21="",ЕТАЛОН_ПЛ="",IFERROR(INDEX(БАЗА_ЦІНИ,10,IFERROR(MATCH(ЕТАЛОН_ПЛ,ПЛ_РЯДОК,0),0)),"")=""),"",AI21-IFERROR(INDEX(БАЗА_ЦІНИ,10,IFERROR(MATCH(ЕТАЛОН_ПЛ,ПЛ_РЯДОК,0),0)),""))</f>
        <v/>
      </c>
      <c r="AJ52" s="71" t="str">
        <f aca="false">IF(OR(AI21="",ЕТАЛОН_ПЛ="",IFERROR(INDEX(БАЗА_ЦІНИ,10,IFERROR(MATCH(ЕТАЛОН_ПЛ,ПЛ_РЯДОК,0),0)),"")="",IFERROR(INDEX(БАЗА_ЦІНИ,10,IFERROR(MATCH(ЕТАЛОН_ПЛ,ПЛ_РЯДОК,0),0)),"")=0),"",AI21/IFERROR(INDEX(БАЗА_ЦІНИ,10,IFERROR(MATCH(ЕТАЛОН_ПЛ,ПЛ_РЯДОК,0),0)),"")-1)</f>
        <v/>
      </c>
      <c r="AK52" s="70" t="str">
        <f aca="false">IF(OR(AK21="",ЕТАЛОН_ПЛ="",IFERROR(INDEX(БАЗА_ЦІНИ,10,IFERROR(MATCH(ЕТАЛОН_ПЛ,ПЛ_РЯДОК,0),0)),"")=""),"",AK21-IFERROR(INDEX(БАЗА_ЦІНИ,10,IFERROR(MATCH(ЕТАЛОН_ПЛ,ПЛ_РЯДОК,0),0)),""))</f>
        <v/>
      </c>
      <c r="AL52" s="71" t="str">
        <f aca="false">IF(OR(AK21="",ЕТАЛОН_ПЛ="",IFERROR(INDEX(БАЗА_ЦІНИ,10,IFERROR(MATCH(ЕТАЛОН_ПЛ,ПЛ_РЯДОК,0),0)),"")="",IFERROR(INDEX(БАЗА_ЦІНИ,10,IFERROR(MATCH(ЕТАЛОН_ПЛ,ПЛ_РЯДОК,0),0)),"")=0),"",AK21/IFERROR(INDEX(БАЗА_ЦІНИ,10,IFERROR(MATCH(ЕТАЛОН_ПЛ,ПЛ_РЯДОК,0),0)),"")-1)</f>
        <v/>
      </c>
      <c r="AM52" s="70" t="str">
        <f aca="false">IF(OR(AM21="",ЕТАЛОН_ПЛ="",IFERROR(INDEX(БАЗА_ЦІНИ,10,IFERROR(MATCH(ЕТАЛОН_ПЛ,ПЛ_РЯДОК,0),0)),"")=""),"",AM21-IFERROR(INDEX(БАЗА_ЦІНИ,10,IFERROR(MATCH(ЕТАЛОН_ПЛ,ПЛ_РЯДОК,0),0)),""))</f>
        <v/>
      </c>
      <c r="AN52" s="71" t="str">
        <f aca="false">IF(OR(AM21="",ЕТАЛОН_ПЛ="",IFERROR(INDEX(БАЗА_ЦІНИ,10,IFERROR(MATCH(ЕТАЛОН_ПЛ,ПЛ_РЯДОК,0),0)),"")="",IFERROR(INDEX(БАЗА_ЦІНИ,10,IFERROR(MATCH(ЕТАЛОН_ПЛ,ПЛ_РЯДОК,0),0)),"")=0),"",AM21/IFERROR(INDEX(БАЗА_ЦІНИ,10,IFERROR(MATCH(ЕТАЛОН_ПЛ,ПЛ_РЯДОК,0),0)),"")-1)</f>
        <v/>
      </c>
      <c r="AO52" s="70" t="str">
        <f aca="false">IF(OR(AO21="",ЕТАЛОН_ПЛ="",IFERROR(INDEX(БАЗА_ЦІНИ,10,IFERROR(MATCH(ЕТАЛОН_ПЛ,ПЛ_РЯДОК,0),0)),"")=""),"",AO21-IFERROR(INDEX(БАЗА_ЦІНИ,10,IFERROR(MATCH(ЕТАЛОН_ПЛ,ПЛ_РЯДОК,0),0)),""))</f>
        <v/>
      </c>
      <c r="AP52" s="71" t="str">
        <f aca="false">IF(OR(AO21="",ЕТАЛОН_ПЛ="",IFERROR(INDEX(БАЗА_ЦІНИ,10,IFERROR(MATCH(ЕТАЛОН_ПЛ,ПЛ_РЯДОК,0),0)),"")="",IFERROR(INDEX(БАЗА_ЦІНИ,10,IFERROR(MATCH(ЕТАЛОН_ПЛ,ПЛ_РЯДОК,0),0)),"")=0),"",AO21/IFERROR(INDEX(БАЗА_ЦІНИ,10,IFERROR(MATCH(ЕТАЛОН_ПЛ,ПЛ_РЯДОК,0),0)),"")-1)</f>
        <v/>
      </c>
      <c r="AQ52" s="70" t="str">
        <f aca="false">IF(OR(AQ21="",ЕТАЛОН_ПЛ="",IFERROR(INDEX(БАЗА_ЦІНИ,10,IFERROR(MATCH(ЕТАЛОН_ПЛ,ПЛ_РЯДОК,0),0)),"")=""),"",AQ21-IFERROR(INDEX(БАЗА_ЦІНИ,10,IFERROR(MATCH(ЕТАЛОН_ПЛ,ПЛ_РЯДОК,0),0)),""))</f>
        <v/>
      </c>
      <c r="AR52" s="71" t="str">
        <f aca="false">IF(OR(AQ21="",ЕТАЛОН_ПЛ="",IFERROR(INDEX(БАЗА_ЦІНИ,10,IFERROR(MATCH(ЕТАЛОН_ПЛ,ПЛ_РЯДОК,0),0)),"")="",IFERROR(INDEX(БАЗА_ЦІНИ,10,IFERROR(MATCH(ЕТАЛОН_ПЛ,ПЛ_РЯДОК,0),0)),"")=0),"",AQ21/IFERROR(INDEX(БАЗА_ЦІНИ,10,IFERROR(MATCH(ЕТАЛОН_ПЛ,ПЛ_РЯДОК,0),0)),"")-1)</f>
        <v/>
      </c>
      <c r="AS52" s="70" t="str">
        <f aca="false">IF(OR(AS21="",ЕТАЛОН_ПЛ="",IFERROR(INDEX(БАЗА_ЦІНИ,10,IFERROR(MATCH(ЕТАЛОН_ПЛ,ПЛ_РЯДОК,0),0)),"")=""),"",AS21-IFERROR(INDEX(БАЗА_ЦІНИ,10,IFERROR(MATCH(ЕТАЛОН_ПЛ,ПЛ_РЯДОК,0),0)),""))</f>
        <v/>
      </c>
      <c r="AT52" s="71" t="str">
        <f aca="false">IF(OR(AS21="",ЕТАЛОН_ПЛ="",IFERROR(INDEX(БАЗА_ЦІНИ,10,IFERROR(MATCH(ЕТАЛОН_ПЛ,ПЛ_РЯДОК,0),0)),"")="",IFERROR(INDEX(БАЗА_ЦІНИ,10,IFERROR(MATCH(ЕТАЛОН_ПЛ,ПЛ_РЯДОК,0),0)),"")=0),"",AS21/IFERROR(INDEX(БАЗА_ЦІНИ,10,IFERROR(MATCH(ЕТАЛОН_ПЛ,ПЛ_РЯДОК,0),0)),"")-1)</f>
        <v/>
      </c>
      <c r="AU52" s="70" t="str">
        <f aca="false">IF(OR(AU21="",ЕТАЛОН_ПЛ="",IFERROR(INDEX(БАЗА_ЦІНИ,10,IFERROR(MATCH(ЕТАЛОН_ПЛ,ПЛ_РЯДОК,0),0)),"")=""),"",AU21-IFERROR(INDEX(БАЗА_ЦІНИ,10,IFERROR(MATCH(ЕТАЛОН_ПЛ,ПЛ_РЯДОК,0),0)),""))</f>
        <v/>
      </c>
      <c r="AV52" s="71" t="str">
        <f aca="false">IF(OR(AU21="",ЕТАЛОН_ПЛ="",IFERROR(INDEX(БАЗА_ЦІНИ,10,IFERROR(MATCH(ЕТАЛОН_ПЛ,ПЛ_РЯДОК,0),0)),"")="",IFERROR(INDEX(БАЗА_ЦІНИ,10,IFERROR(MATCH(ЕТАЛОН_ПЛ,ПЛ_РЯДОК,0),0)),"")=0),"",AU21/IFERROR(INDEX(БАЗА_ЦІНИ,10,IFERROR(MATCH(ЕТАЛОН_ПЛ,ПЛ_РЯДОК,0),0)),"")-1)</f>
        <v/>
      </c>
      <c r="AW52" s="70" t="str">
        <f aca="false">IF(OR(AW21="",ЕТАЛОН_ПЛ="",IFERROR(INDEX(БАЗА_ЦІНИ,10,IFERROR(MATCH(ЕТАЛОН_ПЛ,ПЛ_РЯДОК,0),0)),"")=""),"",AW21-IFERROR(INDEX(БАЗА_ЦІНИ,10,IFERROR(MATCH(ЕТАЛОН_ПЛ,ПЛ_РЯДОК,0),0)),""))</f>
        <v/>
      </c>
      <c r="AX52" s="71" t="str">
        <f aca="false">IF(OR(AW21="",ЕТАЛОН_ПЛ="",IFERROR(INDEX(БАЗА_ЦІНИ,10,IFERROR(MATCH(ЕТАЛОН_ПЛ,ПЛ_РЯДОК,0),0)),"")="",IFERROR(INDEX(БАЗА_ЦІНИ,10,IFERROR(MATCH(ЕТАЛОН_ПЛ,ПЛ_РЯДОК,0),0)),"")=0),"",AW21/IFERROR(INDEX(БАЗА_ЦІНИ,10,IFERROR(MATCH(ЕТАЛОН_ПЛ,ПЛ_РЯДОК,0),0)),"")-1)</f>
        <v/>
      </c>
      <c r="AY52" s="70" t="str">
        <f aca="false">IF(OR(AY21="",ЕТАЛОН_ПЛ="",IFERROR(INDEX(БАЗА_ЦІНИ,10,IFERROR(MATCH(ЕТАЛОН_ПЛ,ПЛ_РЯДОК,0),0)),"")=""),"",AY21-IFERROR(INDEX(БАЗА_ЦІНИ,10,IFERROR(MATCH(ЕТАЛОН_ПЛ,ПЛ_РЯДОК,0),0)),""))</f>
        <v/>
      </c>
      <c r="AZ52" s="71" t="str">
        <f aca="false">IF(OR(AY21="",ЕТАЛОН_ПЛ="",IFERROR(INDEX(БАЗА_ЦІНИ,10,IFERROR(MATCH(ЕТАЛОН_ПЛ,ПЛ_РЯДОК,0),0)),"")="",IFERROR(INDEX(БАЗА_ЦІНИ,10,IFERROR(MATCH(ЕТАЛОН_ПЛ,ПЛ_РЯДОК,0),0)),"")=0),"",AY21/IFERROR(INDEX(БАЗА_ЦІНИ,10,IFERROR(MATCH(ЕТАЛОН_ПЛ,ПЛ_РЯДОК,0),0)),"")-1)</f>
        <v/>
      </c>
      <c r="BA52" s="70" t="str">
        <f aca="false">IF(OR(BA21="",ЕТАЛОН_ПЛ="",IFERROR(INDEX(БАЗА_ЦІНИ,10,IFERROR(MATCH(ЕТАЛОН_ПЛ,ПЛ_РЯДОК,0),0)),"")=""),"",BA21-IFERROR(INDEX(БАЗА_ЦІНИ,10,IFERROR(MATCH(ЕТАЛОН_ПЛ,ПЛ_РЯДОК,0),0)),""))</f>
        <v/>
      </c>
      <c r="BB52" s="71" t="str">
        <f aca="false">IF(OR(BA21="",ЕТАЛОН_ПЛ="",IFERROR(INDEX(БАЗА_ЦІНИ,10,IFERROR(MATCH(ЕТАЛОН_ПЛ,ПЛ_РЯДОК,0),0)),"")="",IFERROR(INDEX(БАЗА_ЦІНИ,10,IFERROR(MATCH(ЕТАЛОН_ПЛ,ПЛ_РЯДОК,0),0)),"")=0),"",BA21/IFERROR(INDEX(БАЗА_ЦІНИ,10,IFERROR(MATCH(ЕТАЛОН_ПЛ,ПЛ_РЯДОК,0),0)),"")-1)</f>
        <v/>
      </c>
      <c r="BC52" s="70" t="str">
        <f aca="false">IF(OR(BC21="",ЕТАЛОН_ПЛ="",IFERROR(INDEX(БАЗА_ЦІНИ,10,IFERROR(MATCH(ЕТАЛОН_ПЛ,ПЛ_РЯДОК,0),0)),"")=""),"",BC21-IFERROR(INDEX(БАЗА_ЦІНИ,10,IFERROR(MATCH(ЕТАЛОН_ПЛ,ПЛ_РЯДОК,0),0)),""))</f>
        <v/>
      </c>
      <c r="BD52" s="71" t="str">
        <f aca="false">IF(OR(BC21="",ЕТАЛОН_ПЛ="",IFERROR(INDEX(БАЗА_ЦІНИ,10,IFERROR(MATCH(ЕТАЛОН_ПЛ,ПЛ_РЯДОК,0),0)),"")="",IFERROR(INDEX(БАЗА_ЦІНИ,10,IFERROR(MATCH(ЕТАЛОН_ПЛ,ПЛ_РЯДОК,0),0)),"")=0),"",BC21/IFERROR(INDEX(БАЗА_ЦІНИ,10,IFERROR(MATCH(ЕТАЛОН_ПЛ,ПЛ_РЯДОК,0),0)),"")-1)</f>
        <v/>
      </c>
      <c r="BE52" s="70" t="str">
        <f aca="false">IF(OR(BE21="",ЕТАЛОН_ПЛ="",IFERROR(INDEX(БАЗА_ЦІНИ,10,IFERROR(MATCH(ЕТАЛОН_ПЛ,ПЛ_РЯДОК,0),0)),"")=""),"",BE21-IFERROR(INDEX(БАЗА_ЦІНИ,10,IFERROR(MATCH(ЕТАЛОН_ПЛ,ПЛ_РЯДОК,0),0)),""))</f>
        <v/>
      </c>
      <c r="BF52" s="71" t="str">
        <f aca="false">IF(OR(BE21="",ЕТАЛОН_ПЛ="",IFERROR(INDEX(БАЗА_ЦІНИ,10,IFERROR(MATCH(ЕТАЛОН_ПЛ,ПЛ_РЯДОК,0),0)),"")="",IFERROR(INDEX(БАЗА_ЦІНИ,10,IFERROR(MATCH(ЕТАЛОН_ПЛ,ПЛ_РЯДОК,0),0)),"")=0),"",BE21/IFERROR(INDEX(БАЗА_ЦІНИ,10,IFERROR(MATCH(ЕТАЛОН_ПЛ,ПЛ_РЯДОК,0),0)),"")-1)</f>
        <v/>
      </c>
      <c r="BG52" s="70" t="str">
        <f aca="false">IF(OR(BG21="",ЕТАЛОН_ПЛ="",IFERROR(INDEX(БАЗА_ЦІНИ,10,IFERROR(MATCH(ЕТАЛОН_ПЛ,ПЛ_РЯДОК,0),0)),"")=""),"",BG21-IFERROR(INDEX(БАЗА_ЦІНИ,10,IFERROR(MATCH(ЕТАЛОН_ПЛ,ПЛ_РЯДОК,0),0)),""))</f>
        <v/>
      </c>
      <c r="BH52" s="71" t="str">
        <f aca="false">IF(OR(BG21="",ЕТАЛОН_ПЛ="",IFERROR(INDEX(БАЗА_ЦІНИ,10,IFERROR(MATCH(ЕТАЛОН_ПЛ,ПЛ_РЯДОК,0),0)),"")="",IFERROR(INDEX(БАЗА_ЦІНИ,10,IFERROR(MATCH(ЕТАЛОН_ПЛ,ПЛ_РЯДОК,0),0)),"")=0),"",BG21/IFERROR(INDEX(БАЗА_ЦІНИ,10,IFERROR(MATCH(ЕТАЛОН_ПЛ,ПЛ_РЯДОК,0),0)),"")-1)</f>
        <v/>
      </c>
      <c r="BI52" s="70" t="str">
        <f aca="false">IF(OR(BI21="",ЕТАЛОН_ПЛ="",IFERROR(INDEX(БАЗА_ЦІНИ,10,IFERROR(MATCH(ЕТАЛОН_ПЛ,ПЛ_РЯДОК,0),0)),"")=""),"",BI21-IFERROR(INDEX(БАЗА_ЦІНИ,10,IFERROR(MATCH(ЕТАЛОН_ПЛ,ПЛ_РЯДОК,0),0)),""))</f>
        <v/>
      </c>
      <c r="BJ52" s="71" t="str">
        <f aca="false">IF(OR(BI21="",ЕТАЛОН_ПЛ="",IFERROR(INDEX(БАЗА_ЦІНИ,10,IFERROR(MATCH(ЕТАЛОН_ПЛ,ПЛ_РЯДОК,0),0)),"")="",IFERROR(INDEX(БАЗА_ЦІНИ,10,IFERROR(MATCH(ЕТАЛОН_ПЛ,ПЛ_РЯДОК,0),0)),"")=0),"",BI21/IFERROR(INDEX(БАЗА_ЦІНИ,10,IFERROR(MATCH(ЕТАЛОН_ПЛ,ПЛ_РЯДОК,0),0)),"")-1)</f>
        <v/>
      </c>
      <c r="BK52" s="70" t="str">
        <f aca="false">IF(OR(BK21="",ЕТАЛОН_ПЛ="",IFERROR(INDEX(БАЗА_ЦІНИ,10,IFERROR(MATCH(ЕТАЛОН_ПЛ,ПЛ_РЯДОК,0),0)),"")=""),"",BK21-IFERROR(INDEX(БАЗА_ЦІНИ,10,IFERROR(MATCH(ЕТАЛОН_ПЛ,ПЛ_РЯДОК,0),0)),""))</f>
        <v/>
      </c>
      <c r="BL52" s="71" t="str">
        <f aca="false">IF(OR(BK21="",ЕТАЛОН_ПЛ="",IFERROR(INDEX(БАЗА_ЦІНИ,10,IFERROR(MATCH(ЕТАЛОН_ПЛ,ПЛ_РЯДОК,0),0)),"")="",IFERROR(INDEX(БАЗА_ЦІНИ,10,IFERROR(MATCH(ЕТАЛОН_ПЛ,ПЛ_РЯДОК,0),0)),"")=0),"",BK21/IFERROR(INDEX(БАЗА_ЦІНИ,10,IFERROR(MATCH(ЕТАЛОН_ПЛ,ПЛ_РЯДОК,0),0)),"")-1)</f>
        <v/>
      </c>
      <c r="BM52" s="70" t="str">
        <f aca="false">IF(OR(BM21="",ЕТАЛОН_ПЛ="",IFERROR(INDEX(БАЗА_ЦІНИ,10,IFERROR(MATCH(ЕТАЛОН_ПЛ,ПЛ_РЯДОК,0),0)),"")=""),"",BM21-IFERROR(INDEX(БАЗА_ЦІНИ,10,IFERROR(MATCH(ЕТАЛОН_ПЛ,ПЛ_РЯДОК,0),0)),""))</f>
        <v/>
      </c>
      <c r="BN52" s="71" t="str">
        <f aca="false">IF(OR(BM21="",ЕТАЛОН_ПЛ="",IFERROR(INDEX(БАЗА_ЦІНИ,10,IFERROR(MATCH(ЕТАЛОН_ПЛ,ПЛ_РЯДОК,0),0)),"")="",IFERROR(INDEX(БАЗА_ЦІНИ,10,IFERROR(MATCH(ЕТАЛОН_ПЛ,ПЛ_РЯДОК,0),0)),"")=0),"",BM21/IFERROR(INDEX(БАЗА_ЦІНИ,10,IFERROR(MATCH(ЕТАЛОН_ПЛ,ПЛ_РЯДОК,0),0)),"")-1)</f>
        <v/>
      </c>
      <c r="BO52" s="70" t="str">
        <f aca="false">IF(OR(BO21="",ЕТАЛОН_ПЛ="",IFERROR(INDEX(БАЗА_ЦІНИ,10,IFERROR(MATCH(ЕТАЛОН_ПЛ,ПЛ_РЯДОК,0),0)),"")=""),"",BO21-IFERROR(INDEX(БАЗА_ЦІНИ,10,IFERROR(MATCH(ЕТАЛОН_ПЛ,ПЛ_РЯДОК,0),0)),""))</f>
        <v/>
      </c>
      <c r="BP52" s="71" t="str">
        <f aca="false">IF(OR(BO21="",ЕТАЛОН_ПЛ="",IFERROR(INDEX(БАЗА_ЦІНИ,10,IFERROR(MATCH(ЕТАЛОН_ПЛ,ПЛ_РЯДОК,0),0)),"")="",IFERROR(INDEX(БАЗА_ЦІНИ,10,IFERROR(MATCH(ЕТАЛОН_ПЛ,ПЛ_РЯДОК,0),0)),"")=0),"",BO21/IFERROR(INDEX(БАЗА_ЦІНИ,10,IFERROR(MATCH(ЕТАЛОН_ПЛ,ПЛ_РЯДОК,0),0)),"")-1)</f>
        <v/>
      </c>
      <c r="BQ52" s="70" t="str">
        <f aca="false">IF(OR(BQ21="",ЕТАЛОН_ПЛ="",IFERROR(INDEX(БАЗА_ЦІНИ,10,IFERROR(MATCH(ЕТАЛОН_ПЛ,ПЛ_РЯДОК,0),0)),"")=""),"",BQ21-IFERROR(INDEX(БАЗА_ЦІНИ,10,IFERROR(MATCH(ЕТАЛОН_ПЛ,ПЛ_РЯДОК,0),0)),""))</f>
        <v/>
      </c>
      <c r="BR52" s="71" t="str">
        <f aca="false">IF(OR(BQ21="",ЕТАЛОН_ПЛ="",IFERROR(INDEX(БАЗА_ЦІНИ,10,IFERROR(MATCH(ЕТАЛОН_ПЛ,ПЛ_РЯДОК,0),0)),"")="",IFERROR(INDEX(БАЗА_ЦІНИ,10,IFERROR(MATCH(ЕТАЛОН_ПЛ,ПЛ_РЯДОК,0),0)),"")=0),"",BQ21/IFERROR(INDEX(БАЗА_ЦІНИ,10,IFERROR(MATCH(ЕТАЛОН_ПЛ,ПЛ_РЯДОК,0),0)),"")-1)</f>
        <v/>
      </c>
      <c r="BS52" s="70" t="str">
        <f aca="false">IF(OR(BS21="",ЕТАЛОН_ПЛ="",IFERROR(INDEX(БАЗА_ЦІНИ,10,IFERROR(MATCH(ЕТАЛОН_ПЛ,ПЛ_РЯДОК,0),0)),"")=""),"",BS21-IFERROR(INDEX(БАЗА_ЦІНИ,10,IFERROR(MATCH(ЕТАЛОН_ПЛ,ПЛ_РЯДОК,0),0)),""))</f>
        <v/>
      </c>
      <c r="BT52" s="71" t="str">
        <f aca="false">IF(OR(BS21="",ЕТАЛОН_ПЛ="",IFERROR(INDEX(БАЗА_ЦІНИ,10,IFERROR(MATCH(ЕТАЛОН_ПЛ,ПЛ_РЯДОК,0),0)),"")="",IFERROR(INDEX(БАЗА_ЦІНИ,10,IFERROR(MATCH(ЕТАЛОН_ПЛ,ПЛ_РЯДОК,0),0)),"")=0),"",BS21/IFERROR(INDEX(БАЗА_ЦІНИ,10,IFERROR(MATCH(ЕТАЛОН_ПЛ,ПЛ_РЯДОК,0),0)),"")-1)</f>
        <v/>
      </c>
      <c r="BU52" s="70" t="str">
        <f aca="false">IF(OR(BU21="",ЕТАЛОН_ПЛ="",IFERROR(INDEX(БАЗА_ЦІНИ,10,IFERROR(MATCH(ЕТАЛОН_ПЛ,ПЛ_РЯДОК,0),0)),"")=""),"",BU21-IFERROR(INDEX(БАЗА_ЦІНИ,10,IFERROR(MATCH(ЕТАЛОН_ПЛ,ПЛ_РЯДОК,0),0)),""))</f>
        <v/>
      </c>
      <c r="BV52" s="71" t="str">
        <f aca="false">IF(OR(BU21="",ЕТАЛОН_ПЛ="",IFERROR(INDEX(БАЗА_ЦІНИ,10,IFERROR(MATCH(ЕТАЛОН_ПЛ,ПЛ_РЯДОК,0),0)),"")="",IFERROR(INDEX(БАЗА_ЦІНИ,10,IFERROR(MATCH(ЕТАЛОН_ПЛ,ПЛ_РЯДОК,0),0)),"")=0),"",BU21/IFERROR(INDEX(БАЗА_ЦІНИ,10,IFERROR(MATCH(ЕТАЛОН_ПЛ,ПЛ_РЯДОК,0),0)),"")-1)</f>
        <v/>
      </c>
      <c r="BW52" s="70" t="str">
        <f aca="false">IF(OR(BW21="",ЕТАЛОН_ПЛ="",IFERROR(INDEX(БАЗА_ЦІНИ,10,IFERROR(MATCH(ЕТАЛОН_ПЛ,ПЛ_РЯДОК,0),0)),"")=""),"",BW21-IFERROR(INDEX(БАЗА_ЦІНИ,10,IFERROR(MATCH(ЕТАЛОН_ПЛ,ПЛ_РЯДОК,0),0)),""))</f>
        <v/>
      </c>
      <c r="BX52" s="71" t="str">
        <f aca="false">IF(OR(BW21="",ЕТАЛОН_ПЛ="",IFERROR(INDEX(БАЗА_ЦІНИ,10,IFERROR(MATCH(ЕТАЛОН_ПЛ,ПЛ_РЯДОК,0),0)),"")="",IFERROR(INDEX(БАЗА_ЦІНИ,10,IFERROR(MATCH(ЕТАЛОН_ПЛ,ПЛ_РЯДОК,0),0)),"")=0),"",BW21/IFERROR(INDEX(БАЗА_ЦІНИ,10,IFERROR(MATCH(ЕТАЛОН_ПЛ,ПЛ_РЯДОК,0),0)),"")-1)</f>
        <v/>
      </c>
      <c r="BY52" s="70" t="str">
        <f aca="false">IF(OR(BY21="",ЕТАЛОН_ПЛ="",IFERROR(INDEX(БАЗА_ЦІНИ,10,IFERROR(MATCH(ЕТАЛОН_ПЛ,ПЛ_РЯДОК,0),0)),"")=""),"",BY21-IFERROR(INDEX(БАЗА_ЦІНИ,10,IFERROR(MATCH(ЕТАЛОН_ПЛ,ПЛ_РЯДОК,0),0)),""))</f>
        <v/>
      </c>
      <c r="BZ52" s="71" t="str">
        <f aca="false">IF(OR(BY21="",ЕТАЛОН_ПЛ="",IFERROR(INDEX(БАЗА_ЦІНИ,10,IFERROR(MATCH(ЕТАЛОН_ПЛ,ПЛ_РЯДОК,0),0)),"")="",IFERROR(INDEX(БАЗА_ЦІНИ,10,IFERROR(MATCH(ЕТАЛОН_ПЛ,ПЛ_РЯДОК,0),0)),"")=0),"",BY21/IFERROR(INDEX(БАЗА_ЦІНИ,10,IFERROR(MATCH(ЕТАЛОН_ПЛ,ПЛ_РЯДОК,0),0)),"")-1)</f>
        <v/>
      </c>
      <c r="CA52" s="70" t="str">
        <f aca="false">IF(OR(CA21="",ЕТАЛОН_ПЛ="",IFERROR(INDEX(БАЗА_ЦІНИ,10,IFERROR(MATCH(ЕТАЛОН_ПЛ,ПЛ_РЯДОК,0),0)),"")=""),"",CA21-IFERROR(INDEX(БАЗА_ЦІНИ,10,IFERROR(MATCH(ЕТАЛОН_ПЛ,ПЛ_РЯДОК,0),0)),""))</f>
        <v/>
      </c>
      <c r="CB52" s="71" t="str">
        <f aca="false">IF(OR(CA21="",ЕТАЛОН_ПЛ="",IFERROR(INDEX(БАЗА_ЦІНИ,10,IFERROR(MATCH(ЕТАЛОН_ПЛ,ПЛ_РЯДОК,0),0)),"")="",IFERROR(INDEX(БАЗА_ЦІНИ,10,IFERROR(MATCH(ЕТАЛОН_ПЛ,ПЛ_РЯДОК,0),0)),"")=0),"",CA21/IFERROR(INDEX(БАЗА_ЦІНИ,10,IFERROR(MATCH(ЕТАЛОН_ПЛ,ПЛ_РЯДОК,0),0)),"")-1)</f>
        <v/>
      </c>
      <c r="CC52" s="70" t="str">
        <f aca="false">IF(OR(CC21="",ЕТАЛОН_ПЛ="",IFERROR(INDEX(БАЗА_ЦІНИ,10,IFERROR(MATCH(ЕТАЛОН_ПЛ,ПЛ_РЯДОК,0),0)),"")=""),"",CC21-IFERROR(INDEX(БАЗА_ЦІНИ,10,IFERROR(MATCH(ЕТАЛОН_ПЛ,ПЛ_РЯДОК,0),0)),""))</f>
        <v/>
      </c>
      <c r="CD52" s="71" t="str">
        <f aca="false">IF(OR(CC21="",ЕТАЛОН_ПЛ="",IFERROR(INDEX(БАЗА_ЦІНИ,10,IFERROR(MATCH(ЕТАЛОН_ПЛ,ПЛ_РЯДОК,0),0)),"")="",IFERROR(INDEX(БАЗА_ЦІНИ,10,IFERROR(MATCH(ЕТАЛОН_ПЛ,ПЛ_РЯДОК,0),0)),"")=0),"",CC21/IFERROR(INDEX(БАЗА_ЦІНИ,10,IFERROR(MATCH(ЕТАЛОН_ПЛ,ПЛ_РЯДОК,0),0)),"")-1)</f>
        <v/>
      </c>
      <c r="CE52" s="70" t="str">
        <f aca="false">IF(OR(CE21="",ЕТАЛОН_ПЛ="",IFERROR(INDEX(БАЗА_ЦІНИ,10,IFERROR(MATCH(ЕТАЛОН_ПЛ,ПЛ_РЯДОК,0),0)),"")=""),"",CE21-IFERROR(INDEX(БАЗА_ЦІНИ,10,IFERROR(MATCH(ЕТАЛОН_ПЛ,ПЛ_РЯДОК,0),0)),""))</f>
        <v/>
      </c>
      <c r="CF52" s="71" t="str">
        <f aca="false">IF(OR(CE21="",ЕТАЛОН_ПЛ="",IFERROR(INDEX(БАЗА_ЦІНИ,10,IFERROR(MATCH(ЕТАЛОН_ПЛ,ПЛ_РЯДОК,0),0)),"")="",IFERROR(INDEX(БАЗА_ЦІНИ,10,IFERROR(MATCH(ЕТАЛОН_ПЛ,ПЛ_РЯДОК,0),0)),"")=0),"",CE21/IFERROR(INDEX(БАЗА_ЦІНИ,10,IFERROR(MATCH(ЕТАЛОН_ПЛ,ПЛ_РЯДОК,0),0)),"")-1)</f>
        <v/>
      </c>
      <c r="CG52" s="70" t="str">
        <f aca="false">IF(OR(CG21="",ЕТАЛОН_ПЛ="",IFERROR(INDEX(БАЗА_ЦІНИ,10,IFERROR(MATCH(ЕТАЛОН_ПЛ,ПЛ_РЯДОК,0),0)),"")=""),"",CG21-IFERROR(INDEX(БАЗА_ЦІНИ,10,IFERROR(MATCH(ЕТАЛОН_ПЛ,ПЛ_РЯДОК,0),0)),""))</f>
        <v/>
      </c>
      <c r="CH52" s="71" t="str">
        <f aca="false">IF(OR(CG21="",ЕТАЛОН_ПЛ="",IFERROR(INDEX(БАЗА_ЦІНИ,10,IFERROR(MATCH(ЕТАЛОН_ПЛ,ПЛ_РЯДОК,0),0)),"")="",IFERROR(INDEX(БАЗА_ЦІНИ,10,IFERROR(MATCH(ЕТАЛОН_ПЛ,ПЛ_РЯДОК,0),0)),"")=0),"",CG21/IFERROR(INDEX(БАЗА_ЦІНИ,10,IFERROR(MATCH(ЕТАЛОН_ПЛ,ПЛ_РЯДОК,0),0)),"")-1)</f>
        <v/>
      </c>
      <c r="CI52" s="70" t="str">
        <f aca="false">IF(OR(CI21="",ЕТАЛОН_ПЛ="",IFERROR(INDEX(БАЗА_ЦІНИ,10,IFERROR(MATCH(ЕТАЛОН_ПЛ,ПЛ_РЯДОК,0),0)),"")=""),"",CI21-IFERROR(INDEX(БАЗА_ЦІНИ,10,IFERROR(MATCH(ЕТАЛОН_ПЛ,ПЛ_РЯДОК,0),0)),""))</f>
        <v/>
      </c>
      <c r="CJ52" s="71" t="str">
        <f aca="false">IF(OR(CI21="",ЕТАЛОН_ПЛ="",IFERROR(INDEX(БАЗА_ЦІНИ,10,IFERROR(MATCH(ЕТАЛОН_ПЛ,ПЛ_РЯДОК,0),0)),"")="",IFERROR(INDEX(БАЗА_ЦІНИ,10,IFERROR(MATCH(ЕТАЛОН_ПЛ,ПЛ_РЯДОК,0),0)),"")=0),"",CI21/IFERROR(INDEX(БАЗА_ЦІНИ,10,IFERROR(MATCH(ЕТАЛОН_ПЛ,ПЛ_РЯДОК,0),0)),"")-1)</f>
        <v/>
      </c>
      <c r="CK52" s="70" t="str">
        <f aca="false">IF(OR(CK21="",ЕТАЛОН_ПЛ="",IFERROR(INDEX(БАЗА_ЦІНИ,10,IFERROR(MATCH(ЕТАЛОН_ПЛ,ПЛ_РЯДОК,0),0)),"")=""),"",CK21-IFERROR(INDEX(БАЗА_ЦІНИ,10,IFERROR(MATCH(ЕТАЛОН_ПЛ,ПЛ_РЯДОК,0),0)),""))</f>
        <v/>
      </c>
      <c r="CL52" s="71" t="str">
        <f aca="false">IF(OR(CK21="",ЕТАЛОН_ПЛ="",IFERROR(INDEX(БАЗА_ЦІНИ,10,IFERROR(MATCH(ЕТАЛОН_ПЛ,ПЛ_РЯДОК,0),0)),"")="",IFERROR(INDEX(БАЗА_ЦІНИ,10,IFERROR(MATCH(ЕТАЛОН_ПЛ,ПЛ_РЯДОК,0),0)),"")=0),"",CK21/IFERROR(INDEX(БАЗА_ЦІНИ,10,IFERROR(MATCH(ЕТАЛОН_ПЛ,ПЛ_РЯДОК,0),0)),"")-1)</f>
        <v/>
      </c>
      <c r="CM52" s="70" t="str">
        <f aca="false">IF(OR(CM21="",ЕТАЛОН_ПЛ="",IFERROR(INDEX(БАЗА_ЦІНИ,10,IFERROR(MATCH(ЕТАЛОН_ПЛ,ПЛ_РЯДОК,0),0)),"")=""),"",CM21-IFERROR(INDEX(БАЗА_ЦІНИ,10,IFERROR(MATCH(ЕТАЛОН_ПЛ,ПЛ_РЯДОК,0),0)),""))</f>
        <v/>
      </c>
      <c r="CN52" s="71" t="str">
        <f aca="false">IF(OR(CM21="",ЕТАЛОН_ПЛ="",IFERROR(INDEX(БАЗА_ЦІНИ,10,IFERROR(MATCH(ЕТАЛОН_ПЛ,ПЛ_РЯДОК,0),0)),"")="",IFERROR(INDEX(БАЗА_ЦІНИ,10,IFERROR(MATCH(ЕТАЛОН_ПЛ,ПЛ_РЯДОК,0),0)),"")=0),"",CM21/IFERROR(INDEX(БАЗА_ЦІНИ,10,IFERROR(MATCH(ЕТАЛОН_ПЛ,ПЛ_РЯДОК,0),0)),"")-1)</f>
        <v/>
      </c>
      <c r="CO52" s="70" t="str">
        <f aca="false">IF(OR(CO21="",ЕТАЛОН_ПЛ="",IFERROR(INDEX(БАЗА_ЦІНИ,10,IFERROR(MATCH(ЕТАЛОН_ПЛ,ПЛ_РЯДОК,0),0)),"")=""),"",CO21-IFERROR(INDEX(БАЗА_ЦІНИ,10,IFERROR(MATCH(ЕТАЛОН_ПЛ,ПЛ_РЯДОК,0),0)),""))</f>
        <v/>
      </c>
      <c r="CP52" s="71" t="str">
        <f aca="false">IF(OR(CO21="",ЕТАЛОН_ПЛ="",IFERROR(INDEX(БАЗА_ЦІНИ,10,IFERROR(MATCH(ЕТАЛОН_ПЛ,ПЛ_РЯДОК,0),0)),"")="",IFERROR(INDEX(БАЗА_ЦІНИ,10,IFERROR(MATCH(ЕТАЛОН_ПЛ,ПЛ_РЯДОК,0),0)),"")=0),"",CO21/IFERROR(INDEX(БАЗА_ЦІНИ,10,IFERROR(MATCH(ЕТАЛОН_ПЛ,ПЛ_РЯДОК,0),0)),"")-1)</f>
        <v/>
      </c>
      <c r="CQ52" s="70" t="str">
        <f aca="false">IF(OR(CQ21="",ЕТАЛОН_ПЛ="",IFERROR(INDEX(БАЗА_ЦІНИ,10,IFERROR(MATCH(ЕТАЛОН_ПЛ,ПЛ_РЯДОК,0),0)),"")=""),"",CQ21-IFERROR(INDEX(БАЗА_ЦІНИ,10,IFERROR(MATCH(ЕТАЛОН_ПЛ,ПЛ_РЯДОК,0),0)),""))</f>
        <v/>
      </c>
      <c r="CR52" s="71" t="str">
        <f aca="false">IF(OR(CQ21="",ЕТАЛОН_ПЛ="",IFERROR(INDEX(БАЗА_ЦІНИ,10,IFERROR(MATCH(ЕТАЛОН_ПЛ,ПЛ_РЯДОК,0),0)),"")="",IFERROR(INDEX(БАЗА_ЦІНИ,10,IFERROR(MATCH(ЕТАЛОН_ПЛ,ПЛ_РЯДОК,0),0)),"")=0),"",CQ21/IFERROR(INDEX(БАЗА_ЦІНИ,10,IFERROR(MATCH(ЕТАЛОН_ПЛ,ПЛ_РЯДОК,0),0)),"")-1)</f>
        <v/>
      </c>
      <c r="CS52" s="70" t="str">
        <f aca="false">IF(OR(CS21="",ЕТАЛОН_ПЛ="",IFERROR(INDEX(БАЗА_ЦІНИ,10,IFERROR(MATCH(ЕТАЛОН_ПЛ,ПЛ_РЯДОК,0),0)),"")=""),"",CS21-IFERROR(INDEX(БАЗА_ЦІНИ,10,IFERROR(MATCH(ЕТАЛОН_ПЛ,ПЛ_РЯДОК,0),0)),""))</f>
        <v/>
      </c>
      <c r="CT52" s="71" t="str">
        <f aca="false">IF(OR(CS21="",ЕТАЛОН_ПЛ="",IFERROR(INDEX(БАЗА_ЦІНИ,10,IFERROR(MATCH(ЕТАЛОН_ПЛ,ПЛ_РЯДОК,0),0)),"")="",IFERROR(INDEX(БАЗА_ЦІНИ,10,IFERROR(MATCH(ЕТАЛОН_ПЛ,ПЛ_РЯДОК,0),0)),"")=0),"",CS21/IFERROR(INDEX(БАЗА_ЦІНИ,10,IFERROR(MATCH(ЕТАЛОН_ПЛ,ПЛ_РЯДОК,0),0)),"")-1)</f>
        <v/>
      </c>
      <c r="CU52" s="70" t="str">
        <f aca="false">IF(OR(CU21="",ЕТАЛОН_ПЛ="",IFERROR(INDEX(БАЗА_ЦІНИ,10,IFERROR(MATCH(ЕТАЛОН_ПЛ,ПЛ_РЯДОК,0),0)),"")=""),"",CU21-IFERROR(INDEX(БАЗА_ЦІНИ,10,IFERROR(MATCH(ЕТАЛОН_ПЛ,ПЛ_РЯДОК,0),0)),""))</f>
        <v/>
      </c>
      <c r="CV52" s="71" t="str">
        <f aca="false">IF(OR(CU21="",ЕТАЛОН_ПЛ="",IFERROR(INDEX(БАЗА_ЦІНИ,10,IFERROR(MATCH(ЕТАЛОН_ПЛ,ПЛ_РЯДОК,0),0)),"")="",IFERROR(INDEX(БАЗА_ЦІНИ,10,IFERROR(MATCH(ЕТАЛОН_ПЛ,ПЛ_РЯДОК,0),0)),"")=0),"",CU21/IFERROR(INDEX(БАЗА_ЦІНИ,10,IFERROR(MATCH(ЕТАЛОН_ПЛ,ПЛ_РЯДОК,0),0)),"")-1)</f>
        <v/>
      </c>
      <c r="CW52" s="70" t="str">
        <f aca="false">IF(OR(CW21="",ЕТАЛОН_ПЛ="",IFERROR(INDEX(БАЗА_ЦІНИ,10,IFERROR(MATCH(ЕТАЛОН_ПЛ,ПЛ_РЯДОК,0),0)),"")=""),"",CW21-IFERROR(INDEX(БАЗА_ЦІНИ,10,IFERROR(MATCH(ЕТАЛОН_ПЛ,ПЛ_РЯДОК,0),0)),""))</f>
        <v/>
      </c>
      <c r="CX52" s="71" t="str">
        <f aca="false">IF(OR(CW21="",ЕТАЛОН_ПЛ="",IFERROR(INDEX(БАЗА_ЦІНИ,10,IFERROR(MATCH(ЕТАЛОН_ПЛ,ПЛ_РЯДОК,0),0)),"")="",IFERROR(INDEX(БАЗА_ЦІНИ,10,IFERROR(MATCH(ЕТАЛОН_ПЛ,ПЛ_РЯДОК,0),0)),"")=0),"",CW21/IFERROR(INDEX(БАЗА_ЦІНИ,10,IFERROR(MATCH(ЕТАЛОН_ПЛ,ПЛ_РЯДОК,0),0)),"")-1)</f>
        <v/>
      </c>
      <c r="CY52" s="70" t="str">
        <f aca="false">IF(OR(CY21="",ЕТАЛОН_ПЛ="",IFERROR(INDEX(БАЗА_ЦІНИ,10,IFERROR(MATCH(ЕТАЛОН_ПЛ,ПЛ_РЯДОК,0),0)),"")=""),"",CY21-IFERROR(INDEX(БАЗА_ЦІНИ,10,IFERROR(MATCH(ЕТАЛОН_ПЛ,ПЛ_РЯДОК,0),0)),""))</f>
        <v/>
      </c>
      <c r="CZ52" s="71" t="str">
        <f aca="false">IF(OR(CY21="",ЕТАЛОН_ПЛ="",IFERROR(INDEX(БАЗА_ЦІНИ,10,IFERROR(MATCH(ЕТАЛОН_ПЛ,ПЛ_РЯДОК,0),0)),"")="",IFERROR(INDEX(БАЗА_ЦІНИ,10,IFERROR(MATCH(ЕТАЛОН_ПЛ,ПЛ_РЯДОК,0),0)),"")=0),"",CY21/IFERROR(INDEX(БАЗА_ЦІНИ,10,IFERROR(MATCH(ЕТАЛОН_ПЛ,ПЛ_РЯДОК,0),0)),"")-1)</f>
        <v/>
      </c>
      <c r="DA52" s="70" t="str">
        <f aca="false">IF(OR(DA21="",ЕТАЛОН_ПЛ="",IFERROR(INDEX(БАЗА_ЦІНИ,10,IFERROR(MATCH(ЕТАЛОН_ПЛ,ПЛ_РЯДОК,0),0)),"")=""),"",DA21-IFERROR(INDEX(БАЗА_ЦІНИ,10,IFERROR(MATCH(ЕТАЛОН_ПЛ,ПЛ_РЯДОК,0),0)),""))</f>
        <v/>
      </c>
      <c r="DB52" s="71" t="str">
        <f aca="false">IF(OR(DA21="",ЕТАЛОН_ПЛ="",IFERROR(INDEX(БАЗА_ЦІНИ,10,IFERROR(MATCH(ЕТАЛОН_ПЛ,ПЛ_РЯДОК,0),0)),"")="",IFERROR(INDEX(БАЗА_ЦІНИ,10,IFERROR(MATCH(ЕТАЛОН_ПЛ,ПЛ_РЯДОК,0),0)),"")=0),"",DA21/IFERROR(INDEX(БАЗА_ЦІНИ,10,IFERROR(MATCH(ЕТАЛОН_ПЛ,ПЛ_РЯДОК,0),0)),"")-1)</f>
        <v/>
      </c>
      <c r="DC52" s="70" t="str">
        <f aca="false">IF(OR(DC21="",ЕТАЛОН_ПЛ="",IFERROR(INDEX(БАЗА_ЦІНИ,10,IFERROR(MATCH(ЕТАЛОН_ПЛ,ПЛ_РЯДОК,0),0)),"")=""),"",DC21-IFERROR(INDEX(БАЗА_ЦІНИ,10,IFERROR(MATCH(ЕТАЛОН_ПЛ,ПЛ_РЯДОК,0),0)),""))</f>
        <v/>
      </c>
      <c r="DD52" s="71" t="str">
        <f aca="false">IF(OR(DC21="",ЕТАЛОН_ПЛ="",IFERROR(INDEX(БАЗА_ЦІНИ,10,IFERROR(MATCH(ЕТАЛОН_ПЛ,ПЛ_РЯДОК,0),0)),"")="",IFERROR(INDEX(БАЗА_ЦІНИ,10,IFERROR(MATCH(ЕТАЛОН_ПЛ,ПЛ_РЯДОК,0),0)),"")=0),"",DC21/IFERROR(INDEX(БАЗА_ЦІНИ,10,IFERROR(MATCH(ЕТАЛОН_ПЛ,ПЛ_РЯДОК,0),0)),"")-1)</f>
        <v/>
      </c>
      <c r="DE52" s="70" t="str">
        <f aca="false">IF(OR(DE21="",ЕТАЛОН_ПЛ="",IFERROR(INDEX(БАЗА_ЦІНИ,10,IFERROR(MATCH(ЕТАЛОН_ПЛ,ПЛ_РЯДОК,0),0)),"")=""),"",DE21-IFERROR(INDEX(БАЗА_ЦІНИ,10,IFERROR(MATCH(ЕТАЛОН_ПЛ,ПЛ_РЯДОК,0),0)),""))</f>
        <v/>
      </c>
      <c r="DF52" s="71" t="str">
        <f aca="false">IF(OR(DE21="",ЕТАЛОН_ПЛ="",IFERROR(INDEX(БАЗА_ЦІНИ,10,IFERROR(MATCH(ЕТАЛОН_ПЛ,ПЛ_РЯДОК,0),0)),"")="",IFERROR(INDEX(БАЗА_ЦІНИ,10,IFERROR(MATCH(ЕТАЛОН_ПЛ,ПЛ_РЯДОК,0),0)),"")=0),"",DE21/IFERROR(INDEX(БАЗА_ЦІНИ,10,IFERROR(MATCH(ЕТАЛОН_ПЛ,ПЛ_РЯДОК,0),0)),"")-1)</f>
        <v/>
      </c>
      <c r="DG52" s="70" t="str">
        <f aca="false">IF(OR(DG21="",ЕТАЛОН_ПЛ="",IFERROR(INDEX(БАЗА_ЦІНИ,10,IFERROR(MATCH(ЕТАЛОН_ПЛ,ПЛ_РЯДОК,0),0)),"")=""),"",DG21-IFERROR(INDEX(БАЗА_ЦІНИ,10,IFERROR(MATCH(ЕТАЛОН_ПЛ,ПЛ_РЯДОК,0),0)),""))</f>
        <v/>
      </c>
      <c r="DH52" s="71" t="str">
        <f aca="false">IF(OR(DG21="",ЕТАЛОН_ПЛ="",IFERROR(INDEX(БАЗА_ЦІНИ,10,IFERROR(MATCH(ЕТАЛОН_ПЛ,ПЛ_РЯДОК,0),0)),"")="",IFERROR(INDEX(БАЗА_ЦІНИ,10,IFERROR(MATCH(ЕТАЛОН_ПЛ,ПЛ_РЯДОК,0),0)),"")=0),"",DG21/IFERROR(INDEX(БАЗА_ЦІНИ,10,IFERROR(MATCH(ЕТАЛОН_ПЛ,ПЛ_РЯДОК,0),0)),"")-1)</f>
        <v/>
      </c>
      <c r="DI52" s="70" t="str">
        <f aca="false">IF(OR(DI21="",ЕТАЛОН_ПЛ="",IFERROR(INDEX(БАЗА_ЦІНИ,10,IFERROR(MATCH(ЕТАЛОН_ПЛ,ПЛ_РЯДОК,0),0)),"")=""),"",DI21-IFERROR(INDEX(БАЗА_ЦІНИ,10,IFERROR(MATCH(ЕТАЛОН_ПЛ,ПЛ_РЯДОК,0),0)),""))</f>
        <v/>
      </c>
      <c r="DJ52" s="71" t="str">
        <f aca="false">IF(OR(DI21="",ЕТАЛОН_ПЛ="",IFERROR(INDEX(БАЗА_ЦІНИ,10,IFERROR(MATCH(ЕТАЛОН_ПЛ,ПЛ_РЯДОК,0),0)),"")="",IFERROR(INDEX(БАЗА_ЦІНИ,10,IFERROR(MATCH(ЕТАЛОН_ПЛ,ПЛ_РЯДОК,0),0)),"")=0),"",DI21/IFERROR(INDEX(БАЗА_ЦІНИ,10,IFERROR(MATCH(ЕТАЛОН_ПЛ,ПЛ_РЯДОК,0),0)),"")-1)</f>
        <v/>
      </c>
      <c r="DK52" s="70" t="str">
        <f aca="false">IF(OR(DK21="",ЕТАЛОН_ПЛ="",IFERROR(INDEX(БАЗА_ЦІНИ,10,IFERROR(MATCH(ЕТАЛОН_ПЛ,ПЛ_РЯДОК,0),0)),"")=""),"",DK21-IFERROR(INDEX(БАЗА_ЦІНИ,10,IFERROR(MATCH(ЕТАЛОН_ПЛ,ПЛ_РЯДОК,0),0)),""))</f>
        <v/>
      </c>
      <c r="DL52" s="71" t="str">
        <f aca="false">IF(OR(DK21="",ЕТАЛОН_ПЛ="",IFERROR(INDEX(БАЗА_ЦІНИ,10,IFERROR(MATCH(ЕТАЛОН_ПЛ,ПЛ_РЯДОК,0),0)),"")="",IFERROR(INDEX(БАЗА_ЦІНИ,10,IFERROR(MATCH(ЕТАЛОН_ПЛ,ПЛ_РЯДОК,0),0)),"")=0),"",DK21/IFERROR(INDEX(БАЗА_ЦІНИ,10,IFERROR(MATCH(ЕТАЛОН_ПЛ,ПЛ_РЯДОК,0),0)),"")-1)</f>
        <v/>
      </c>
      <c r="DM52" s="70" t="str">
        <f aca="false">IF(OR(DM21="",ЕТАЛОН_ПЛ="",IFERROR(INDEX(БАЗА_ЦІНИ,10,IFERROR(MATCH(ЕТАЛОН_ПЛ,ПЛ_РЯДОК,0),0)),"")=""),"",DM21-IFERROR(INDEX(БАЗА_ЦІНИ,10,IFERROR(MATCH(ЕТАЛОН_ПЛ,ПЛ_РЯДОК,0),0)),""))</f>
        <v/>
      </c>
      <c r="DN52" s="71" t="str">
        <f aca="false">IF(OR(DM21="",ЕТАЛОН_ПЛ="",IFERROR(INDEX(БАЗА_ЦІНИ,10,IFERROR(MATCH(ЕТАЛОН_ПЛ,ПЛ_РЯДОК,0),0)),"")="",IFERROR(INDEX(БАЗА_ЦІНИ,10,IFERROR(MATCH(ЕТАЛОН_ПЛ,ПЛ_РЯДОК,0),0)),"")=0),"",DM21/IFERROR(INDEX(БАЗА_ЦІНИ,10,IFERROR(MATCH(ЕТАЛОН_ПЛ,ПЛ_РЯДОК,0),0)),"")-1)</f>
        <v/>
      </c>
      <c r="DO52" s="70" t="str">
        <f aca="false">IF(OR(DO21="",ЕТАЛОН_ПЛ="",IFERROR(INDEX(БАЗА_ЦІНИ,10,IFERROR(MATCH(ЕТАЛОН_ПЛ,ПЛ_РЯДОК,0),0)),"")=""),"",DO21-IFERROR(INDEX(БАЗА_ЦІНИ,10,IFERROR(MATCH(ЕТАЛОН_ПЛ,ПЛ_РЯДОК,0),0)),""))</f>
        <v/>
      </c>
      <c r="DP52" s="71" t="str">
        <f aca="false">IF(OR(DO21="",ЕТАЛОН_ПЛ="",IFERROR(INDEX(БАЗА_ЦІНИ,10,IFERROR(MATCH(ЕТАЛОН_ПЛ,ПЛ_РЯДОК,0),0)),"")="",IFERROR(INDEX(БАЗА_ЦІНИ,10,IFERROR(MATCH(ЕТАЛОН_ПЛ,ПЛ_РЯДОК,0),0)),"")=0),"",DO21/IFERROR(INDEX(БАЗА_ЦІНИ,10,IFERROR(MATCH(ЕТАЛОН_ПЛ,ПЛ_РЯДОК,0),0)),"")-1)</f>
        <v/>
      </c>
      <c r="DQ52" s="70" t="str">
        <f aca="false">IF(OR(DQ21="",ЕТАЛОН_ПЛ="",IFERROR(INDEX(БАЗА_ЦІНИ,10,IFERROR(MATCH(ЕТАЛОН_ПЛ,ПЛ_РЯДОК,0),0)),"")=""),"",DQ21-IFERROR(INDEX(БАЗА_ЦІНИ,10,IFERROR(MATCH(ЕТАЛОН_ПЛ,ПЛ_РЯДОК,0),0)),""))</f>
        <v/>
      </c>
      <c r="DR52" s="71" t="str">
        <f aca="false">IF(OR(DQ21="",ЕТАЛОН_ПЛ="",IFERROR(INDEX(БАЗА_ЦІНИ,10,IFERROR(MATCH(ЕТАЛОН_ПЛ,ПЛ_РЯДОК,0),0)),"")="",IFERROR(INDEX(БАЗА_ЦІНИ,10,IFERROR(MATCH(ЕТАЛОН_ПЛ,ПЛ_РЯДОК,0),0)),"")=0),"",DQ21/IFERROR(INDEX(БАЗА_ЦІНИ,10,IFERROR(MATCH(ЕТАЛОН_ПЛ,ПЛ_РЯДОК,0),0)),"")-1)</f>
        <v/>
      </c>
      <c r="DS52" s="70" t="str">
        <f aca="false">IF(OR(DS21="",ЕТАЛОН_ПЛ="",IFERROR(INDEX(БАЗА_ЦІНИ,10,IFERROR(MATCH(ЕТАЛОН_ПЛ,ПЛ_РЯДОК,0),0)),"")=""),"",DS21-IFERROR(INDEX(БАЗА_ЦІНИ,10,IFERROR(MATCH(ЕТАЛОН_ПЛ,ПЛ_РЯДОК,0),0)),""))</f>
        <v/>
      </c>
      <c r="DT52" s="71" t="str">
        <f aca="false">IF(OR(DS21="",ЕТАЛОН_ПЛ="",IFERROR(INDEX(БАЗА_ЦІНИ,10,IFERROR(MATCH(ЕТАЛОН_ПЛ,ПЛ_РЯДОК,0),0)),"")="",IFERROR(INDEX(БАЗА_ЦІНИ,10,IFERROR(MATCH(ЕТАЛОН_ПЛ,ПЛ_РЯДОК,0),0)),"")=0),"",DS21/IFERROR(INDEX(БАЗА_ЦІНИ,10,IFERROR(MATCH(ЕТАЛОН_ПЛ,ПЛ_РЯДОК,0),0)),"")-1)</f>
        <v/>
      </c>
      <c r="DU52" s="70" t="str">
        <f aca="false">IF(OR(DU21="",ЕТАЛОН_ПЛ="",IFERROR(INDEX(БАЗА_ЦІНИ,10,IFERROR(MATCH(ЕТАЛОН_ПЛ,ПЛ_РЯДОК,0),0)),"")=""),"",DU21-IFERROR(INDEX(БАЗА_ЦІНИ,10,IFERROR(MATCH(ЕТАЛОН_ПЛ,ПЛ_РЯДОК,0),0)),""))</f>
        <v/>
      </c>
      <c r="DV52" s="71" t="str">
        <f aca="false">IF(OR(DU21="",ЕТАЛОН_ПЛ="",IFERROR(INDEX(БАЗА_ЦІНИ,10,IFERROR(MATCH(ЕТАЛОН_ПЛ,ПЛ_РЯДОК,0),0)),"")="",IFERROR(INDEX(БАЗА_ЦІНИ,10,IFERROR(MATCH(ЕТАЛОН_ПЛ,ПЛ_РЯДОК,0),0)),"")=0),"",DU21/IFERROR(INDEX(БАЗА_ЦІНИ,10,IFERROR(MATCH(ЕТАЛОН_ПЛ,ПЛ_РЯДОК,0),0)),"")-1)</f>
        <v/>
      </c>
      <c r="DW52" s="70" t="str">
        <f aca="false">IF(OR(DW21="",ЕТАЛОН_ПЛ="",IFERROR(INDEX(БАЗА_ЦІНИ,10,IFERROR(MATCH(ЕТАЛОН_ПЛ,ПЛ_РЯДОК,0),0)),"")=""),"",DW21-IFERROR(INDEX(БАЗА_ЦІНИ,10,IFERROR(MATCH(ЕТАЛОН_ПЛ,ПЛ_РЯДОК,0),0)),""))</f>
        <v/>
      </c>
      <c r="DX52" s="71" t="str">
        <f aca="false">IF(OR(DW21="",ЕТАЛОН_ПЛ="",IFERROR(INDEX(БАЗА_ЦІНИ,10,IFERROR(MATCH(ЕТАЛОН_ПЛ,ПЛ_РЯДОК,0),0)),"")="",IFERROR(INDEX(БАЗА_ЦІНИ,10,IFERROR(MATCH(ЕТАЛОН_ПЛ,ПЛ_РЯДОК,0),0)),"")=0),"",DW21/IFERROR(INDEX(БАЗА_ЦІНИ,10,IFERROR(MATCH(ЕТАЛОН_ПЛ,ПЛ_РЯДОК,0),0)),"")-1)</f>
        <v/>
      </c>
      <c r="DY52" s="70" t="str">
        <f aca="false">IF(OR(DY21="",ЕТАЛОН_ПЛ="",IFERROR(INDEX(БАЗА_ЦІНИ,10,IFERROR(MATCH(ЕТАЛОН_ПЛ,ПЛ_РЯДОК,0),0)),"")=""),"",DY21-IFERROR(INDEX(БАЗА_ЦІНИ,10,IFERROR(MATCH(ЕТАЛОН_ПЛ,ПЛ_РЯДОК,0),0)),""))</f>
        <v/>
      </c>
      <c r="DZ52" s="71" t="str">
        <f aca="false">IF(OR(DY21="",ЕТАЛОН_ПЛ="",IFERROR(INDEX(БАЗА_ЦІНИ,10,IFERROR(MATCH(ЕТАЛОН_ПЛ,ПЛ_РЯДОК,0),0)),"")="",IFERROR(INDEX(БАЗА_ЦІНИ,10,IFERROR(MATCH(ЕТАЛОН_ПЛ,ПЛ_РЯДОК,0),0)),"")=0),"",DY21/IFERROR(INDEX(БАЗА_ЦІНИ,10,IFERROR(MATCH(ЕТАЛОН_ПЛ,ПЛ_РЯДОК,0),0)),"")-1)</f>
        <v/>
      </c>
      <c r="EA52" s="70" t="str">
        <f aca="false">IF(OR(EA21="",ЕТАЛОН_ПЛ="",IFERROR(INDEX(БАЗА_ЦІНИ,10,IFERROR(MATCH(ЕТАЛОН_ПЛ,ПЛ_РЯДОК,0),0)),"")=""),"",EA21-IFERROR(INDEX(БАЗА_ЦІНИ,10,IFERROR(MATCH(ЕТАЛОН_ПЛ,ПЛ_РЯДОК,0),0)),""))</f>
        <v/>
      </c>
      <c r="EB52" s="71" t="str">
        <f aca="false">IF(OR(EA21="",ЕТАЛОН_ПЛ="",IFERROR(INDEX(БАЗА_ЦІНИ,10,IFERROR(MATCH(ЕТАЛОН_ПЛ,ПЛ_РЯДОК,0),0)),"")="",IFERROR(INDEX(БАЗА_ЦІНИ,10,IFERROR(MATCH(ЕТАЛОН_ПЛ,ПЛ_РЯДОК,0),0)),"")=0),"",EA21/IFERROR(INDEX(БАЗА_ЦІНИ,10,IFERROR(MATCH(ЕТАЛОН_ПЛ,ПЛ_РЯДОК,0),0)),"")-1)</f>
        <v/>
      </c>
      <c r="EC52" s="70" t="str">
        <f aca="false">IF(OR(EC21="",ЕТАЛОН_ПЛ="",IFERROR(INDEX(БАЗА_ЦІНИ,10,IFERROR(MATCH(ЕТАЛОН_ПЛ,ПЛ_РЯДОК,0),0)),"")=""),"",EC21-IFERROR(INDEX(БАЗА_ЦІНИ,10,IFERROR(MATCH(ЕТАЛОН_ПЛ,ПЛ_РЯДОК,0),0)),""))</f>
        <v/>
      </c>
      <c r="ED52" s="71" t="str">
        <f aca="false">IF(OR(EC21="",ЕТАЛОН_ПЛ="",IFERROR(INDEX(БАЗА_ЦІНИ,10,IFERROR(MATCH(ЕТАЛОН_ПЛ,ПЛ_РЯДОК,0),0)),"")="",IFERROR(INDEX(БАЗА_ЦІНИ,10,IFERROR(MATCH(ЕТАЛОН_ПЛ,ПЛ_РЯДОК,0),0)),"")=0),"",EC21/IFERROR(INDEX(БАЗА_ЦІНИ,10,IFERROR(MATCH(ЕТАЛОН_ПЛ,ПЛ_РЯДОК,0),0)),"")-1)</f>
        <v/>
      </c>
      <c r="EE52" s="70" t="str">
        <f aca="false">IF(OR(EE21="",ЕТАЛОН_ПЛ="",IFERROR(INDEX(БАЗА_ЦІНИ,10,IFERROR(MATCH(ЕТАЛОН_ПЛ,ПЛ_РЯДОК,0),0)),"")=""),"",EE21-IFERROR(INDEX(БАЗА_ЦІНИ,10,IFERROR(MATCH(ЕТАЛОН_ПЛ,ПЛ_РЯДОК,0),0)),""))</f>
        <v/>
      </c>
      <c r="EF52" s="71" t="str">
        <f aca="false">IF(OR(EE21="",ЕТАЛОН_ПЛ="",IFERROR(INDEX(БАЗА_ЦІНИ,10,IFERROR(MATCH(ЕТАЛОН_ПЛ,ПЛ_РЯДОК,0),0)),"")="",IFERROR(INDEX(БАЗА_ЦІНИ,10,IFERROR(MATCH(ЕТАЛОН_ПЛ,ПЛ_РЯДОК,0),0)),"")=0),"",EE21/IFERROR(INDEX(БАЗА_ЦІНИ,10,IFERROR(MATCH(ЕТАЛОН_ПЛ,ПЛ_РЯДОК,0),0)),"")-1)</f>
        <v/>
      </c>
      <c r="EG52" s="70" t="str">
        <f aca="false">IF(OR(EG21="",ЕТАЛОН_ПЛ="",IFERROR(INDEX(БАЗА_ЦІНИ,10,IFERROR(MATCH(ЕТАЛОН_ПЛ,ПЛ_РЯДОК,0),0)),"")=""),"",EG21-IFERROR(INDEX(БАЗА_ЦІНИ,10,IFERROR(MATCH(ЕТАЛОН_ПЛ,ПЛ_РЯДОК,0),0)),""))</f>
        <v/>
      </c>
      <c r="EH52" s="71" t="str">
        <f aca="false">IF(OR(EG21="",ЕТАЛОН_ПЛ="",IFERROR(INDEX(БАЗА_ЦІНИ,10,IFERROR(MATCH(ЕТАЛОН_ПЛ,ПЛ_РЯДОК,0),0)),"")="",IFERROR(INDEX(БАЗА_ЦІНИ,10,IFERROR(MATCH(ЕТАЛОН_ПЛ,ПЛ_РЯДОК,0),0)),"")=0),"",EG21/IFERROR(INDEX(БАЗА_ЦІНИ,10,IFERROR(MATCH(ЕТАЛОН_ПЛ,ПЛ_РЯДОК,0),0)),"")-1)</f>
        <v/>
      </c>
      <c r="EI52" s="70" t="str">
        <f aca="false">IF(OR(EI21="",ЕТАЛОН_ПЛ="",IFERROR(INDEX(БАЗА_ЦІНИ,10,IFERROR(MATCH(ЕТАЛОН_ПЛ,ПЛ_РЯДОК,0),0)),"")=""),"",EI21-IFERROR(INDEX(БАЗА_ЦІНИ,10,IFERROR(MATCH(ЕТАЛОН_ПЛ,ПЛ_РЯДОК,0),0)),""))</f>
        <v/>
      </c>
      <c r="EJ52" s="71" t="str">
        <f aca="false">IF(OR(EI21="",ЕТАЛОН_ПЛ="",IFERROR(INDEX(БАЗА_ЦІНИ,10,IFERROR(MATCH(ЕТАЛОН_ПЛ,ПЛ_РЯДОК,0),0)),"")="",IFERROR(INDEX(БАЗА_ЦІНИ,10,IFERROR(MATCH(ЕТАЛОН_ПЛ,ПЛ_РЯДОК,0),0)),"")=0),"",EI21/IFERROR(INDEX(БАЗА_ЦІНИ,10,IFERROR(MATCH(ЕТАЛОН_ПЛ,ПЛ_РЯДОК,0),0)),"")-1)</f>
        <v/>
      </c>
      <c r="EK52" s="70" t="str">
        <f aca="false">IF(OR(EK21="",ЕТАЛОН_ПЛ="",IFERROR(INDEX(БАЗА_ЦІНИ,10,IFERROR(MATCH(ЕТАЛОН_ПЛ,ПЛ_РЯДОК,0),0)),"")=""),"",EK21-IFERROR(INDEX(БАЗА_ЦІНИ,10,IFERROR(MATCH(ЕТАЛОН_ПЛ,ПЛ_РЯДОК,0),0)),""))</f>
        <v/>
      </c>
      <c r="EL52" s="71" t="str">
        <f aca="false">IF(OR(EK21="",ЕТАЛОН_ПЛ="",IFERROR(INDEX(БАЗА_ЦІНИ,10,IFERROR(MATCH(ЕТАЛОН_ПЛ,ПЛ_РЯДОК,0),0)),"")="",IFERROR(INDEX(БАЗА_ЦІНИ,10,IFERROR(MATCH(ЕТАЛОН_ПЛ,ПЛ_РЯДОК,0),0)),"")=0),"",EK21/IFERROR(INDEX(БАЗА_ЦІНИ,10,IFERROR(MATCH(ЕТАЛОН_ПЛ,ПЛ_РЯДОК,0),0)),"")-1)</f>
        <v/>
      </c>
      <c r="EM52" s="70" t="str">
        <f aca="false">IF(OR(EM21="",ЕТАЛОН_ПЛ="",IFERROR(INDEX(БАЗА_ЦІНИ,10,IFERROR(MATCH(ЕТАЛОН_ПЛ,ПЛ_РЯДОК,0),0)),"")=""),"",EM21-IFERROR(INDEX(БАЗА_ЦІНИ,10,IFERROR(MATCH(ЕТАЛОН_ПЛ,ПЛ_РЯДОК,0),0)),""))</f>
        <v/>
      </c>
      <c r="EN52" s="71" t="str">
        <f aca="false">IF(OR(EM21="",ЕТАЛОН_ПЛ="",IFERROR(INDEX(БАЗА_ЦІНИ,10,IFERROR(MATCH(ЕТАЛОН_ПЛ,ПЛ_РЯДОК,0),0)),"")="",IFERROR(INDEX(БАЗА_ЦІНИ,10,IFERROR(MATCH(ЕТАЛОН_ПЛ,ПЛ_РЯДОК,0),0)),"")=0),"",EM21/IFERROR(INDEX(БАЗА_ЦІНИ,10,IFERROR(MATCH(ЕТАЛОН_ПЛ,ПЛ_РЯДОК,0),0)),"")-1)</f>
        <v/>
      </c>
      <c r="EO52" s="70" t="str">
        <f aca="false">IF(OR(EO21="",ЕТАЛОН_ПЛ="",IFERROR(INDEX(БАЗА_ЦІНИ,10,IFERROR(MATCH(ЕТАЛОН_ПЛ,ПЛ_РЯДОК,0),0)),"")=""),"",EO21-IFERROR(INDEX(БАЗА_ЦІНИ,10,IFERROR(MATCH(ЕТАЛОН_ПЛ,ПЛ_РЯДОК,0),0)),""))</f>
        <v/>
      </c>
      <c r="EP52" s="71" t="str">
        <f aca="false">IF(OR(EO21="",ЕТАЛОН_ПЛ="",IFERROR(INDEX(БАЗА_ЦІНИ,10,IFERROR(MATCH(ЕТАЛОН_ПЛ,ПЛ_РЯДОК,0),0)),"")="",IFERROR(INDEX(БАЗА_ЦІНИ,10,IFERROR(MATCH(ЕТАЛОН_ПЛ,ПЛ_РЯДОК,0),0)),"")=0),"",EO21/IFERROR(INDEX(БАЗА_ЦІНИ,10,IFERROR(MATCH(ЕТАЛОН_ПЛ,ПЛ_РЯДОК,0),0)),"")-1)</f>
        <v/>
      </c>
      <c r="EQ52" s="70" t="str">
        <f aca="false">IF(OR(EQ21="",ЕТАЛОН_ПЛ="",IFERROR(INDEX(БАЗА_ЦІНИ,10,IFERROR(MATCH(ЕТАЛОН_ПЛ,ПЛ_РЯДОК,0),0)),"")=""),"",EQ21-IFERROR(INDEX(БАЗА_ЦІНИ,10,IFERROR(MATCH(ЕТАЛОН_ПЛ,ПЛ_РЯДОК,0),0)),""))</f>
        <v/>
      </c>
      <c r="ER52" s="71" t="str">
        <f aca="false">IF(OR(EQ21="",ЕТАЛОН_ПЛ="",IFERROR(INDEX(БАЗА_ЦІНИ,10,IFERROR(MATCH(ЕТАЛОН_ПЛ,ПЛ_РЯДОК,0),0)),"")="",IFERROR(INDEX(БАЗА_ЦІНИ,10,IFERROR(MATCH(ЕТАЛОН_ПЛ,ПЛ_РЯДОК,0),0)),"")=0),"",EQ21/IFERROR(INDEX(БАЗА_ЦІНИ,10,IFERROR(MATCH(ЕТАЛОН_ПЛ,ПЛ_РЯДОК,0),0)),"")-1)</f>
        <v/>
      </c>
      <c r="ES52" s="70" t="str">
        <f aca="false">IF(OR(ES21="",ЕТАЛОН_ПЛ="",IFERROR(INDEX(БАЗА_ЦІНИ,10,IFERROR(MATCH(ЕТАЛОН_ПЛ,ПЛ_РЯДОК,0),0)),"")=""),"",ES21-IFERROR(INDEX(БАЗА_ЦІНИ,10,IFERROR(MATCH(ЕТАЛОН_ПЛ,ПЛ_РЯДОК,0),0)),""))</f>
        <v/>
      </c>
      <c r="ET52" s="71" t="str">
        <f aca="false">IF(OR(ES21="",ЕТАЛОН_ПЛ="",IFERROR(INDEX(БАЗА_ЦІНИ,10,IFERROR(MATCH(ЕТАЛОН_ПЛ,ПЛ_РЯДОК,0),0)),"")="",IFERROR(INDEX(БАЗА_ЦІНИ,10,IFERROR(MATCH(ЕТАЛОН_ПЛ,ПЛ_РЯДОК,0),0)),"")=0),"",ES21/IFERROR(INDEX(БАЗА_ЦІНИ,10,IFERROR(MATCH(ЕТАЛОН_ПЛ,ПЛ_РЯДОК,0),0)),"")-1)</f>
        <v/>
      </c>
      <c r="EU52" s="70" t="str">
        <f aca="false">IF(OR(EU21="",ЕТАЛОН_ПЛ="",IFERROR(INDEX(БАЗА_ЦІНИ,10,IFERROR(MATCH(ЕТАЛОН_ПЛ,ПЛ_РЯДОК,0),0)),"")=""),"",EU21-IFERROR(INDEX(БАЗА_ЦІНИ,10,IFERROR(MATCH(ЕТАЛОН_ПЛ,ПЛ_РЯДОК,0),0)),""))</f>
        <v/>
      </c>
      <c r="EV52" s="71" t="str">
        <f aca="false">IF(OR(EU21="",ЕТАЛОН_ПЛ="",IFERROR(INDEX(БАЗА_ЦІНИ,10,IFERROR(MATCH(ЕТАЛОН_ПЛ,ПЛ_РЯДОК,0),0)),"")="",IFERROR(INDEX(БАЗА_ЦІНИ,10,IFERROR(MATCH(ЕТАЛОН_ПЛ,ПЛ_РЯДОК,0),0)),"")=0),"",EU21/IFERROR(INDEX(БАЗА_ЦІНИ,10,IFERROR(MATCH(ЕТАЛОН_ПЛ,ПЛ_РЯДОК,0),0)),"")-1)</f>
        <v/>
      </c>
      <c r="EW52" s="70" t="str">
        <f aca="false">IF(OR(EW21="",ЕТАЛОН_ПЛ="",IFERROR(INDEX(БАЗА_ЦІНИ,10,IFERROR(MATCH(ЕТАЛОН_ПЛ,ПЛ_РЯДОК,0),0)),"")=""),"",EW21-IFERROR(INDEX(БАЗА_ЦІНИ,10,IFERROR(MATCH(ЕТАЛОН_ПЛ,ПЛ_РЯДОК,0),0)),""))</f>
        <v/>
      </c>
      <c r="EX52" s="71" t="str">
        <f aca="false">IF(OR(EW21="",ЕТАЛОН_ПЛ="",IFERROR(INDEX(БАЗА_ЦІНИ,10,IFERROR(MATCH(ЕТАЛОН_ПЛ,ПЛ_РЯДОК,0),0)),"")="",IFERROR(INDEX(БАЗА_ЦІНИ,10,IFERROR(MATCH(ЕТАЛОН_ПЛ,ПЛ_РЯДОК,0),0)),"")=0),"",EW21/IFERROR(INDEX(БАЗА_ЦІНИ,10,IFERROR(MATCH(ЕТАЛОН_ПЛ,ПЛ_РЯДОК,0),0)),"")-1)</f>
        <v/>
      </c>
      <c r="EY52" s="70" t="str">
        <f aca="false">IF(OR(EY21="",ЕТАЛОН_ПЛ="",IFERROR(INDEX(БАЗА_ЦІНИ,10,IFERROR(MATCH(ЕТАЛОН_ПЛ,ПЛ_РЯДОК,0),0)),"")=""),"",EY21-IFERROR(INDEX(БАЗА_ЦІНИ,10,IFERROR(MATCH(ЕТАЛОН_ПЛ,ПЛ_РЯДОК,0),0)),""))</f>
        <v/>
      </c>
      <c r="EZ52" s="71" t="str">
        <f aca="false">IF(OR(EY21="",ЕТАЛОН_ПЛ="",IFERROR(INDEX(БАЗА_ЦІНИ,10,IFERROR(MATCH(ЕТАЛОН_ПЛ,ПЛ_РЯДОК,0),0)),"")="",IFERROR(INDEX(БАЗА_ЦІНИ,10,IFERROR(MATCH(ЕТАЛОН_ПЛ,ПЛ_РЯДОК,0),0)),"")=0),"",EY21/IFERROR(INDEX(БАЗА_ЦІНИ,10,IFERROR(MATCH(ЕТАЛОН_ПЛ,ПЛ_РЯДОК,0),0)),"")-1)</f>
        <v/>
      </c>
      <c r="FA52" s="70" t="str">
        <f aca="false">IF(OR(FA21="",ЕТАЛОН_ПЛ="",IFERROR(INDEX(БАЗА_ЦІНИ,10,IFERROR(MATCH(ЕТАЛОН_ПЛ,ПЛ_РЯДОК,0),0)),"")=""),"",FA21-IFERROR(INDEX(БАЗА_ЦІНИ,10,IFERROR(MATCH(ЕТАЛОН_ПЛ,ПЛ_РЯДОК,0),0)),""))</f>
        <v/>
      </c>
      <c r="FB52" s="71" t="str">
        <f aca="false">IF(OR(FA21="",ЕТАЛОН_ПЛ="",IFERROR(INDEX(БАЗА_ЦІНИ,10,IFERROR(MATCH(ЕТАЛОН_ПЛ,ПЛ_РЯДОК,0),0)),"")="",IFERROR(INDEX(БАЗА_ЦІНИ,10,IFERROR(MATCH(ЕТАЛОН_ПЛ,ПЛ_РЯДОК,0),0)),"")=0),"",FA21/IFERROR(INDEX(БАЗА_ЦІНИ,10,IFERROR(MATCH(ЕТАЛОН_ПЛ,ПЛ_РЯДОК,0),0)),"")-1)</f>
        <v/>
      </c>
      <c r="FC52" s="70" t="str">
        <f aca="false">IF(OR(FC21="",ЕТАЛОН_ПЛ="",IFERROR(INDEX(БАЗА_ЦІНИ,10,IFERROR(MATCH(ЕТАЛОН_ПЛ,ПЛ_РЯДОК,0),0)),"")=""),"",FC21-IFERROR(INDEX(БАЗА_ЦІНИ,10,IFERROR(MATCH(ЕТАЛОН_ПЛ,ПЛ_РЯДОК,0),0)),""))</f>
        <v/>
      </c>
      <c r="FD52" s="71" t="str">
        <f aca="false">IF(OR(FC21="",ЕТАЛОН_ПЛ="",IFERROR(INDEX(БАЗА_ЦІНИ,10,IFERROR(MATCH(ЕТАЛОН_ПЛ,ПЛ_РЯДОК,0),0)),"")="",IFERROR(INDEX(БАЗА_ЦІНИ,10,IFERROR(MATCH(ЕТАЛОН_ПЛ,ПЛ_РЯДОК,0),0)),"")=0),"",FC21/IFERROR(INDEX(БАЗА_ЦІНИ,10,IFERROR(MATCH(ЕТАЛОН_ПЛ,ПЛ_РЯДОК,0),0)),"")-1)</f>
        <v/>
      </c>
      <c r="FE52" s="70" t="str">
        <f aca="false">IF(OR(FE21="",ЕТАЛОН_ПЛ="",IFERROR(INDEX(БАЗА_ЦІНИ,10,IFERROR(MATCH(ЕТАЛОН_ПЛ,ПЛ_РЯДОК,0),0)),"")=""),"",FE21-IFERROR(INDEX(БАЗА_ЦІНИ,10,IFERROR(MATCH(ЕТАЛОН_ПЛ,ПЛ_РЯДОК,0),0)),""))</f>
        <v/>
      </c>
      <c r="FF52" s="71" t="str">
        <f aca="false">IF(OR(FE21="",ЕТАЛОН_ПЛ="",IFERROR(INDEX(БАЗА_ЦІНИ,10,IFERROR(MATCH(ЕТАЛОН_ПЛ,ПЛ_РЯДОК,0),0)),"")="",IFERROR(INDEX(БАЗА_ЦІНИ,10,IFERROR(MATCH(ЕТАЛОН_ПЛ,ПЛ_РЯДОК,0),0)),"")=0),"",FE21/IFERROR(INDEX(БАЗА_ЦІНИ,10,IFERROR(MATCH(ЕТАЛОН_ПЛ,ПЛ_РЯДОК,0),0)),"")-1)</f>
        <v/>
      </c>
      <c r="FG52" s="70" t="str">
        <f aca="false">IF(OR(FG21="",ЕТАЛОН_ПЛ="",IFERROR(INDEX(БАЗА_ЦІНИ,10,IFERROR(MATCH(ЕТАЛОН_ПЛ,ПЛ_РЯДОК,0),0)),"")=""),"",FG21-IFERROR(INDEX(БАЗА_ЦІНИ,10,IFERROR(MATCH(ЕТАЛОН_ПЛ,ПЛ_РЯДОК,0),0)),""))</f>
        <v/>
      </c>
      <c r="FH52" s="71" t="str">
        <f aca="false">IF(OR(FG21="",ЕТАЛОН_ПЛ="",IFERROR(INDEX(БАЗА_ЦІНИ,10,IFERROR(MATCH(ЕТАЛОН_ПЛ,ПЛ_РЯДОК,0),0)),"")="",IFERROR(INDEX(БАЗА_ЦІНИ,10,IFERROR(MATCH(ЕТАЛОН_ПЛ,ПЛ_РЯДОК,0),0)),"")=0),"",FG21/IFERROR(INDEX(БАЗА_ЦІНИ,10,IFERROR(MATCH(ЕТАЛОН_ПЛ,ПЛ_РЯДОК,0),0)),"")-1)</f>
        <v/>
      </c>
      <c r="FI52" s="70" t="str">
        <f aca="false">IF(OR(FI21="",ЕТАЛОН_ПЛ="",IFERROR(INDEX(БАЗА_ЦІНИ,10,IFERROR(MATCH(ЕТАЛОН_ПЛ,ПЛ_РЯДОК,0),0)),"")=""),"",FI21-IFERROR(INDEX(БАЗА_ЦІНИ,10,IFERROR(MATCH(ЕТАЛОН_ПЛ,ПЛ_РЯДОК,0),0)),""))</f>
        <v/>
      </c>
      <c r="FJ52" s="71" t="str">
        <f aca="false">IF(OR(FI21="",ЕТАЛОН_ПЛ="",IFERROR(INDEX(БАЗА_ЦІНИ,10,IFERROR(MATCH(ЕТАЛОН_ПЛ,ПЛ_РЯДОК,0),0)),"")="",IFERROR(INDEX(БАЗА_ЦІНИ,10,IFERROR(MATCH(ЕТАЛОН_ПЛ,ПЛ_РЯДОК,0),0)),"")=0),"",FI21/IFERROR(INDEX(БАЗА_ЦІНИ,10,IFERROR(MATCH(ЕТАЛОН_ПЛ,ПЛ_РЯДОК,0),0)),"")-1)</f>
        <v/>
      </c>
      <c r="FK52" s="70" t="str">
        <f aca="false">IF(OR(FK21="",ЕТАЛОН_ПЛ="",IFERROR(INDEX(БАЗА_ЦІНИ,10,IFERROR(MATCH(ЕТАЛОН_ПЛ,ПЛ_РЯДОК,0),0)),"")=""),"",FK21-IFERROR(INDEX(БАЗА_ЦІНИ,10,IFERROR(MATCH(ЕТАЛОН_ПЛ,ПЛ_РЯДОК,0),0)),""))</f>
        <v/>
      </c>
      <c r="FL52" s="71" t="str">
        <f aca="false">IF(OR(FK21="",ЕТАЛОН_ПЛ="",IFERROR(INDEX(БАЗА_ЦІНИ,10,IFERROR(MATCH(ЕТАЛОН_ПЛ,ПЛ_РЯДОК,0),0)),"")="",IFERROR(INDEX(БАЗА_ЦІНИ,10,IFERROR(MATCH(ЕТАЛОН_ПЛ,ПЛ_РЯДОК,0),0)),"")=0),"",FK21/IFERROR(INDEX(БАЗА_ЦІНИ,10,IFERROR(MATCH(ЕТАЛОН_ПЛ,ПЛ_РЯДОК,0),0)),"")-1)</f>
        <v/>
      </c>
      <c r="FM52" s="70" t="str">
        <f aca="false">IF(OR(FM21="",ЕТАЛОН_ПЛ="",IFERROR(INDEX(БАЗА_ЦІНИ,10,IFERROR(MATCH(ЕТАЛОН_ПЛ,ПЛ_РЯДОК,0),0)),"")=""),"",FM21-IFERROR(INDEX(БАЗА_ЦІНИ,10,IFERROR(MATCH(ЕТАЛОН_ПЛ,ПЛ_РЯДОК,0),0)),""))</f>
        <v/>
      </c>
      <c r="FN52" s="71" t="str">
        <f aca="false">IF(OR(FM21="",ЕТАЛОН_ПЛ="",IFERROR(INDEX(БАЗА_ЦІНИ,10,IFERROR(MATCH(ЕТАЛОН_ПЛ,ПЛ_РЯДОК,0),0)),"")="",IFERROR(INDEX(БАЗА_ЦІНИ,10,IFERROR(MATCH(ЕТАЛОН_ПЛ,ПЛ_РЯДОК,0),0)),"")=0),"",FM21/IFERROR(INDEX(БАЗА_ЦІНИ,10,IFERROR(MATCH(ЕТАЛОН_ПЛ,ПЛ_РЯДОК,0),0)),"")-1)</f>
        <v/>
      </c>
      <c r="FO52" s="70" t="str">
        <f aca="false">IF(OR(FO21="",ЕТАЛОН_ПЛ="",IFERROR(INDEX(БАЗА_ЦІНИ,10,IFERROR(MATCH(ЕТАЛОН_ПЛ,ПЛ_РЯДОК,0),0)),"")=""),"",FO21-IFERROR(INDEX(БАЗА_ЦІНИ,10,IFERROR(MATCH(ЕТАЛОН_ПЛ,ПЛ_РЯДОК,0),0)),""))</f>
        <v/>
      </c>
      <c r="FP52" s="71" t="str">
        <f aca="false">IF(OR(FO21="",ЕТАЛОН_ПЛ="",IFERROR(INDEX(БАЗА_ЦІНИ,10,IFERROR(MATCH(ЕТАЛОН_ПЛ,ПЛ_РЯДОК,0),0)),"")="",IFERROR(INDEX(БАЗА_ЦІНИ,10,IFERROR(MATCH(ЕТАЛОН_ПЛ,ПЛ_РЯДОК,0),0)),"")=0),"",FO21/IFERROR(INDEX(БАЗА_ЦІНИ,10,IFERROR(MATCH(ЕТАЛОН_ПЛ,ПЛ_РЯДОК,0),0)),"")-1)</f>
        <v/>
      </c>
      <c r="FQ52" s="70" t="str">
        <f aca="false">IF(OR(FQ21="",ЕТАЛОН_ПЛ="",IFERROR(INDEX(БАЗА_ЦІНИ,10,IFERROR(MATCH(ЕТАЛОН_ПЛ,ПЛ_РЯДОК,0),0)),"")=""),"",FQ21-IFERROR(INDEX(БАЗА_ЦІНИ,10,IFERROR(MATCH(ЕТАЛОН_ПЛ,ПЛ_РЯДОК,0),0)),""))</f>
        <v/>
      </c>
      <c r="FR52" s="71" t="str">
        <f aca="false">IF(OR(FQ21="",ЕТАЛОН_ПЛ="",IFERROR(INDEX(БАЗА_ЦІНИ,10,IFERROR(MATCH(ЕТАЛОН_ПЛ,ПЛ_РЯДОК,0),0)),"")="",IFERROR(INDEX(БАЗА_ЦІНИ,10,IFERROR(MATCH(ЕТАЛОН_ПЛ,ПЛ_РЯДОК,0),0)),"")=0),"",FQ21/IFERROR(INDEX(БАЗА_ЦІНИ,10,IFERROR(MATCH(ЕТАЛОН_ПЛ,ПЛ_РЯДОК,0),0)),"")-1)</f>
        <v/>
      </c>
      <c r="FS52" s="70" t="str">
        <f aca="false">IF(OR(FS21="",ЕТАЛОН_ПЛ="",IFERROR(INDEX(БАЗА_ЦІНИ,10,IFERROR(MATCH(ЕТАЛОН_ПЛ,ПЛ_РЯДОК,0),0)),"")=""),"",FS21-IFERROR(INDEX(БАЗА_ЦІНИ,10,IFERROR(MATCH(ЕТАЛОН_ПЛ,ПЛ_РЯДОК,0),0)),""))</f>
        <v/>
      </c>
      <c r="FT52" s="71" t="str">
        <f aca="false">IF(OR(FS21="",ЕТАЛОН_ПЛ="",IFERROR(INDEX(БАЗА_ЦІНИ,10,IFERROR(MATCH(ЕТАЛОН_ПЛ,ПЛ_РЯДОК,0),0)),"")="",IFERROR(INDEX(БАЗА_ЦІНИ,10,IFERROR(MATCH(ЕТАЛОН_ПЛ,ПЛ_РЯДОК,0),0)),"")=0),"",FS21/IFERROR(INDEX(БАЗА_ЦІНИ,10,IFERROR(MATCH(ЕТАЛОН_ПЛ,ПЛ_РЯДОК,0),0)),"")-1)</f>
        <v/>
      </c>
      <c r="FU52" s="70" t="str">
        <f aca="false">IF(OR(FU21="",ЕТАЛОН_ПЛ="",IFERROR(INDEX(БАЗА_ЦІНИ,10,IFERROR(MATCH(ЕТАЛОН_ПЛ,ПЛ_РЯДОК,0),0)),"")=""),"",FU21-IFERROR(INDEX(БАЗА_ЦІНИ,10,IFERROR(MATCH(ЕТАЛОН_ПЛ,ПЛ_РЯДОК,0),0)),""))</f>
        <v/>
      </c>
      <c r="FV52" s="71" t="str">
        <f aca="false">IF(OR(FU21="",ЕТАЛОН_ПЛ="",IFERROR(INDEX(БАЗА_ЦІНИ,10,IFERROR(MATCH(ЕТАЛОН_ПЛ,ПЛ_РЯДОК,0),0)),"")="",IFERROR(INDEX(БАЗА_ЦІНИ,10,IFERROR(MATCH(ЕТАЛОН_ПЛ,ПЛ_РЯДОК,0),0)),"")=0),"",FU21/IFERROR(INDEX(БАЗА_ЦІНИ,10,IFERROR(MATCH(ЕТАЛОН_ПЛ,ПЛ_РЯДОК,0),0)),"")-1)</f>
        <v/>
      </c>
      <c r="FW52" s="70" t="str">
        <f aca="false">IF(OR(FW21="",ЕТАЛОН_ПЛ="",IFERROR(INDEX(БАЗА_ЦІНИ,10,IFERROR(MATCH(ЕТАЛОН_ПЛ,ПЛ_РЯДОК,0),0)),"")=""),"",FW21-IFERROR(INDEX(БАЗА_ЦІНИ,10,IFERROR(MATCH(ЕТАЛОН_ПЛ,ПЛ_РЯДОК,0),0)),""))</f>
        <v/>
      </c>
      <c r="FX52" s="71" t="str">
        <f aca="false">IF(OR(FW21="",ЕТАЛОН_ПЛ="",IFERROR(INDEX(БАЗА_ЦІНИ,10,IFERROR(MATCH(ЕТАЛОН_ПЛ,ПЛ_РЯДОК,0),0)),"")="",IFERROR(INDEX(БАЗА_ЦІНИ,10,IFERROR(MATCH(ЕТАЛОН_ПЛ,ПЛ_РЯДОК,0),0)),"")=0),"",FW21/IFERROR(INDEX(БАЗА_ЦІНИ,10,IFERROR(MATCH(ЕТАЛОН_ПЛ,ПЛ_РЯДОК,0),0)),"")-1)</f>
        <v/>
      </c>
      <c r="FY52" s="70" t="str">
        <f aca="false">IF(OR(FY21="",ЕТАЛОН_ПЛ="",IFERROR(INDEX(БАЗА_ЦІНИ,10,IFERROR(MATCH(ЕТАЛОН_ПЛ,ПЛ_РЯДОК,0),0)),"")=""),"",FY21-IFERROR(INDEX(БАЗА_ЦІНИ,10,IFERROR(MATCH(ЕТАЛОН_ПЛ,ПЛ_РЯДОК,0),0)),""))</f>
        <v/>
      </c>
      <c r="FZ52" s="71" t="str">
        <f aca="false">IF(OR(FY21="",ЕТАЛОН_ПЛ="",IFERROR(INDEX(БАЗА_ЦІНИ,10,IFERROR(MATCH(ЕТАЛОН_ПЛ,ПЛ_РЯДОК,0),0)),"")="",IFERROR(INDEX(БАЗА_ЦІНИ,10,IFERROR(MATCH(ЕТАЛОН_ПЛ,ПЛ_РЯДОК,0),0)),"")=0),"",FY21/IFERROR(INDEX(БАЗА_ЦІНИ,10,IFERROR(MATCH(ЕТАЛОН_ПЛ,ПЛ_РЯДОК,0),0)),"")-1)</f>
        <v/>
      </c>
      <c r="GA52" s="70" t="str">
        <f aca="false">IF(OR(GA21="",ЕТАЛОН_ПЛ="",IFERROR(INDEX(БАЗА_ЦІНИ,10,IFERROR(MATCH(ЕТАЛОН_ПЛ,ПЛ_РЯДОК,0),0)),"")=""),"",GA21-IFERROR(INDEX(БАЗА_ЦІНИ,10,IFERROR(MATCH(ЕТАЛОН_ПЛ,ПЛ_РЯДОК,0),0)),""))</f>
        <v/>
      </c>
      <c r="GB52" s="71" t="str">
        <f aca="false">IF(OR(GA21="",ЕТАЛОН_ПЛ="",IFERROR(INDEX(БАЗА_ЦІНИ,10,IFERROR(MATCH(ЕТАЛОН_ПЛ,ПЛ_РЯДОК,0),0)),"")="",IFERROR(INDEX(БАЗА_ЦІНИ,10,IFERROR(MATCH(ЕТАЛОН_ПЛ,ПЛ_РЯДОК,0),0)),"")=0),"",GA21/IFERROR(INDEX(БАЗА_ЦІНИ,10,IFERROR(MATCH(ЕТАЛОН_ПЛ,ПЛ_РЯДОК,0),0)),"")-1)</f>
        <v/>
      </c>
      <c r="GC52" s="70" t="str">
        <f aca="false">IF(OR(GC21="",ЕТАЛОН_ПЛ="",IFERROR(INDEX(БАЗА_ЦІНИ,10,IFERROR(MATCH(ЕТАЛОН_ПЛ,ПЛ_РЯДОК,0),0)),"")=""),"",GC21-IFERROR(INDEX(БАЗА_ЦІНИ,10,IFERROR(MATCH(ЕТАЛОН_ПЛ,ПЛ_РЯДОК,0),0)),""))</f>
        <v/>
      </c>
      <c r="GD52" s="71" t="str">
        <f aca="false">IF(OR(GC21="",ЕТАЛОН_ПЛ="",IFERROR(INDEX(БАЗА_ЦІНИ,10,IFERROR(MATCH(ЕТАЛОН_ПЛ,ПЛ_РЯДОК,0),0)),"")="",IFERROR(INDEX(БАЗА_ЦІНИ,10,IFERROR(MATCH(ЕТАЛОН_ПЛ,ПЛ_РЯДОК,0),0)),"")=0),"",GC21/IFERROR(INDEX(БАЗА_ЦІНИ,10,IFERROR(MATCH(ЕТАЛОН_ПЛ,ПЛ_РЯДОК,0),0)),"")-1)</f>
        <v/>
      </c>
      <c r="GE52" s="70" t="str">
        <f aca="false">IF(OR(GE21="",ЕТАЛОН_ПЛ="",IFERROR(INDEX(БАЗА_ЦІНИ,10,IFERROR(MATCH(ЕТАЛОН_ПЛ,ПЛ_РЯДОК,0),0)),"")=""),"",GE21-IFERROR(INDEX(БАЗА_ЦІНИ,10,IFERROR(MATCH(ЕТАЛОН_ПЛ,ПЛ_РЯДОК,0),0)),""))</f>
        <v/>
      </c>
      <c r="GF52" s="71" t="str">
        <f aca="false">IF(OR(GE21="",ЕТАЛОН_ПЛ="",IFERROR(INDEX(БАЗА_ЦІНИ,10,IFERROR(MATCH(ЕТАЛОН_ПЛ,ПЛ_РЯДОК,0),0)),"")="",IFERROR(INDEX(БАЗА_ЦІНИ,10,IFERROR(MATCH(ЕТАЛОН_ПЛ,ПЛ_РЯДОК,0),0)),"")=0),"",GE21/IFERROR(INDEX(БАЗА_ЦІНИ,10,IFERROR(MATCH(ЕТАЛОН_ПЛ,ПЛ_РЯДОК,0),0)),"")-1)</f>
        <v/>
      </c>
      <c r="GG52" s="70" t="str">
        <f aca="false">IF(OR(GG21="",ЕТАЛОН_ПЛ="",IFERROR(INDEX(БАЗА_ЦІНИ,10,IFERROR(MATCH(ЕТАЛОН_ПЛ,ПЛ_РЯДОК,0),0)),"")=""),"",GG21-IFERROR(INDEX(БАЗА_ЦІНИ,10,IFERROR(MATCH(ЕТАЛОН_ПЛ,ПЛ_РЯДОК,0),0)),""))</f>
        <v/>
      </c>
      <c r="GH52" s="71" t="str">
        <f aca="false">IF(OR(GG21="",ЕТАЛОН_ПЛ="",IFERROR(INDEX(БАЗА_ЦІНИ,10,IFERROR(MATCH(ЕТАЛОН_ПЛ,ПЛ_РЯДОК,0),0)),"")="",IFERROR(INDEX(БАЗА_ЦІНИ,10,IFERROR(MATCH(ЕТАЛОН_ПЛ,ПЛ_РЯДОК,0),0)),"")=0),"",GG21/IFERROR(INDEX(БАЗА_ЦІНИ,10,IFERROR(MATCH(ЕТАЛОН_ПЛ,ПЛ_РЯДОК,0),0)),"")-1)</f>
        <v/>
      </c>
      <c r="GI52" s="70" t="str">
        <f aca="false">IF(OR(GI21="",ЕТАЛОН_ПЛ="",IFERROR(INDEX(БАЗА_ЦІНИ,10,IFERROR(MATCH(ЕТАЛОН_ПЛ,ПЛ_РЯДОК,0),0)),"")=""),"",GI21-IFERROR(INDEX(БАЗА_ЦІНИ,10,IFERROR(MATCH(ЕТАЛОН_ПЛ,ПЛ_РЯДОК,0),0)),""))</f>
        <v/>
      </c>
      <c r="GJ52" s="71" t="str">
        <f aca="false">IF(OR(GI21="",ЕТАЛОН_ПЛ="",IFERROR(INDEX(БАЗА_ЦІНИ,10,IFERROR(MATCH(ЕТАЛОН_ПЛ,ПЛ_РЯДОК,0),0)),"")="",IFERROR(INDEX(БАЗА_ЦІНИ,10,IFERROR(MATCH(ЕТАЛОН_ПЛ,ПЛ_РЯДОК,0),0)),"")=0),"",GI21/IFERROR(INDEX(БАЗА_ЦІНИ,10,IFERROR(MATCH(ЕТАЛОН_ПЛ,ПЛ_РЯДОК,0),0)),"")-1)</f>
        <v/>
      </c>
      <c r="GK52" s="70" t="str">
        <f aca="false">IF(OR(GK21="",ЕТАЛОН_ПЛ="",IFERROR(INDEX(БАЗА_ЦІНИ,10,IFERROR(MATCH(ЕТАЛОН_ПЛ,ПЛ_РЯДОК,0),0)),"")=""),"",GK21-IFERROR(INDEX(БАЗА_ЦІНИ,10,IFERROR(MATCH(ЕТАЛОН_ПЛ,ПЛ_РЯДОК,0),0)),""))</f>
        <v/>
      </c>
      <c r="GL52" s="71" t="str">
        <f aca="false">IF(OR(GK21="",ЕТАЛОН_ПЛ="",IFERROR(INDEX(БАЗА_ЦІНИ,10,IFERROR(MATCH(ЕТАЛОН_ПЛ,ПЛ_РЯДОК,0),0)),"")="",IFERROR(INDEX(БАЗА_ЦІНИ,10,IFERROR(MATCH(ЕТАЛОН_ПЛ,ПЛ_РЯДОК,0),0)),"")=0),"",GK21/IFERROR(INDEX(БАЗА_ЦІНИ,10,IFERROR(MATCH(ЕТАЛОН_ПЛ,ПЛ_РЯДОК,0),0)),"")-1)</f>
        <v/>
      </c>
      <c r="GM52" s="70" t="str">
        <f aca="false">IF(OR(GM21="",ЕТАЛОН_ПЛ="",IFERROR(INDEX(БАЗА_ЦІНИ,10,IFERROR(MATCH(ЕТАЛОН_ПЛ,ПЛ_РЯДОК,0),0)),"")=""),"",GM21-IFERROR(INDEX(БАЗА_ЦІНИ,10,IFERROR(MATCH(ЕТАЛОН_ПЛ,ПЛ_РЯДОК,0),0)),""))</f>
        <v/>
      </c>
      <c r="GN52" s="71" t="str">
        <f aca="false">IF(OR(GM21="",ЕТАЛОН_ПЛ="",IFERROR(INDEX(БАЗА_ЦІНИ,10,IFERROR(MATCH(ЕТАЛОН_ПЛ,ПЛ_РЯДОК,0),0)),"")="",IFERROR(INDEX(БАЗА_ЦІНИ,10,IFERROR(MATCH(ЕТАЛОН_ПЛ,ПЛ_РЯДОК,0),0)),"")=0),"",GM21/IFERROR(INDEX(БАЗА_ЦІНИ,10,IFERROR(MATCH(ЕТАЛОН_ПЛ,ПЛ_РЯДОК,0),0)),"")-1)</f>
        <v/>
      </c>
      <c r="GO52" s="70" t="str">
        <f aca="false">IF(OR(GO21="",ЕТАЛОН_ПЛ="",IFERROR(INDEX(БАЗА_ЦІНИ,10,IFERROR(MATCH(ЕТАЛОН_ПЛ,ПЛ_РЯДОК,0),0)),"")=""),"",GO21-IFERROR(INDEX(БАЗА_ЦІНИ,10,IFERROR(MATCH(ЕТАЛОН_ПЛ,ПЛ_РЯДОК,0),0)),""))</f>
        <v/>
      </c>
      <c r="GP52" s="71" t="str">
        <f aca="false">IF(OR(GO21="",ЕТАЛОН_ПЛ="",IFERROR(INDEX(БАЗА_ЦІНИ,10,IFERROR(MATCH(ЕТАЛОН_ПЛ,ПЛ_РЯДОК,0),0)),"")="",IFERROR(INDEX(БАЗА_ЦІНИ,10,IFERROR(MATCH(ЕТАЛОН_ПЛ,ПЛ_РЯДОК,0),0)),"")=0),"",GO21/IFERROR(INDEX(БАЗА_ЦІНИ,10,IFERROR(MATCH(ЕТАЛОН_ПЛ,ПЛ_РЯДОК,0),0)),"")-1)</f>
        <v/>
      </c>
      <c r="GQ52" s="70" t="str">
        <f aca="false">IF(OR(GQ21="",ЕТАЛОН_ПЛ="",IFERROR(INDEX(БАЗА_ЦІНИ,10,IFERROR(MATCH(ЕТАЛОН_ПЛ,ПЛ_РЯДОК,0),0)),"")=""),"",GQ21-IFERROR(INDEX(БАЗА_ЦІНИ,10,IFERROR(MATCH(ЕТАЛОН_ПЛ,ПЛ_РЯДОК,0),0)),""))</f>
        <v/>
      </c>
      <c r="GR52" s="71" t="str">
        <f aca="false">IF(OR(GQ21="",ЕТАЛОН_ПЛ="",IFERROR(INDEX(БАЗА_ЦІНИ,10,IFERROR(MATCH(ЕТАЛОН_ПЛ,ПЛ_РЯДОК,0),0)),"")="",IFERROR(INDEX(БАЗА_ЦІНИ,10,IFERROR(MATCH(ЕТАЛОН_ПЛ,ПЛ_РЯДОК,0),0)),"")=0),"",GQ21/IFERROR(INDEX(БАЗА_ЦІНИ,10,IFERROR(MATCH(ЕТАЛОН_ПЛ,ПЛ_РЯДОК,0),0)),"")-1)</f>
        <v/>
      </c>
      <c r="GS52" s="70" t="str">
        <f aca="false">IF(OR(GS21="",ЕТАЛОН_ПЛ="",IFERROR(INDEX(БАЗА_ЦІНИ,10,IFERROR(MATCH(ЕТАЛОН_ПЛ,ПЛ_РЯДОК,0),0)),"")=""),"",GS21-IFERROR(INDEX(БАЗА_ЦІНИ,10,IFERROR(MATCH(ЕТАЛОН_ПЛ,ПЛ_РЯДОК,0),0)),""))</f>
        <v/>
      </c>
      <c r="GT52" s="71" t="str">
        <f aca="false">IF(OR(GS21="",ЕТАЛОН_ПЛ="",IFERROR(INDEX(БАЗА_ЦІНИ,10,IFERROR(MATCH(ЕТАЛОН_ПЛ,ПЛ_РЯДОК,0),0)),"")="",IFERROR(INDEX(БАЗА_ЦІНИ,10,IFERROR(MATCH(ЕТАЛОН_ПЛ,ПЛ_РЯДОК,0),0)),"")=0),"",GS21/IFERROR(INDEX(БАЗА_ЦІНИ,10,IFERROR(MATCH(ЕТАЛОН_ПЛ,ПЛ_РЯДОК,0),0)),"")-1)</f>
        <v/>
      </c>
      <c r="GU52" s="70" t="str">
        <f aca="false">IF(OR(GU21="",ЕТАЛОН_ПЛ="",IFERROR(INDEX(БАЗА_ЦІНИ,10,IFERROR(MATCH(ЕТАЛОН_ПЛ,ПЛ_РЯДОК,0),0)),"")=""),"",GU21-IFERROR(INDEX(БАЗА_ЦІНИ,10,IFERROR(MATCH(ЕТАЛОН_ПЛ,ПЛ_РЯДОК,0),0)),""))</f>
        <v/>
      </c>
      <c r="GV52" s="71" t="str">
        <f aca="false">IF(OR(GU21="",ЕТАЛОН_ПЛ="",IFERROR(INDEX(БАЗА_ЦІНИ,10,IFERROR(MATCH(ЕТАЛОН_ПЛ,ПЛ_РЯДОК,0),0)),"")="",IFERROR(INDEX(БАЗА_ЦІНИ,10,IFERROR(MATCH(ЕТАЛОН_ПЛ,ПЛ_РЯДОК,0),0)),"")=0),"",GU21/IFERROR(INDEX(БАЗА_ЦІНИ,10,IFERROR(MATCH(ЕТАЛОН_ПЛ,ПЛ_РЯДОК,0),0)),"")-1)</f>
        <v/>
      </c>
      <c r="GW52" s="70" t="str">
        <f aca="false">IF(OR(GW21="",ЕТАЛОН_ПЛ="",IFERROR(INDEX(БАЗА_ЦІНИ,10,IFERROR(MATCH(ЕТАЛОН_ПЛ,ПЛ_РЯДОК,0),0)),"")=""),"",GW21-IFERROR(INDEX(БАЗА_ЦІНИ,10,IFERROR(MATCH(ЕТАЛОН_ПЛ,ПЛ_РЯДОК,0),0)),""))</f>
        <v/>
      </c>
      <c r="GX52" s="71" t="str">
        <f aca="false">IF(OR(GW21="",ЕТАЛОН_ПЛ="",IFERROR(INDEX(БАЗА_ЦІНИ,10,IFERROR(MATCH(ЕТАЛОН_ПЛ,ПЛ_РЯДОК,0),0)),"")="",IFERROR(INDEX(БАЗА_ЦІНИ,10,IFERROR(MATCH(ЕТАЛОН_ПЛ,ПЛ_РЯДОК,0),0)),"")=0),"",GW21/IFERROR(INDEX(БАЗА_ЦІНИ,10,IFERROR(MATCH(ЕТАЛОН_ПЛ,ПЛ_РЯДОК,0),0)),"")-1)</f>
        <v/>
      </c>
      <c r="GY52" s="70" t="str">
        <f aca="false">IF(OR(GY21="",ЕТАЛОН_ПЛ="",IFERROR(INDEX(БАЗА_ЦІНИ,10,IFERROR(MATCH(ЕТАЛОН_ПЛ,ПЛ_РЯДОК,0),0)),"")=""),"",GY21-IFERROR(INDEX(БАЗА_ЦІНИ,10,IFERROR(MATCH(ЕТАЛОН_ПЛ,ПЛ_РЯДОК,0),0)),""))</f>
        <v/>
      </c>
      <c r="GZ52" s="71" t="str">
        <f aca="false">IF(OR(GY21="",ЕТАЛОН_ПЛ="",IFERROR(INDEX(БАЗА_ЦІНИ,10,IFERROR(MATCH(ЕТАЛОН_ПЛ,ПЛ_РЯДОК,0),0)),"")="",IFERROR(INDEX(БАЗА_ЦІНИ,10,IFERROR(MATCH(ЕТАЛОН_ПЛ,ПЛ_РЯДОК,0),0)),"")=0),"",GY21/IFERROR(INDEX(БАЗА_ЦІНИ,10,IFERROR(MATCH(ЕТАЛОН_ПЛ,ПЛ_РЯДОК,0),0)),"")-1)</f>
        <v/>
      </c>
    </row>
    <row r="53" customFormat="false" ht="15" hidden="false" customHeight="false" outlineLevel="0" collapsed="false">
      <c r="A53" s="54"/>
      <c r="B53" s="55"/>
      <c r="C53" s="55"/>
      <c r="D53" s="56"/>
      <c r="E53" s="57"/>
      <c r="H53" s="16" t="str">
        <f aca="false">IF('Довідник категорій'!B15="","",'Довідник категорій'!B15)</f>
        <v/>
      </c>
      <c r="I53" s="70" t="str">
        <f aca="false">IF(OR(I22="",ЕТАЛОН_ПЛ="",IFERROR(INDEX(БАЗА_ЦІНИ,11,IFERROR(MATCH(ЕТАЛОН_ПЛ,ПЛ_РЯДОК,0),0)),"")=""),"",I22-IFERROR(INDEX(БАЗА_ЦІНИ,11,IFERROR(MATCH(ЕТАЛОН_ПЛ,ПЛ_РЯДОК,0),0)),""))</f>
        <v/>
      </c>
      <c r="J53" s="71" t="str">
        <f aca="false">IF(OR(I22="",ЕТАЛОН_ПЛ="",IFERROR(INDEX(БАЗА_ЦІНИ,11,IFERROR(MATCH(ЕТАЛОН_ПЛ,ПЛ_РЯДОК,0),0)),"")="",IFERROR(INDEX(БАЗА_ЦІНИ,11,IFERROR(MATCH(ЕТАЛОН_ПЛ,ПЛ_РЯДОК,0),0)),"")=0),"",I22/IFERROR(INDEX(БАЗА_ЦІНИ,11,IFERROR(MATCH(ЕТАЛОН_ПЛ,ПЛ_РЯДОК,0),0)),"")-1)</f>
        <v/>
      </c>
      <c r="K53" s="70" t="str">
        <f aca="false">IF(OR(K22="",ЕТАЛОН_ПЛ="",IFERROR(INDEX(БАЗА_ЦІНИ,11,IFERROR(MATCH(ЕТАЛОН_ПЛ,ПЛ_РЯДОК,0),0)),"")=""),"",K22-IFERROR(INDEX(БАЗА_ЦІНИ,11,IFERROR(MATCH(ЕТАЛОН_ПЛ,ПЛ_РЯДОК,0),0)),""))</f>
        <v/>
      </c>
      <c r="L53" s="71" t="str">
        <f aca="false">IF(OR(K22="",ЕТАЛОН_ПЛ="",IFERROR(INDEX(БАЗА_ЦІНИ,11,IFERROR(MATCH(ЕТАЛОН_ПЛ,ПЛ_РЯДОК,0),0)),"")="",IFERROR(INDEX(БАЗА_ЦІНИ,11,IFERROR(MATCH(ЕТАЛОН_ПЛ,ПЛ_РЯДОК,0),0)),"")=0),"",K22/IFERROR(INDEX(БАЗА_ЦІНИ,11,IFERROR(MATCH(ЕТАЛОН_ПЛ,ПЛ_РЯДОК,0),0)),"")-1)</f>
        <v/>
      </c>
      <c r="M53" s="70" t="str">
        <f aca="false">IF(OR(M22="",ЕТАЛОН_ПЛ="",IFERROR(INDEX(БАЗА_ЦІНИ,11,IFERROR(MATCH(ЕТАЛОН_ПЛ,ПЛ_РЯДОК,0),0)),"")=""),"",M22-IFERROR(INDEX(БАЗА_ЦІНИ,11,IFERROR(MATCH(ЕТАЛОН_ПЛ,ПЛ_РЯДОК,0),0)),""))</f>
        <v/>
      </c>
      <c r="N53" s="71" t="str">
        <f aca="false">IF(OR(M22="",ЕТАЛОН_ПЛ="",IFERROR(INDEX(БАЗА_ЦІНИ,11,IFERROR(MATCH(ЕТАЛОН_ПЛ,ПЛ_РЯДОК,0),0)),"")="",IFERROR(INDEX(БАЗА_ЦІНИ,11,IFERROR(MATCH(ЕТАЛОН_ПЛ,ПЛ_РЯДОК,0),0)),"")=0),"",M22/IFERROR(INDEX(БАЗА_ЦІНИ,11,IFERROR(MATCH(ЕТАЛОН_ПЛ,ПЛ_РЯДОК,0),0)),"")-1)</f>
        <v/>
      </c>
      <c r="O53" s="70" t="str">
        <f aca="false">IF(OR(O22="",ЕТАЛОН_ПЛ="",IFERROR(INDEX(БАЗА_ЦІНИ,11,IFERROR(MATCH(ЕТАЛОН_ПЛ,ПЛ_РЯДОК,0),0)),"")=""),"",O22-IFERROR(INDEX(БАЗА_ЦІНИ,11,IFERROR(MATCH(ЕТАЛОН_ПЛ,ПЛ_РЯДОК,0),0)),""))</f>
        <v/>
      </c>
      <c r="P53" s="71" t="str">
        <f aca="false">IF(OR(O22="",ЕТАЛОН_ПЛ="",IFERROR(INDEX(БАЗА_ЦІНИ,11,IFERROR(MATCH(ЕТАЛОН_ПЛ,ПЛ_РЯДОК,0),0)),"")="",IFERROR(INDEX(БАЗА_ЦІНИ,11,IFERROR(MATCH(ЕТАЛОН_ПЛ,ПЛ_РЯДОК,0),0)),"")=0),"",O22/IFERROR(INDEX(БАЗА_ЦІНИ,11,IFERROR(MATCH(ЕТАЛОН_ПЛ,ПЛ_РЯДОК,0),0)),"")-1)</f>
        <v/>
      </c>
      <c r="Q53" s="70" t="str">
        <f aca="false">IF(OR(Q22="",ЕТАЛОН_ПЛ="",IFERROR(INDEX(БАЗА_ЦІНИ,11,IFERROR(MATCH(ЕТАЛОН_ПЛ,ПЛ_РЯДОК,0),0)),"")=""),"",Q22-IFERROR(INDEX(БАЗА_ЦІНИ,11,IFERROR(MATCH(ЕТАЛОН_ПЛ,ПЛ_РЯДОК,0),0)),""))</f>
        <v/>
      </c>
      <c r="R53" s="71" t="str">
        <f aca="false">IF(OR(Q22="",ЕТАЛОН_ПЛ="",IFERROR(INDEX(БАЗА_ЦІНИ,11,IFERROR(MATCH(ЕТАЛОН_ПЛ,ПЛ_РЯДОК,0),0)),"")="",IFERROR(INDEX(БАЗА_ЦІНИ,11,IFERROR(MATCH(ЕТАЛОН_ПЛ,ПЛ_РЯДОК,0),0)),"")=0),"",Q22/IFERROR(INDEX(БАЗА_ЦІНИ,11,IFERROR(MATCH(ЕТАЛОН_ПЛ,ПЛ_РЯДОК,0),0)),"")-1)</f>
        <v/>
      </c>
      <c r="S53" s="70" t="str">
        <f aca="false">IF(OR(S22="",ЕТАЛОН_ПЛ="",IFERROR(INDEX(БАЗА_ЦІНИ,11,IFERROR(MATCH(ЕТАЛОН_ПЛ,ПЛ_РЯДОК,0),0)),"")=""),"",S22-IFERROR(INDEX(БАЗА_ЦІНИ,11,IFERROR(MATCH(ЕТАЛОН_ПЛ,ПЛ_РЯДОК,0),0)),""))</f>
        <v/>
      </c>
      <c r="T53" s="71" t="str">
        <f aca="false">IF(OR(S22="",ЕТАЛОН_ПЛ="",IFERROR(INDEX(БАЗА_ЦІНИ,11,IFERROR(MATCH(ЕТАЛОН_ПЛ,ПЛ_РЯДОК,0),0)),"")="",IFERROR(INDEX(БАЗА_ЦІНИ,11,IFERROR(MATCH(ЕТАЛОН_ПЛ,ПЛ_РЯДОК,0),0)),"")=0),"",S22/IFERROR(INDEX(БАЗА_ЦІНИ,11,IFERROR(MATCH(ЕТАЛОН_ПЛ,ПЛ_РЯДОК,0),0)),"")-1)</f>
        <v/>
      </c>
      <c r="U53" s="70" t="str">
        <f aca="false">IF(OR(U22="",ЕТАЛОН_ПЛ="",IFERROR(INDEX(БАЗА_ЦІНИ,11,IFERROR(MATCH(ЕТАЛОН_ПЛ,ПЛ_РЯДОК,0),0)),"")=""),"",U22-IFERROR(INDEX(БАЗА_ЦІНИ,11,IFERROR(MATCH(ЕТАЛОН_ПЛ,ПЛ_РЯДОК,0),0)),""))</f>
        <v/>
      </c>
      <c r="V53" s="71" t="str">
        <f aca="false">IF(OR(U22="",ЕТАЛОН_ПЛ="",IFERROR(INDEX(БАЗА_ЦІНИ,11,IFERROR(MATCH(ЕТАЛОН_ПЛ,ПЛ_РЯДОК,0),0)),"")="",IFERROR(INDEX(БАЗА_ЦІНИ,11,IFERROR(MATCH(ЕТАЛОН_ПЛ,ПЛ_РЯДОК,0),0)),"")=0),"",U22/IFERROR(INDEX(БАЗА_ЦІНИ,11,IFERROR(MATCH(ЕТАЛОН_ПЛ,ПЛ_РЯДОК,0),0)),"")-1)</f>
        <v/>
      </c>
      <c r="W53" s="70" t="str">
        <f aca="false">IF(OR(W22="",ЕТАЛОН_ПЛ="",IFERROR(INDEX(БАЗА_ЦІНИ,11,IFERROR(MATCH(ЕТАЛОН_ПЛ,ПЛ_РЯДОК,0),0)),"")=""),"",W22-IFERROR(INDEX(БАЗА_ЦІНИ,11,IFERROR(MATCH(ЕТАЛОН_ПЛ,ПЛ_РЯДОК,0),0)),""))</f>
        <v/>
      </c>
      <c r="X53" s="71" t="str">
        <f aca="false">IF(OR(W22="",ЕТАЛОН_ПЛ="",IFERROR(INDEX(БАЗА_ЦІНИ,11,IFERROR(MATCH(ЕТАЛОН_ПЛ,ПЛ_РЯДОК,0),0)),"")="",IFERROR(INDEX(БАЗА_ЦІНИ,11,IFERROR(MATCH(ЕТАЛОН_ПЛ,ПЛ_РЯДОК,0),0)),"")=0),"",W22/IFERROR(INDEX(БАЗА_ЦІНИ,11,IFERROR(MATCH(ЕТАЛОН_ПЛ,ПЛ_РЯДОК,0),0)),"")-1)</f>
        <v/>
      </c>
      <c r="Y53" s="70" t="str">
        <f aca="false">IF(OR(Y22="",ЕТАЛОН_ПЛ="",IFERROR(INDEX(БАЗА_ЦІНИ,11,IFERROR(MATCH(ЕТАЛОН_ПЛ,ПЛ_РЯДОК,0),0)),"")=""),"",Y22-IFERROR(INDEX(БАЗА_ЦІНИ,11,IFERROR(MATCH(ЕТАЛОН_ПЛ,ПЛ_РЯДОК,0),0)),""))</f>
        <v/>
      </c>
      <c r="Z53" s="71" t="str">
        <f aca="false">IF(OR(Y22="",ЕТАЛОН_ПЛ="",IFERROR(INDEX(БАЗА_ЦІНИ,11,IFERROR(MATCH(ЕТАЛОН_ПЛ,ПЛ_РЯДОК,0),0)),"")="",IFERROR(INDEX(БАЗА_ЦІНИ,11,IFERROR(MATCH(ЕТАЛОН_ПЛ,ПЛ_РЯДОК,0),0)),"")=0),"",Y22/IFERROR(INDEX(БАЗА_ЦІНИ,11,IFERROR(MATCH(ЕТАЛОН_ПЛ,ПЛ_РЯДОК,0),0)),"")-1)</f>
        <v/>
      </c>
      <c r="AA53" s="70" t="str">
        <f aca="false">IF(OR(AA22="",ЕТАЛОН_ПЛ="",IFERROR(INDEX(БАЗА_ЦІНИ,11,IFERROR(MATCH(ЕТАЛОН_ПЛ,ПЛ_РЯДОК,0),0)),"")=""),"",AA22-IFERROR(INDEX(БАЗА_ЦІНИ,11,IFERROR(MATCH(ЕТАЛОН_ПЛ,ПЛ_РЯДОК,0),0)),""))</f>
        <v/>
      </c>
      <c r="AB53" s="71" t="str">
        <f aca="false">IF(OR(AA22="",ЕТАЛОН_ПЛ="",IFERROR(INDEX(БАЗА_ЦІНИ,11,IFERROR(MATCH(ЕТАЛОН_ПЛ,ПЛ_РЯДОК,0),0)),"")="",IFERROR(INDEX(БАЗА_ЦІНИ,11,IFERROR(MATCH(ЕТАЛОН_ПЛ,ПЛ_РЯДОК,0),0)),"")=0),"",AA22/IFERROR(INDEX(БАЗА_ЦІНИ,11,IFERROR(MATCH(ЕТАЛОН_ПЛ,ПЛ_РЯДОК,0),0)),"")-1)</f>
        <v/>
      </c>
      <c r="AC53" s="70" t="str">
        <f aca="false">IF(OR(AC22="",ЕТАЛОН_ПЛ="",IFERROR(INDEX(БАЗА_ЦІНИ,11,IFERROR(MATCH(ЕТАЛОН_ПЛ,ПЛ_РЯДОК,0),0)),"")=""),"",AC22-IFERROR(INDEX(БАЗА_ЦІНИ,11,IFERROR(MATCH(ЕТАЛОН_ПЛ,ПЛ_РЯДОК,0),0)),""))</f>
        <v/>
      </c>
      <c r="AD53" s="71" t="str">
        <f aca="false">IF(OR(AC22="",ЕТАЛОН_ПЛ="",IFERROR(INDEX(БАЗА_ЦІНИ,11,IFERROR(MATCH(ЕТАЛОН_ПЛ,ПЛ_РЯДОК,0),0)),"")="",IFERROR(INDEX(БАЗА_ЦІНИ,11,IFERROR(MATCH(ЕТАЛОН_ПЛ,ПЛ_РЯДОК,0),0)),"")=0),"",AC22/IFERROR(INDEX(БАЗА_ЦІНИ,11,IFERROR(MATCH(ЕТАЛОН_ПЛ,ПЛ_РЯДОК,0),0)),"")-1)</f>
        <v/>
      </c>
      <c r="AE53" s="70" t="str">
        <f aca="false">IF(OR(AE22="",ЕТАЛОН_ПЛ="",IFERROR(INDEX(БАЗА_ЦІНИ,11,IFERROR(MATCH(ЕТАЛОН_ПЛ,ПЛ_РЯДОК,0),0)),"")=""),"",AE22-IFERROR(INDEX(БАЗА_ЦІНИ,11,IFERROR(MATCH(ЕТАЛОН_ПЛ,ПЛ_РЯДОК,0),0)),""))</f>
        <v/>
      </c>
      <c r="AF53" s="71" t="str">
        <f aca="false">IF(OR(AE22="",ЕТАЛОН_ПЛ="",IFERROR(INDEX(БАЗА_ЦІНИ,11,IFERROR(MATCH(ЕТАЛОН_ПЛ,ПЛ_РЯДОК,0),0)),"")="",IFERROR(INDEX(БАЗА_ЦІНИ,11,IFERROR(MATCH(ЕТАЛОН_ПЛ,ПЛ_РЯДОК,0),0)),"")=0),"",AE22/IFERROR(INDEX(БАЗА_ЦІНИ,11,IFERROR(MATCH(ЕТАЛОН_ПЛ,ПЛ_РЯДОК,0),0)),"")-1)</f>
        <v/>
      </c>
      <c r="AG53" s="70" t="str">
        <f aca="false">IF(OR(AG22="",ЕТАЛОН_ПЛ="",IFERROR(INDEX(БАЗА_ЦІНИ,11,IFERROR(MATCH(ЕТАЛОН_ПЛ,ПЛ_РЯДОК,0),0)),"")=""),"",AG22-IFERROR(INDEX(БАЗА_ЦІНИ,11,IFERROR(MATCH(ЕТАЛОН_ПЛ,ПЛ_РЯДОК,0),0)),""))</f>
        <v/>
      </c>
      <c r="AH53" s="71" t="str">
        <f aca="false">IF(OR(AG22="",ЕТАЛОН_ПЛ="",IFERROR(INDEX(БАЗА_ЦІНИ,11,IFERROR(MATCH(ЕТАЛОН_ПЛ,ПЛ_РЯДОК,0),0)),"")="",IFERROR(INDEX(БАЗА_ЦІНИ,11,IFERROR(MATCH(ЕТАЛОН_ПЛ,ПЛ_РЯДОК,0),0)),"")=0),"",AG22/IFERROR(INDEX(БАЗА_ЦІНИ,11,IFERROR(MATCH(ЕТАЛОН_ПЛ,ПЛ_РЯДОК,0),0)),"")-1)</f>
        <v/>
      </c>
      <c r="AI53" s="70" t="str">
        <f aca="false">IF(OR(AI22="",ЕТАЛОН_ПЛ="",IFERROR(INDEX(БАЗА_ЦІНИ,11,IFERROR(MATCH(ЕТАЛОН_ПЛ,ПЛ_РЯДОК,0),0)),"")=""),"",AI22-IFERROR(INDEX(БАЗА_ЦІНИ,11,IFERROR(MATCH(ЕТАЛОН_ПЛ,ПЛ_РЯДОК,0),0)),""))</f>
        <v/>
      </c>
      <c r="AJ53" s="71" t="str">
        <f aca="false">IF(OR(AI22="",ЕТАЛОН_ПЛ="",IFERROR(INDEX(БАЗА_ЦІНИ,11,IFERROR(MATCH(ЕТАЛОН_ПЛ,ПЛ_РЯДОК,0),0)),"")="",IFERROR(INDEX(БАЗА_ЦІНИ,11,IFERROR(MATCH(ЕТАЛОН_ПЛ,ПЛ_РЯДОК,0),0)),"")=0),"",AI22/IFERROR(INDEX(БАЗА_ЦІНИ,11,IFERROR(MATCH(ЕТАЛОН_ПЛ,ПЛ_РЯДОК,0),0)),"")-1)</f>
        <v/>
      </c>
      <c r="AK53" s="70" t="str">
        <f aca="false">IF(OR(AK22="",ЕТАЛОН_ПЛ="",IFERROR(INDEX(БАЗА_ЦІНИ,11,IFERROR(MATCH(ЕТАЛОН_ПЛ,ПЛ_РЯДОК,0),0)),"")=""),"",AK22-IFERROR(INDEX(БАЗА_ЦІНИ,11,IFERROR(MATCH(ЕТАЛОН_ПЛ,ПЛ_РЯДОК,0),0)),""))</f>
        <v/>
      </c>
      <c r="AL53" s="71" t="str">
        <f aca="false">IF(OR(AK22="",ЕТАЛОН_ПЛ="",IFERROR(INDEX(БАЗА_ЦІНИ,11,IFERROR(MATCH(ЕТАЛОН_ПЛ,ПЛ_РЯДОК,0),0)),"")="",IFERROR(INDEX(БАЗА_ЦІНИ,11,IFERROR(MATCH(ЕТАЛОН_ПЛ,ПЛ_РЯДОК,0),0)),"")=0),"",AK22/IFERROR(INDEX(БАЗА_ЦІНИ,11,IFERROR(MATCH(ЕТАЛОН_ПЛ,ПЛ_РЯДОК,0),0)),"")-1)</f>
        <v/>
      </c>
      <c r="AM53" s="70" t="str">
        <f aca="false">IF(OR(AM22="",ЕТАЛОН_ПЛ="",IFERROR(INDEX(БАЗА_ЦІНИ,11,IFERROR(MATCH(ЕТАЛОН_ПЛ,ПЛ_РЯДОК,0),0)),"")=""),"",AM22-IFERROR(INDEX(БАЗА_ЦІНИ,11,IFERROR(MATCH(ЕТАЛОН_ПЛ,ПЛ_РЯДОК,0),0)),""))</f>
        <v/>
      </c>
      <c r="AN53" s="71" t="str">
        <f aca="false">IF(OR(AM22="",ЕТАЛОН_ПЛ="",IFERROR(INDEX(БАЗА_ЦІНИ,11,IFERROR(MATCH(ЕТАЛОН_ПЛ,ПЛ_РЯДОК,0),0)),"")="",IFERROR(INDEX(БАЗА_ЦІНИ,11,IFERROR(MATCH(ЕТАЛОН_ПЛ,ПЛ_РЯДОК,0),0)),"")=0),"",AM22/IFERROR(INDEX(БАЗА_ЦІНИ,11,IFERROR(MATCH(ЕТАЛОН_ПЛ,ПЛ_РЯДОК,0),0)),"")-1)</f>
        <v/>
      </c>
      <c r="AO53" s="70" t="str">
        <f aca="false">IF(OR(AO22="",ЕТАЛОН_ПЛ="",IFERROR(INDEX(БАЗА_ЦІНИ,11,IFERROR(MATCH(ЕТАЛОН_ПЛ,ПЛ_РЯДОК,0),0)),"")=""),"",AO22-IFERROR(INDEX(БАЗА_ЦІНИ,11,IFERROR(MATCH(ЕТАЛОН_ПЛ,ПЛ_РЯДОК,0),0)),""))</f>
        <v/>
      </c>
      <c r="AP53" s="71" t="str">
        <f aca="false">IF(OR(AO22="",ЕТАЛОН_ПЛ="",IFERROR(INDEX(БАЗА_ЦІНИ,11,IFERROR(MATCH(ЕТАЛОН_ПЛ,ПЛ_РЯДОК,0),0)),"")="",IFERROR(INDEX(БАЗА_ЦІНИ,11,IFERROR(MATCH(ЕТАЛОН_ПЛ,ПЛ_РЯДОК,0),0)),"")=0),"",AO22/IFERROR(INDEX(БАЗА_ЦІНИ,11,IFERROR(MATCH(ЕТАЛОН_ПЛ,ПЛ_РЯДОК,0),0)),"")-1)</f>
        <v/>
      </c>
      <c r="AQ53" s="70" t="str">
        <f aca="false">IF(OR(AQ22="",ЕТАЛОН_ПЛ="",IFERROR(INDEX(БАЗА_ЦІНИ,11,IFERROR(MATCH(ЕТАЛОН_ПЛ,ПЛ_РЯДОК,0),0)),"")=""),"",AQ22-IFERROR(INDEX(БАЗА_ЦІНИ,11,IFERROR(MATCH(ЕТАЛОН_ПЛ,ПЛ_РЯДОК,0),0)),""))</f>
        <v/>
      </c>
      <c r="AR53" s="71" t="str">
        <f aca="false">IF(OR(AQ22="",ЕТАЛОН_ПЛ="",IFERROR(INDEX(БАЗА_ЦІНИ,11,IFERROR(MATCH(ЕТАЛОН_ПЛ,ПЛ_РЯДОК,0),0)),"")="",IFERROR(INDEX(БАЗА_ЦІНИ,11,IFERROR(MATCH(ЕТАЛОН_ПЛ,ПЛ_РЯДОК,0),0)),"")=0),"",AQ22/IFERROR(INDEX(БАЗА_ЦІНИ,11,IFERROR(MATCH(ЕТАЛОН_ПЛ,ПЛ_РЯДОК,0),0)),"")-1)</f>
        <v/>
      </c>
      <c r="AS53" s="70" t="str">
        <f aca="false">IF(OR(AS22="",ЕТАЛОН_ПЛ="",IFERROR(INDEX(БАЗА_ЦІНИ,11,IFERROR(MATCH(ЕТАЛОН_ПЛ,ПЛ_РЯДОК,0),0)),"")=""),"",AS22-IFERROR(INDEX(БАЗА_ЦІНИ,11,IFERROR(MATCH(ЕТАЛОН_ПЛ,ПЛ_РЯДОК,0),0)),""))</f>
        <v/>
      </c>
      <c r="AT53" s="71" t="str">
        <f aca="false">IF(OR(AS22="",ЕТАЛОН_ПЛ="",IFERROR(INDEX(БАЗА_ЦІНИ,11,IFERROR(MATCH(ЕТАЛОН_ПЛ,ПЛ_РЯДОК,0),0)),"")="",IFERROR(INDEX(БАЗА_ЦІНИ,11,IFERROR(MATCH(ЕТАЛОН_ПЛ,ПЛ_РЯДОК,0),0)),"")=0),"",AS22/IFERROR(INDEX(БАЗА_ЦІНИ,11,IFERROR(MATCH(ЕТАЛОН_ПЛ,ПЛ_РЯДОК,0),0)),"")-1)</f>
        <v/>
      </c>
      <c r="AU53" s="70" t="str">
        <f aca="false">IF(OR(AU22="",ЕТАЛОН_ПЛ="",IFERROR(INDEX(БАЗА_ЦІНИ,11,IFERROR(MATCH(ЕТАЛОН_ПЛ,ПЛ_РЯДОК,0),0)),"")=""),"",AU22-IFERROR(INDEX(БАЗА_ЦІНИ,11,IFERROR(MATCH(ЕТАЛОН_ПЛ,ПЛ_РЯДОК,0),0)),""))</f>
        <v/>
      </c>
      <c r="AV53" s="71" t="str">
        <f aca="false">IF(OR(AU22="",ЕТАЛОН_ПЛ="",IFERROR(INDEX(БАЗА_ЦІНИ,11,IFERROR(MATCH(ЕТАЛОН_ПЛ,ПЛ_РЯДОК,0),0)),"")="",IFERROR(INDEX(БАЗА_ЦІНИ,11,IFERROR(MATCH(ЕТАЛОН_ПЛ,ПЛ_РЯДОК,0),0)),"")=0),"",AU22/IFERROR(INDEX(БАЗА_ЦІНИ,11,IFERROR(MATCH(ЕТАЛОН_ПЛ,ПЛ_РЯДОК,0),0)),"")-1)</f>
        <v/>
      </c>
      <c r="AW53" s="70" t="str">
        <f aca="false">IF(OR(AW22="",ЕТАЛОН_ПЛ="",IFERROR(INDEX(БАЗА_ЦІНИ,11,IFERROR(MATCH(ЕТАЛОН_ПЛ,ПЛ_РЯДОК,0),0)),"")=""),"",AW22-IFERROR(INDEX(БАЗА_ЦІНИ,11,IFERROR(MATCH(ЕТАЛОН_ПЛ,ПЛ_РЯДОК,0),0)),""))</f>
        <v/>
      </c>
      <c r="AX53" s="71" t="str">
        <f aca="false">IF(OR(AW22="",ЕТАЛОН_ПЛ="",IFERROR(INDEX(БАЗА_ЦІНИ,11,IFERROR(MATCH(ЕТАЛОН_ПЛ,ПЛ_РЯДОК,0),0)),"")="",IFERROR(INDEX(БАЗА_ЦІНИ,11,IFERROR(MATCH(ЕТАЛОН_ПЛ,ПЛ_РЯДОК,0),0)),"")=0),"",AW22/IFERROR(INDEX(БАЗА_ЦІНИ,11,IFERROR(MATCH(ЕТАЛОН_ПЛ,ПЛ_РЯДОК,0),0)),"")-1)</f>
        <v/>
      </c>
      <c r="AY53" s="70" t="str">
        <f aca="false">IF(OR(AY22="",ЕТАЛОН_ПЛ="",IFERROR(INDEX(БАЗА_ЦІНИ,11,IFERROR(MATCH(ЕТАЛОН_ПЛ,ПЛ_РЯДОК,0),0)),"")=""),"",AY22-IFERROR(INDEX(БАЗА_ЦІНИ,11,IFERROR(MATCH(ЕТАЛОН_ПЛ,ПЛ_РЯДОК,0),0)),""))</f>
        <v/>
      </c>
      <c r="AZ53" s="71" t="str">
        <f aca="false">IF(OR(AY22="",ЕТАЛОН_ПЛ="",IFERROR(INDEX(БАЗА_ЦІНИ,11,IFERROR(MATCH(ЕТАЛОН_ПЛ,ПЛ_РЯДОК,0),0)),"")="",IFERROR(INDEX(БАЗА_ЦІНИ,11,IFERROR(MATCH(ЕТАЛОН_ПЛ,ПЛ_РЯДОК,0),0)),"")=0),"",AY22/IFERROR(INDEX(БАЗА_ЦІНИ,11,IFERROR(MATCH(ЕТАЛОН_ПЛ,ПЛ_РЯДОК,0),0)),"")-1)</f>
        <v/>
      </c>
      <c r="BA53" s="70" t="str">
        <f aca="false">IF(OR(BA22="",ЕТАЛОН_ПЛ="",IFERROR(INDEX(БАЗА_ЦІНИ,11,IFERROR(MATCH(ЕТАЛОН_ПЛ,ПЛ_РЯДОК,0),0)),"")=""),"",BA22-IFERROR(INDEX(БАЗА_ЦІНИ,11,IFERROR(MATCH(ЕТАЛОН_ПЛ,ПЛ_РЯДОК,0),0)),""))</f>
        <v/>
      </c>
      <c r="BB53" s="71" t="str">
        <f aca="false">IF(OR(BA22="",ЕТАЛОН_ПЛ="",IFERROR(INDEX(БАЗА_ЦІНИ,11,IFERROR(MATCH(ЕТАЛОН_ПЛ,ПЛ_РЯДОК,0),0)),"")="",IFERROR(INDEX(БАЗА_ЦІНИ,11,IFERROR(MATCH(ЕТАЛОН_ПЛ,ПЛ_РЯДОК,0),0)),"")=0),"",BA22/IFERROR(INDEX(БАЗА_ЦІНИ,11,IFERROR(MATCH(ЕТАЛОН_ПЛ,ПЛ_РЯДОК,0),0)),"")-1)</f>
        <v/>
      </c>
      <c r="BC53" s="70" t="str">
        <f aca="false">IF(OR(BC22="",ЕТАЛОН_ПЛ="",IFERROR(INDEX(БАЗА_ЦІНИ,11,IFERROR(MATCH(ЕТАЛОН_ПЛ,ПЛ_РЯДОК,0),0)),"")=""),"",BC22-IFERROR(INDEX(БАЗА_ЦІНИ,11,IFERROR(MATCH(ЕТАЛОН_ПЛ,ПЛ_РЯДОК,0),0)),""))</f>
        <v/>
      </c>
      <c r="BD53" s="71" t="str">
        <f aca="false">IF(OR(BC22="",ЕТАЛОН_ПЛ="",IFERROR(INDEX(БАЗА_ЦІНИ,11,IFERROR(MATCH(ЕТАЛОН_ПЛ,ПЛ_РЯДОК,0),0)),"")="",IFERROR(INDEX(БАЗА_ЦІНИ,11,IFERROR(MATCH(ЕТАЛОН_ПЛ,ПЛ_РЯДОК,0),0)),"")=0),"",BC22/IFERROR(INDEX(БАЗА_ЦІНИ,11,IFERROR(MATCH(ЕТАЛОН_ПЛ,ПЛ_РЯДОК,0),0)),"")-1)</f>
        <v/>
      </c>
      <c r="BE53" s="70" t="str">
        <f aca="false">IF(OR(BE22="",ЕТАЛОН_ПЛ="",IFERROR(INDEX(БАЗА_ЦІНИ,11,IFERROR(MATCH(ЕТАЛОН_ПЛ,ПЛ_РЯДОК,0),0)),"")=""),"",BE22-IFERROR(INDEX(БАЗА_ЦІНИ,11,IFERROR(MATCH(ЕТАЛОН_ПЛ,ПЛ_РЯДОК,0),0)),""))</f>
        <v/>
      </c>
      <c r="BF53" s="71" t="str">
        <f aca="false">IF(OR(BE22="",ЕТАЛОН_ПЛ="",IFERROR(INDEX(БАЗА_ЦІНИ,11,IFERROR(MATCH(ЕТАЛОН_ПЛ,ПЛ_РЯДОК,0),0)),"")="",IFERROR(INDEX(БАЗА_ЦІНИ,11,IFERROR(MATCH(ЕТАЛОН_ПЛ,ПЛ_РЯДОК,0),0)),"")=0),"",BE22/IFERROR(INDEX(БАЗА_ЦІНИ,11,IFERROR(MATCH(ЕТАЛОН_ПЛ,ПЛ_РЯДОК,0),0)),"")-1)</f>
        <v/>
      </c>
      <c r="BG53" s="70" t="str">
        <f aca="false">IF(OR(BG22="",ЕТАЛОН_ПЛ="",IFERROR(INDEX(БАЗА_ЦІНИ,11,IFERROR(MATCH(ЕТАЛОН_ПЛ,ПЛ_РЯДОК,0),0)),"")=""),"",BG22-IFERROR(INDEX(БАЗА_ЦІНИ,11,IFERROR(MATCH(ЕТАЛОН_ПЛ,ПЛ_РЯДОК,0),0)),""))</f>
        <v/>
      </c>
      <c r="BH53" s="71" t="str">
        <f aca="false">IF(OR(BG22="",ЕТАЛОН_ПЛ="",IFERROR(INDEX(БАЗА_ЦІНИ,11,IFERROR(MATCH(ЕТАЛОН_ПЛ,ПЛ_РЯДОК,0),0)),"")="",IFERROR(INDEX(БАЗА_ЦІНИ,11,IFERROR(MATCH(ЕТАЛОН_ПЛ,ПЛ_РЯДОК,0),0)),"")=0),"",BG22/IFERROR(INDEX(БАЗА_ЦІНИ,11,IFERROR(MATCH(ЕТАЛОН_ПЛ,ПЛ_РЯДОК,0),0)),"")-1)</f>
        <v/>
      </c>
      <c r="BI53" s="70" t="str">
        <f aca="false">IF(OR(BI22="",ЕТАЛОН_ПЛ="",IFERROR(INDEX(БАЗА_ЦІНИ,11,IFERROR(MATCH(ЕТАЛОН_ПЛ,ПЛ_РЯДОК,0),0)),"")=""),"",BI22-IFERROR(INDEX(БАЗА_ЦІНИ,11,IFERROR(MATCH(ЕТАЛОН_ПЛ,ПЛ_РЯДОК,0),0)),""))</f>
        <v/>
      </c>
      <c r="BJ53" s="71" t="str">
        <f aca="false">IF(OR(BI22="",ЕТАЛОН_ПЛ="",IFERROR(INDEX(БАЗА_ЦІНИ,11,IFERROR(MATCH(ЕТАЛОН_ПЛ,ПЛ_РЯДОК,0),0)),"")="",IFERROR(INDEX(БАЗА_ЦІНИ,11,IFERROR(MATCH(ЕТАЛОН_ПЛ,ПЛ_РЯДОК,0),0)),"")=0),"",BI22/IFERROR(INDEX(БАЗА_ЦІНИ,11,IFERROR(MATCH(ЕТАЛОН_ПЛ,ПЛ_РЯДОК,0),0)),"")-1)</f>
        <v/>
      </c>
      <c r="BK53" s="70" t="str">
        <f aca="false">IF(OR(BK22="",ЕТАЛОН_ПЛ="",IFERROR(INDEX(БАЗА_ЦІНИ,11,IFERROR(MATCH(ЕТАЛОН_ПЛ,ПЛ_РЯДОК,0),0)),"")=""),"",BK22-IFERROR(INDEX(БАЗА_ЦІНИ,11,IFERROR(MATCH(ЕТАЛОН_ПЛ,ПЛ_РЯДОК,0),0)),""))</f>
        <v/>
      </c>
      <c r="BL53" s="71" t="str">
        <f aca="false">IF(OR(BK22="",ЕТАЛОН_ПЛ="",IFERROR(INDEX(БАЗА_ЦІНИ,11,IFERROR(MATCH(ЕТАЛОН_ПЛ,ПЛ_РЯДОК,0),0)),"")="",IFERROR(INDEX(БАЗА_ЦІНИ,11,IFERROR(MATCH(ЕТАЛОН_ПЛ,ПЛ_РЯДОК,0),0)),"")=0),"",BK22/IFERROR(INDEX(БАЗА_ЦІНИ,11,IFERROR(MATCH(ЕТАЛОН_ПЛ,ПЛ_РЯДОК,0),0)),"")-1)</f>
        <v/>
      </c>
      <c r="BM53" s="70" t="str">
        <f aca="false">IF(OR(BM22="",ЕТАЛОН_ПЛ="",IFERROR(INDEX(БАЗА_ЦІНИ,11,IFERROR(MATCH(ЕТАЛОН_ПЛ,ПЛ_РЯДОК,0),0)),"")=""),"",BM22-IFERROR(INDEX(БАЗА_ЦІНИ,11,IFERROR(MATCH(ЕТАЛОН_ПЛ,ПЛ_РЯДОК,0),0)),""))</f>
        <v/>
      </c>
      <c r="BN53" s="71" t="str">
        <f aca="false">IF(OR(BM22="",ЕТАЛОН_ПЛ="",IFERROR(INDEX(БАЗА_ЦІНИ,11,IFERROR(MATCH(ЕТАЛОН_ПЛ,ПЛ_РЯДОК,0),0)),"")="",IFERROR(INDEX(БАЗА_ЦІНИ,11,IFERROR(MATCH(ЕТАЛОН_ПЛ,ПЛ_РЯДОК,0),0)),"")=0),"",BM22/IFERROR(INDEX(БАЗА_ЦІНИ,11,IFERROR(MATCH(ЕТАЛОН_ПЛ,ПЛ_РЯДОК,0),0)),"")-1)</f>
        <v/>
      </c>
      <c r="BO53" s="70" t="str">
        <f aca="false">IF(OR(BO22="",ЕТАЛОН_ПЛ="",IFERROR(INDEX(БАЗА_ЦІНИ,11,IFERROR(MATCH(ЕТАЛОН_ПЛ,ПЛ_РЯДОК,0),0)),"")=""),"",BO22-IFERROR(INDEX(БАЗА_ЦІНИ,11,IFERROR(MATCH(ЕТАЛОН_ПЛ,ПЛ_РЯДОК,0),0)),""))</f>
        <v/>
      </c>
      <c r="BP53" s="71" t="str">
        <f aca="false">IF(OR(BO22="",ЕТАЛОН_ПЛ="",IFERROR(INDEX(БАЗА_ЦІНИ,11,IFERROR(MATCH(ЕТАЛОН_ПЛ,ПЛ_РЯДОК,0),0)),"")="",IFERROR(INDEX(БАЗА_ЦІНИ,11,IFERROR(MATCH(ЕТАЛОН_ПЛ,ПЛ_РЯДОК,0),0)),"")=0),"",BO22/IFERROR(INDEX(БАЗА_ЦІНИ,11,IFERROR(MATCH(ЕТАЛОН_ПЛ,ПЛ_РЯДОК,0),0)),"")-1)</f>
        <v/>
      </c>
      <c r="BQ53" s="70" t="str">
        <f aca="false">IF(OR(BQ22="",ЕТАЛОН_ПЛ="",IFERROR(INDEX(БАЗА_ЦІНИ,11,IFERROR(MATCH(ЕТАЛОН_ПЛ,ПЛ_РЯДОК,0),0)),"")=""),"",BQ22-IFERROR(INDEX(БАЗА_ЦІНИ,11,IFERROR(MATCH(ЕТАЛОН_ПЛ,ПЛ_РЯДОК,0),0)),""))</f>
        <v/>
      </c>
      <c r="BR53" s="71" t="str">
        <f aca="false">IF(OR(BQ22="",ЕТАЛОН_ПЛ="",IFERROR(INDEX(БАЗА_ЦІНИ,11,IFERROR(MATCH(ЕТАЛОН_ПЛ,ПЛ_РЯДОК,0),0)),"")="",IFERROR(INDEX(БАЗА_ЦІНИ,11,IFERROR(MATCH(ЕТАЛОН_ПЛ,ПЛ_РЯДОК,0),0)),"")=0),"",BQ22/IFERROR(INDEX(БАЗА_ЦІНИ,11,IFERROR(MATCH(ЕТАЛОН_ПЛ,ПЛ_РЯДОК,0),0)),"")-1)</f>
        <v/>
      </c>
      <c r="BS53" s="70" t="str">
        <f aca="false">IF(OR(BS22="",ЕТАЛОН_ПЛ="",IFERROR(INDEX(БАЗА_ЦІНИ,11,IFERROR(MATCH(ЕТАЛОН_ПЛ,ПЛ_РЯДОК,0),0)),"")=""),"",BS22-IFERROR(INDEX(БАЗА_ЦІНИ,11,IFERROR(MATCH(ЕТАЛОН_ПЛ,ПЛ_РЯДОК,0),0)),""))</f>
        <v/>
      </c>
      <c r="BT53" s="71" t="str">
        <f aca="false">IF(OR(BS22="",ЕТАЛОН_ПЛ="",IFERROR(INDEX(БАЗА_ЦІНИ,11,IFERROR(MATCH(ЕТАЛОН_ПЛ,ПЛ_РЯДОК,0),0)),"")="",IFERROR(INDEX(БАЗА_ЦІНИ,11,IFERROR(MATCH(ЕТАЛОН_ПЛ,ПЛ_РЯДОК,0),0)),"")=0),"",BS22/IFERROR(INDEX(БАЗА_ЦІНИ,11,IFERROR(MATCH(ЕТАЛОН_ПЛ,ПЛ_РЯДОК,0),0)),"")-1)</f>
        <v/>
      </c>
      <c r="BU53" s="70" t="str">
        <f aca="false">IF(OR(BU22="",ЕТАЛОН_ПЛ="",IFERROR(INDEX(БАЗА_ЦІНИ,11,IFERROR(MATCH(ЕТАЛОН_ПЛ,ПЛ_РЯДОК,0),0)),"")=""),"",BU22-IFERROR(INDEX(БАЗА_ЦІНИ,11,IFERROR(MATCH(ЕТАЛОН_ПЛ,ПЛ_РЯДОК,0),0)),""))</f>
        <v/>
      </c>
      <c r="BV53" s="71" t="str">
        <f aca="false">IF(OR(BU22="",ЕТАЛОН_ПЛ="",IFERROR(INDEX(БАЗА_ЦІНИ,11,IFERROR(MATCH(ЕТАЛОН_ПЛ,ПЛ_РЯДОК,0),0)),"")="",IFERROR(INDEX(БАЗА_ЦІНИ,11,IFERROR(MATCH(ЕТАЛОН_ПЛ,ПЛ_РЯДОК,0),0)),"")=0),"",BU22/IFERROR(INDEX(БАЗА_ЦІНИ,11,IFERROR(MATCH(ЕТАЛОН_ПЛ,ПЛ_РЯДОК,0),0)),"")-1)</f>
        <v/>
      </c>
      <c r="BW53" s="70" t="str">
        <f aca="false">IF(OR(BW22="",ЕТАЛОН_ПЛ="",IFERROR(INDEX(БАЗА_ЦІНИ,11,IFERROR(MATCH(ЕТАЛОН_ПЛ,ПЛ_РЯДОК,0),0)),"")=""),"",BW22-IFERROR(INDEX(БАЗА_ЦІНИ,11,IFERROR(MATCH(ЕТАЛОН_ПЛ,ПЛ_РЯДОК,0),0)),""))</f>
        <v/>
      </c>
      <c r="BX53" s="71" t="str">
        <f aca="false">IF(OR(BW22="",ЕТАЛОН_ПЛ="",IFERROR(INDEX(БАЗА_ЦІНИ,11,IFERROR(MATCH(ЕТАЛОН_ПЛ,ПЛ_РЯДОК,0),0)),"")="",IFERROR(INDEX(БАЗА_ЦІНИ,11,IFERROR(MATCH(ЕТАЛОН_ПЛ,ПЛ_РЯДОК,0),0)),"")=0),"",BW22/IFERROR(INDEX(БАЗА_ЦІНИ,11,IFERROR(MATCH(ЕТАЛОН_ПЛ,ПЛ_РЯДОК,0),0)),"")-1)</f>
        <v/>
      </c>
      <c r="BY53" s="70" t="str">
        <f aca="false">IF(OR(BY22="",ЕТАЛОН_ПЛ="",IFERROR(INDEX(БАЗА_ЦІНИ,11,IFERROR(MATCH(ЕТАЛОН_ПЛ,ПЛ_РЯДОК,0),0)),"")=""),"",BY22-IFERROR(INDEX(БАЗА_ЦІНИ,11,IFERROR(MATCH(ЕТАЛОН_ПЛ,ПЛ_РЯДОК,0),0)),""))</f>
        <v/>
      </c>
      <c r="BZ53" s="71" t="str">
        <f aca="false">IF(OR(BY22="",ЕТАЛОН_ПЛ="",IFERROR(INDEX(БАЗА_ЦІНИ,11,IFERROR(MATCH(ЕТАЛОН_ПЛ,ПЛ_РЯДОК,0),0)),"")="",IFERROR(INDEX(БАЗА_ЦІНИ,11,IFERROR(MATCH(ЕТАЛОН_ПЛ,ПЛ_РЯДОК,0),0)),"")=0),"",BY22/IFERROR(INDEX(БАЗА_ЦІНИ,11,IFERROR(MATCH(ЕТАЛОН_ПЛ,ПЛ_РЯДОК,0),0)),"")-1)</f>
        <v/>
      </c>
      <c r="CA53" s="70" t="str">
        <f aca="false">IF(OR(CA22="",ЕТАЛОН_ПЛ="",IFERROR(INDEX(БАЗА_ЦІНИ,11,IFERROR(MATCH(ЕТАЛОН_ПЛ,ПЛ_РЯДОК,0),0)),"")=""),"",CA22-IFERROR(INDEX(БАЗА_ЦІНИ,11,IFERROR(MATCH(ЕТАЛОН_ПЛ,ПЛ_РЯДОК,0),0)),""))</f>
        <v/>
      </c>
      <c r="CB53" s="71" t="str">
        <f aca="false">IF(OR(CA22="",ЕТАЛОН_ПЛ="",IFERROR(INDEX(БАЗА_ЦІНИ,11,IFERROR(MATCH(ЕТАЛОН_ПЛ,ПЛ_РЯДОК,0),0)),"")="",IFERROR(INDEX(БАЗА_ЦІНИ,11,IFERROR(MATCH(ЕТАЛОН_ПЛ,ПЛ_РЯДОК,0),0)),"")=0),"",CA22/IFERROR(INDEX(БАЗА_ЦІНИ,11,IFERROR(MATCH(ЕТАЛОН_ПЛ,ПЛ_РЯДОК,0),0)),"")-1)</f>
        <v/>
      </c>
      <c r="CC53" s="70" t="str">
        <f aca="false">IF(OR(CC22="",ЕТАЛОН_ПЛ="",IFERROR(INDEX(БАЗА_ЦІНИ,11,IFERROR(MATCH(ЕТАЛОН_ПЛ,ПЛ_РЯДОК,0),0)),"")=""),"",CC22-IFERROR(INDEX(БАЗА_ЦІНИ,11,IFERROR(MATCH(ЕТАЛОН_ПЛ,ПЛ_РЯДОК,0),0)),""))</f>
        <v/>
      </c>
      <c r="CD53" s="71" t="str">
        <f aca="false">IF(OR(CC22="",ЕТАЛОН_ПЛ="",IFERROR(INDEX(БАЗА_ЦІНИ,11,IFERROR(MATCH(ЕТАЛОН_ПЛ,ПЛ_РЯДОК,0),0)),"")="",IFERROR(INDEX(БАЗА_ЦІНИ,11,IFERROR(MATCH(ЕТАЛОН_ПЛ,ПЛ_РЯДОК,0),0)),"")=0),"",CC22/IFERROR(INDEX(БАЗА_ЦІНИ,11,IFERROR(MATCH(ЕТАЛОН_ПЛ,ПЛ_РЯДОК,0),0)),"")-1)</f>
        <v/>
      </c>
      <c r="CE53" s="70" t="str">
        <f aca="false">IF(OR(CE22="",ЕТАЛОН_ПЛ="",IFERROR(INDEX(БАЗА_ЦІНИ,11,IFERROR(MATCH(ЕТАЛОН_ПЛ,ПЛ_РЯДОК,0),0)),"")=""),"",CE22-IFERROR(INDEX(БАЗА_ЦІНИ,11,IFERROR(MATCH(ЕТАЛОН_ПЛ,ПЛ_РЯДОК,0),0)),""))</f>
        <v/>
      </c>
      <c r="CF53" s="71" t="str">
        <f aca="false">IF(OR(CE22="",ЕТАЛОН_ПЛ="",IFERROR(INDEX(БАЗА_ЦІНИ,11,IFERROR(MATCH(ЕТАЛОН_ПЛ,ПЛ_РЯДОК,0),0)),"")="",IFERROR(INDEX(БАЗА_ЦІНИ,11,IFERROR(MATCH(ЕТАЛОН_ПЛ,ПЛ_РЯДОК,0),0)),"")=0),"",CE22/IFERROR(INDEX(БАЗА_ЦІНИ,11,IFERROR(MATCH(ЕТАЛОН_ПЛ,ПЛ_РЯДОК,0),0)),"")-1)</f>
        <v/>
      </c>
      <c r="CG53" s="70" t="str">
        <f aca="false">IF(OR(CG22="",ЕТАЛОН_ПЛ="",IFERROR(INDEX(БАЗА_ЦІНИ,11,IFERROR(MATCH(ЕТАЛОН_ПЛ,ПЛ_РЯДОК,0),0)),"")=""),"",CG22-IFERROR(INDEX(БАЗА_ЦІНИ,11,IFERROR(MATCH(ЕТАЛОН_ПЛ,ПЛ_РЯДОК,0),0)),""))</f>
        <v/>
      </c>
      <c r="CH53" s="71" t="str">
        <f aca="false">IF(OR(CG22="",ЕТАЛОН_ПЛ="",IFERROR(INDEX(БАЗА_ЦІНИ,11,IFERROR(MATCH(ЕТАЛОН_ПЛ,ПЛ_РЯДОК,0),0)),"")="",IFERROR(INDEX(БАЗА_ЦІНИ,11,IFERROR(MATCH(ЕТАЛОН_ПЛ,ПЛ_РЯДОК,0),0)),"")=0),"",CG22/IFERROR(INDEX(БАЗА_ЦІНИ,11,IFERROR(MATCH(ЕТАЛОН_ПЛ,ПЛ_РЯДОК,0),0)),"")-1)</f>
        <v/>
      </c>
      <c r="CI53" s="70" t="str">
        <f aca="false">IF(OR(CI22="",ЕТАЛОН_ПЛ="",IFERROR(INDEX(БАЗА_ЦІНИ,11,IFERROR(MATCH(ЕТАЛОН_ПЛ,ПЛ_РЯДОК,0),0)),"")=""),"",CI22-IFERROR(INDEX(БАЗА_ЦІНИ,11,IFERROR(MATCH(ЕТАЛОН_ПЛ,ПЛ_РЯДОК,0),0)),""))</f>
        <v/>
      </c>
      <c r="CJ53" s="71" t="str">
        <f aca="false">IF(OR(CI22="",ЕТАЛОН_ПЛ="",IFERROR(INDEX(БАЗА_ЦІНИ,11,IFERROR(MATCH(ЕТАЛОН_ПЛ,ПЛ_РЯДОК,0),0)),"")="",IFERROR(INDEX(БАЗА_ЦІНИ,11,IFERROR(MATCH(ЕТАЛОН_ПЛ,ПЛ_РЯДОК,0),0)),"")=0),"",CI22/IFERROR(INDEX(БАЗА_ЦІНИ,11,IFERROR(MATCH(ЕТАЛОН_ПЛ,ПЛ_РЯДОК,0),0)),"")-1)</f>
        <v/>
      </c>
      <c r="CK53" s="70" t="str">
        <f aca="false">IF(OR(CK22="",ЕТАЛОН_ПЛ="",IFERROR(INDEX(БАЗА_ЦІНИ,11,IFERROR(MATCH(ЕТАЛОН_ПЛ,ПЛ_РЯДОК,0),0)),"")=""),"",CK22-IFERROR(INDEX(БАЗА_ЦІНИ,11,IFERROR(MATCH(ЕТАЛОН_ПЛ,ПЛ_РЯДОК,0),0)),""))</f>
        <v/>
      </c>
      <c r="CL53" s="71" t="str">
        <f aca="false">IF(OR(CK22="",ЕТАЛОН_ПЛ="",IFERROR(INDEX(БАЗА_ЦІНИ,11,IFERROR(MATCH(ЕТАЛОН_ПЛ,ПЛ_РЯДОК,0),0)),"")="",IFERROR(INDEX(БАЗА_ЦІНИ,11,IFERROR(MATCH(ЕТАЛОН_ПЛ,ПЛ_РЯДОК,0),0)),"")=0),"",CK22/IFERROR(INDEX(БАЗА_ЦІНИ,11,IFERROR(MATCH(ЕТАЛОН_ПЛ,ПЛ_РЯДОК,0),0)),"")-1)</f>
        <v/>
      </c>
      <c r="CM53" s="70" t="str">
        <f aca="false">IF(OR(CM22="",ЕТАЛОН_ПЛ="",IFERROR(INDEX(БАЗА_ЦІНИ,11,IFERROR(MATCH(ЕТАЛОН_ПЛ,ПЛ_РЯДОК,0),0)),"")=""),"",CM22-IFERROR(INDEX(БАЗА_ЦІНИ,11,IFERROR(MATCH(ЕТАЛОН_ПЛ,ПЛ_РЯДОК,0),0)),""))</f>
        <v/>
      </c>
      <c r="CN53" s="71" t="str">
        <f aca="false">IF(OR(CM22="",ЕТАЛОН_ПЛ="",IFERROR(INDEX(БАЗА_ЦІНИ,11,IFERROR(MATCH(ЕТАЛОН_ПЛ,ПЛ_РЯДОК,0),0)),"")="",IFERROR(INDEX(БАЗА_ЦІНИ,11,IFERROR(MATCH(ЕТАЛОН_ПЛ,ПЛ_РЯДОК,0),0)),"")=0),"",CM22/IFERROR(INDEX(БАЗА_ЦІНИ,11,IFERROR(MATCH(ЕТАЛОН_ПЛ,ПЛ_РЯДОК,0),0)),"")-1)</f>
        <v/>
      </c>
      <c r="CO53" s="70" t="str">
        <f aca="false">IF(OR(CO22="",ЕТАЛОН_ПЛ="",IFERROR(INDEX(БАЗА_ЦІНИ,11,IFERROR(MATCH(ЕТАЛОН_ПЛ,ПЛ_РЯДОК,0),0)),"")=""),"",CO22-IFERROR(INDEX(БАЗА_ЦІНИ,11,IFERROR(MATCH(ЕТАЛОН_ПЛ,ПЛ_РЯДОК,0),0)),""))</f>
        <v/>
      </c>
      <c r="CP53" s="71" t="str">
        <f aca="false">IF(OR(CO22="",ЕТАЛОН_ПЛ="",IFERROR(INDEX(БАЗА_ЦІНИ,11,IFERROR(MATCH(ЕТАЛОН_ПЛ,ПЛ_РЯДОК,0),0)),"")="",IFERROR(INDEX(БАЗА_ЦІНИ,11,IFERROR(MATCH(ЕТАЛОН_ПЛ,ПЛ_РЯДОК,0),0)),"")=0),"",CO22/IFERROR(INDEX(БАЗА_ЦІНИ,11,IFERROR(MATCH(ЕТАЛОН_ПЛ,ПЛ_РЯДОК,0),0)),"")-1)</f>
        <v/>
      </c>
      <c r="CQ53" s="70" t="str">
        <f aca="false">IF(OR(CQ22="",ЕТАЛОН_ПЛ="",IFERROR(INDEX(БАЗА_ЦІНИ,11,IFERROR(MATCH(ЕТАЛОН_ПЛ,ПЛ_РЯДОК,0),0)),"")=""),"",CQ22-IFERROR(INDEX(БАЗА_ЦІНИ,11,IFERROR(MATCH(ЕТАЛОН_ПЛ,ПЛ_РЯДОК,0),0)),""))</f>
        <v/>
      </c>
      <c r="CR53" s="71" t="str">
        <f aca="false">IF(OR(CQ22="",ЕТАЛОН_ПЛ="",IFERROR(INDEX(БАЗА_ЦІНИ,11,IFERROR(MATCH(ЕТАЛОН_ПЛ,ПЛ_РЯДОК,0),0)),"")="",IFERROR(INDEX(БАЗА_ЦІНИ,11,IFERROR(MATCH(ЕТАЛОН_ПЛ,ПЛ_РЯДОК,0),0)),"")=0),"",CQ22/IFERROR(INDEX(БАЗА_ЦІНИ,11,IFERROR(MATCH(ЕТАЛОН_ПЛ,ПЛ_РЯДОК,0),0)),"")-1)</f>
        <v/>
      </c>
      <c r="CS53" s="70" t="str">
        <f aca="false">IF(OR(CS22="",ЕТАЛОН_ПЛ="",IFERROR(INDEX(БАЗА_ЦІНИ,11,IFERROR(MATCH(ЕТАЛОН_ПЛ,ПЛ_РЯДОК,0),0)),"")=""),"",CS22-IFERROR(INDEX(БАЗА_ЦІНИ,11,IFERROR(MATCH(ЕТАЛОН_ПЛ,ПЛ_РЯДОК,0),0)),""))</f>
        <v/>
      </c>
      <c r="CT53" s="71" t="str">
        <f aca="false">IF(OR(CS22="",ЕТАЛОН_ПЛ="",IFERROR(INDEX(БАЗА_ЦІНИ,11,IFERROR(MATCH(ЕТАЛОН_ПЛ,ПЛ_РЯДОК,0),0)),"")="",IFERROR(INDEX(БАЗА_ЦІНИ,11,IFERROR(MATCH(ЕТАЛОН_ПЛ,ПЛ_РЯДОК,0),0)),"")=0),"",CS22/IFERROR(INDEX(БАЗА_ЦІНИ,11,IFERROR(MATCH(ЕТАЛОН_ПЛ,ПЛ_РЯДОК,0),0)),"")-1)</f>
        <v/>
      </c>
      <c r="CU53" s="70" t="str">
        <f aca="false">IF(OR(CU22="",ЕТАЛОН_ПЛ="",IFERROR(INDEX(БАЗА_ЦІНИ,11,IFERROR(MATCH(ЕТАЛОН_ПЛ,ПЛ_РЯДОК,0),0)),"")=""),"",CU22-IFERROR(INDEX(БАЗА_ЦІНИ,11,IFERROR(MATCH(ЕТАЛОН_ПЛ,ПЛ_РЯДОК,0),0)),""))</f>
        <v/>
      </c>
      <c r="CV53" s="71" t="str">
        <f aca="false">IF(OR(CU22="",ЕТАЛОН_ПЛ="",IFERROR(INDEX(БАЗА_ЦІНИ,11,IFERROR(MATCH(ЕТАЛОН_ПЛ,ПЛ_РЯДОК,0),0)),"")="",IFERROR(INDEX(БАЗА_ЦІНИ,11,IFERROR(MATCH(ЕТАЛОН_ПЛ,ПЛ_РЯДОК,0),0)),"")=0),"",CU22/IFERROR(INDEX(БАЗА_ЦІНИ,11,IFERROR(MATCH(ЕТАЛОН_ПЛ,ПЛ_РЯДОК,0),0)),"")-1)</f>
        <v/>
      </c>
      <c r="CW53" s="70" t="str">
        <f aca="false">IF(OR(CW22="",ЕТАЛОН_ПЛ="",IFERROR(INDEX(БАЗА_ЦІНИ,11,IFERROR(MATCH(ЕТАЛОН_ПЛ,ПЛ_РЯДОК,0),0)),"")=""),"",CW22-IFERROR(INDEX(БАЗА_ЦІНИ,11,IFERROR(MATCH(ЕТАЛОН_ПЛ,ПЛ_РЯДОК,0),0)),""))</f>
        <v/>
      </c>
      <c r="CX53" s="71" t="str">
        <f aca="false">IF(OR(CW22="",ЕТАЛОН_ПЛ="",IFERROR(INDEX(БАЗА_ЦІНИ,11,IFERROR(MATCH(ЕТАЛОН_ПЛ,ПЛ_РЯДОК,0),0)),"")="",IFERROR(INDEX(БАЗА_ЦІНИ,11,IFERROR(MATCH(ЕТАЛОН_ПЛ,ПЛ_РЯДОК,0),0)),"")=0),"",CW22/IFERROR(INDEX(БАЗА_ЦІНИ,11,IFERROR(MATCH(ЕТАЛОН_ПЛ,ПЛ_РЯДОК,0),0)),"")-1)</f>
        <v/>
      </c>
      <c r="CY53" s="70" t="str">
        <f aca="false">IF(OR(CY22="",ЕТАЛОН_ПЛ="",IFERROR(INDEX(БАЗА_ЦІНИ,11,IFERROR(MATCH(ЕТАЛОН_ПЛ,ПЛ_РЯДОК,0),0)),"")=""),"",CY22-IFERROR(INDEX(БАЗА_ЦІНИ,11,IFERROR(MATCH(ЕТАЛОН_ПЛ,ПЛ_РЯДОК,0),0)),""))</f>
        <v/>
      </c>
      <c r="CZ53" s="71" t="str">
        <f aca="false">IF(OR(CY22="",ЕТАЛОН_ПЛ="",IFERROR(INDEX(БАЗА_ЦІНИ,11,IFERROR(MATCH(ЕТАЛОН_ПЛ,ПЛ_РЯДОК,0),0)),"")="",IFERROR(INDEX(БАЗА_ЦІНИ,11,IFERROR(MATCH(ЕТАЛОН_ПЛ,ПЛ_РЯДОК,0),0)),"")=0),"",CY22/IFERROR(INDEX(БАЗА_ЦІНИ,11,IFERROR(MATCH(ЕТАЛОН_ПЛ,ПЛ_РЯДОК,0),0)),"")-1)</f>
        <v/>
      </c>
      <c r="DA53" s="70" t="str">
        <f aca="false">IF(OR(DA22="",ЕТАЛОН_ПЛ="",IFERROR(INDEX(БАЗА_ЦІНИ,11,IFERROR(MATCH(ЕТАЛОН_ПЛ,ПЛ_РЯДОК,0),0)),"")=""),"",DA22-IFERROR(INDEX(БАЗА_ЦІНИ,11,IFERROR(MATCH(ЕТАЛОН_ПЛ,ПЛ_РЯДОК,0),0)),""))</f>
        <v/>
      </c>
      <c r="DB53" s="71" t="str">
        <f aca="false">IF(OR(DA22="",ЕТАЛОН_ПЛ="",IFERROR(INDEX(БАЗА_ЦІНИ,11,IFERROR(MATCH(ЕТАЛОН_ПЛ,ПЛ_РЯДОК,0),0)),"")="",IFERROR(INDEX(БАЗА_ЦІНИ,11,IFERROR(MATCH(ЕТАЛОН_ПЛ,ПЛ_РЯДОК,0),0)),"")=0),"",DA22/IFERROR(INDEX(БАЗА_ЦІНИ,11,IFERROR(MATCH(ЕТАЛОН_ПЛ,ПЛ_РЯДОК,0),0)),"")-1)</f>
        <v/>
      </c>
      <c r="DC53" s="70" t="str">
        <f aca="false">IF(OR(DC22="",ЕТАЛОН_ПЛ="",IFERROR(INDEX(БАЗА_ЦІНИ,11,IFERROR(MATCH(ЕТАЛОН_ПЛ,ПЛ_РЯДОК,0),0)),"")=""),"",DC22-IFERROR(INDEX(БАЗА_ЦІНИ,11,IFERROR(MATCH(ЕТАЛОН_ПЛ,ПЛ_РЯДОК,0),0)),""))</f>
        <v/>
      </c>
      <c r="DD53" s="71" t="str">
        <f aca="false">IF(OR(DC22="",ЕТАЛОН_ПЛ="",IFERROR(INDEX(БАЗА_ЦІНИ,11,IFERROR(MATCH(ЕТАЛОН_ПЛ,ПЛ_РЯДОК,0),0)),"")="",IFERROR(INDEX(БАЗА_ЦІНИ,11,IFERROR(MATCH(ЕТАЛОН_ПЛ,ПЛ_РЯДОК,0),0)),"")=0),"",DC22/IFERROR(INDEX(БАЗА_ЦІНИ,11,IFERROR(MATCH(ЕТАЛОН_ПЛ,ПЛ_РЯДОК,0),0)),"")-1)</f>
        <v/>
      </c>
      <c r="DE53" s="70" t="str">
        <f aca="false">IF(OR(DE22="",ЕТАЛОН_ПЛ="",IFERROR(INDEX(БАЗА_ЦІНИ,11,IFERROR(MATCH(ЕТАЛОН_ПЛ,ПЛ_РЯДОК,0),0)),"")=""),"",DE22-IFERROR(INDEX(БАЗА_ЦІНИ,11,IFERROR(MATCH(ЕТАЛОН_ПЛ,ПЛ_РЯДОК,0),0)),""))</f>
        <v/>
      </c>
      <c r="DF53" s="71" t="str">
        <f aca="false">IF(OR(DE22="",ЕТАЛОН_ПЛ="",IFERROR(INDEX(БАЗА_ЦІНИ,11,IFERROR(MATCH(ЕТАЛОН_ПЛ,ПЛ_РЯДОК,0),0)),"")="",IFERROR(INDEX(БАЗА_ЦІНИ,11,IFERROR(MATCH(ЕТАЛОН_ПЛ,ПЛ_РЯДОК,0),0)),"")=0),"",DE22/IFERROR(INDEX(БАЗА_ЦІНИ,11,IFERROR(MATCH(ЕТАЛОН_ПЛ,ПЛ_РЯДОК,0),0)),"")-1)</f>
        <v/>
      </c>
      <c r="DG53" s="70" t="str">
        <f aca="false">IF(OR(DG22="",ЕТАЛОН_ПЛ="",IFERROR(INDEX(БАЗА_ЦІНИ,11,IFERROR(MATCH(ЕТАЛОН_ПЛ,ПЛ_РЯДОК,0),0)),"")=""),"",DG22-IFERROR(INDEX(БАЗА_ЦІНИ,11,IFERROR(MATCH(ЕТАЛОН_ПЛ,ПЛ_РЯДОК,0),0)),""))</f>
        <v/>
      </c>
      <c r="DH53" s="71" t="str">
        <f aca="false">IF(OR(DG22="",ЕТАЛОН_ПЛ="",IFERROR(INDEX(БАЗА_ЦІНИ,11,IFERROR(MATCH(ЕТАЛОН_ПЛ,ПЛ_РЯДОК,0),0)),"")="",IFERROR(INDEX(БАЗА_ЦІНИ,11,IFERROR(MATCH(ЕТАЛОН_ПЛ,ПЛ_РЯДОК,0),0)),"")=0),"",DG22/IFERROR(INDEX(БАЗА_ЦІНИ,11,IFERROR(MATCH(ЕТАЛОН_ПЛ,ПЛ_РЯДОК,0),0)),"")-1)</f>
        <v/>
      </c>
      <c r="DI53" s="70" t="str">
        <f aca="false">IF(OR(DI22="",ЕТАЛОН_ПЛ="",IFERROR(INDEX(БАЗА_ЦІНИ,11,IFERROR(MATCH(ЕТАЛОН_ПЛ,ПЛ_РЯДОК,0),0)),"")=""),"",DI22-IFERROR(INDEX(БАЗА_ЦІНИ,11,IFERROR(MATCH(ЕТАЛОН_ПЛ,ПЛ_РЯДОК,0),0)),""))</f>
        <v/>
      </c>
      <c r="DJ53" s="71" t="str">
        <f aca="false">IF(OR(DI22="",ЕТАЛОН_ПЛ="",IFERROR(INDEX(БАЗА_ЦІНИ,11,IFERROR(MATCH(ЕТАЛОН_ПЛ,ПЛ_РЯДОК,0),0)),"")="",IFERROR(INDEX(БАЗА_ЦІНИ,11,IFERROR(MATCH(ЕТАЛОН_ПЛ,ПЛ_РЯДОК,0),0)),"")=0),"",DI22/IFERROR(INDEX(БАЗА_ЦІНИ,11,IFERROR(MATCH(ЕТАЛОН_ПЛ,ПЛ_РЯДОК,0),0)),"")-1)</f>
        <v/>
      </c>
      <c r="DK53" s="70" t="str">
        <f aca="false">IF(OR(DK22="",ЕТАЛОН_ПЛ="",IFERROR(INDEX(БАЗА_ЦІНИ,11,IFERROR(MATCH(ЕТАЛОН_ПЛ,ПЛ_РЯДОК,0),0)),"")=""),"",DK22-IFERROR(INDEX(БАЗА_ЦІНИ,11,IFERROR(MATCH(ЕТАЛОН_ПЛ,ПЛ_РЯДОК,0),0)),""))</f>
        <v/>
      </c>
      <c r="DL53" s="71" t="str">
        <f aca="false">IF(OR(DK22="",ЕТАЛОН_ПЛ="",IFERROR(INDEX(БАЗА_ЦІНИ,11,IFERROR(MATCH(ЕТАЛОН_ПЛ,ПЛ_РЯДОК,0),0)),"")="",IFERROR(INDEX(БАЗА_ЦІНИ,11,IFERROR(MATCH(ЕТАЛОН_ПЛ,ПЛ_РЯДОК,0),0)),"")=0),"",DK22/IFERROR(INDEX(БАЗА_ЦІНИ,11,IFERROR(MATCH(ЕТАЛОН_ПЛ,ПЛ_РЯДОК,0),0)),"")-1)</f>
        <v/>
      </c>
      <c r="DM53" s="70" t="str">
        <f aca="false">IF(OR(DM22="",ЕТАЛОН_ПЛ="",IFERROR(INDEX(БАЗА_ЦІНИ,11,IFERROR(MATCH(ЕТАЛОН_ПЛ,ПЛ_РЯДОК,0),0)),"")=""),"",DM22-IFERROR(INDEX(БАЗА_ЦІНИ,11,IFERROR(MATCH(ЕТАЛОН_ПЛ,ПЛ_РЯДОК,0),0)),""))</f>
        <v/>
      </c>
      <c r="DN53" s="71" t="str">
        <f aca="false">IF(OR(DM22="",ЕТАЛОН_ПЛ="",IFERROR(INDEX(БАЗА_ЦІНИ,11,IFERROR(MATCH(ЕТАЛОН_ПЛ,ПЛ_РЯДОК,0),0)),"")="",IFERROR(INDEX(БАЗА_ЦІНИ,11,IFERROR(MATCH(ЕТАЛОН_ПЛ,ПЛ_РЯДОК,0),0)),"")=0),"",DM22/IFERROR(INDEX(БАЗА_ЦІНИ,11,IFERROR(MATCH(ЕТАЛОН_ПЛ,ПЛ_РЯДОК,0),0)),"")-1)</f>
        <v/>
      </c>
      <c r="DO53" s="70" t="str">
        <f aca="false">IF(OR(DO22="",ЕТАЛОН_ПЛ="",IFERROR(INDEX(БАЗА_ЦІНИ,11,IFERROR(MATCH(ЕТАЛОН_ПЛ,ПЛ_РЯДОК,0),0)),"")=""),"",DO22-IFERROR(INDEX(БАЗА_ЦІНИ,11,IFERROR(MATCH(ЕТАЛОН_ПЛ,ПЛ_РЯДОК,0),0)),""))</f>
        <v/>
      </c>
      <c r="DP53" s="71" t="str">
        <f aca="false">IF(OR(DO22="",ЕТАЛОН_ПЛ="",IFERROR(INDEX(БАЗА_ЦІНИ,11,IFERROR(MATCH(ЕТАЛОН_ПЛ,ПЛ_РЯДОК,0),0)),"")="",IFERROR(INDEX(БАЗА_ЦІНИ,11,IFERROR(MATCH(ЕТАЛОН_ПЛ,ПЛ_РЯДОК,0),0)),"")=0),"",DO22/IFERROR(INDEX(БАЗА_ЦІНИ,11,IFERROR(MATCH(ЕТАЛОН_ПЛ,ПЛ_РЯДОК,0),0)),"")-1)</f>
        <v/>
      </c>
      <c r="DQ53" s="70" t="str">
        <f aca="false">IF(OR(DQ22="",ЕТАЛОН_ПЛ="",IFERROR(INDEX(БАЗА_ЦІНИ,11,IFERROR(MATCH(ЕТАЛОН_ПЛ,ПЛ_РЯДОК,0),0)),"")=""),"",DQ22-IFERROR(INDEX(БАЗА_ЦІНИ,11,IFERROR(MATCH(ЕТАЛОН_ПЛ,ПЛ_РЯДОК,0),0)),""))</f>
        <v/>
      </c>
      <c r="DR53" s="71" t="str">
        <f aca="false">IF(OR(DQ22="",ЕТАЛОН_ПЛ="",IFERROR(INDEX(БАЗА_ЦІНИ,11,IFERROR(MATCH(ЕТАЛОН_ПЛ,ПЛ_РЯДОК,0),0)),"")="",IFERROR(INDEX(БАЗА_ЦІНИ,11,IFERROR(MATCH(ЕТАЛОН_ПЛ,ПЛ_РЯДОК,0),0)),"")=0),"",DQ22/IFERROR(INDEX(БАЗА_ЦІНИ,11,IFERROR(MATCH(ЕТАЛОН_ПЛ,ПЛ_РЯДОК,0),0)),"")-1)</f>
        <v/>
      </c>
      <c r="DS53" s="70" t="str">
        <f aca="false">IF(OR(DS22="",ЕТАЛОН_ПЛ="",IFERROR(INDEX(БАЗА_ЦІНИ,11,IFERROR(MATCH(ЕТАЛОН_ПЛ,ПЛ_РЯДОК,0),0)),"")=""),"",DS22-IFERROR(INDEX(БАЗА_ЦІНИ,11,IFERROR(MATCH(ЕТАЛОН_ПЛ,ПЛ_РЯДОК,0),0)),""))</f>
        <v/>
      </c>
      <c r="DT53" s="71" t="str">
        <f aca="false">IF(OR(DS22="",ЕТАЛОН_ПЛ="",IFERROR(INDEX(БАЗА_ЦІНИ,11,IFERROR(MATCH(ЕТАЛОН_ПЛ,ПЛ_РЯДОК,0),0)),"")="",IFERROR(INDEX(БАЗА_ЦІНИ,11,IFERROR(MATCH(ЕТАЛОН_ПЛ,ПЛ_РЯДОК,0),0)),"")=0),"",DS22/IFERROR(INDEX(БАЗА_ЦІНИ,11,IFERROR(MATCH(ЕТАЛОН_ПЛ,ПЛ_РЯДОК,0),0)),"")-1)</f>
        <v/>
      </c>
      <c r="DU53" s="70" t="str">
        <f aca="false">IF(OR(DU22="",ЕТАЛОН_ПЛ="",IFERROR(INDEX(БАЗА_ЦІНИ,11,IFERROR(MATCH(ЕТАЛОН_ПЛ,ПЛ_РЯДОК,0),0)),"")=""),"",DU22-IFERROR(INDEX(БАЗА_ЦІНИ,11,IFERROR(MATCH(ЕТАЛОН_ПЛ,ПЛ_РЯДОК,0),0)),""))</f>
        <v/>
      </c>
      <c r="DV53" s="71" t="str">
        <f aca="false">IF(OR(DU22="",ЕТАЛОН_ПЛ="",IFERROR(INDEX(БАЗА_ЦІНИ,11,IFERROR(MATCH(ЕТАЛОН_ПЛ,ПЛ_РЯДОК,0),0)),"")="",IFERROR(INDEX(БАЗА_ЦІНИ,11,IFERROR(MATCH(ЕТАЛОН_ПЛ,ПЛ_РЯДОК,0),0)),"")=0),"",DU22/IFERROR(INDEX(БАЗА_ЦІНИ,11,IFERROR(MATCH(ЕТАЛОН_ПЛ,ПЛ_РЯДОК,0),0)),"")-1)</f>
        <v/>
      </c>
      <c r="DW53" s="70" t="str">
        <f aca="false">IF(OR(DW22="",ЕТАЛОН_ПЛ="",IFERROR(INDEX(БАЗА_ЦІНИ,11,IFERROR(MATCH(ЕТАЛОН_ПЛ,ПЛ_РЯДОК,0),0)),"")=""),"",DW22-IFERROR(INDEX(БАЗА_ЦІНИ,11,IFERROR(MATCH(ЕТАЛОН_ПЛ,ПЛ_РЯДОК,0),0)),""))</f>
        <v/>
      </c>
      <c r="DX53" s="71" t="str">
        <f aca="false">IF(OR(DW22="",ЕТАЛОН_ПЛ="",IFERROR(INDEX(БАЗА_ЦІНИ,11,IFERROR(MATCH(ЕТАЛОН_ПЛ,ПЛ_РЯДОК,0),0)),"")="",IFERROR(INDEX(БАЗА_ЦІНИ,11,IFERROR(MATCH(ЕТАЛОН_ПЛ,ПЛ_РЯДОК,0),0)),"")=0),"",DW22/IFERROR(INDEX(БАЗА_ЦІНИ,11,IFERROR(MATCH(ЕТАЛОН_ПЛ,ПЛ_РЯДОК,0),0)),"")-1)</f>
        <v/>
      </c>
      <c r="DY53" s="70" t="str">
        <f aca="false">IF(OR(DY22="",ЕТАЛОН_ПЛ="",IFERROR(INDEX(БАЗА_ЦІНИ,11,IFERROR(MATCH(ЕТАЛОН_ПЛ,ПЛ_РЯДОК,0),0)),"")=""),"",DY22-IFERROR(INDEX(БАЗА_ЦІНИ,11,IFERROR(MATCH(ЕТАЛОН_ПЛ,ПЛ_РЯДОК,0),0)),""))</f>
        <v/>
      </c>
      <c r="DZ53" s="71" t="str">
        <f aca="false">IF(OR(DY22="",ЕТАЛОН_ПЛ="",IFERROR(INDEX(БАЗА_ЦІНИ,11,IFERROR(MATCH(ЕТАЛОН_ПЛ,ПЛ_РЯДОК,0),0)),"")="",IFERROR(INDEX(БАЗА_ЦІНИ,11,IFERROR(MATCH(ЕТАЛОН_ПЛ,ПЛ_РЯДОК,0),0)),"")=0),"",DY22/IFERROR(INDEX(БАЗА_ЦІНИ,11,IFERROR(MATCH(ЕТАЛОН_ПЛ,ПЛ_РЯДОК,0),0)),"")-1)</f>
        <v/>
      </c>
      <c r="EA53" s="70" t="str">
        <f aca="false">IF(OR(EA22="",ЕТАЛОН_ПЛ="",IFERROR(INDEX(БАЗА_ЦІНИ,11,IFERROR(MATCH(ЕТАЛОН_ПЛ,ПЛ_РЯДОК,0),0)),"")=""),"",EA22-IFERROR(INDEX(БАЗА_ЦІНИ,11,IFERROR(MATCH(ЕТАЛОН_ПЛ,ПЛ_РЯДОК,0),0)),""))</f>
        <v/>
      </c>
      <c r="EB53" s="71" t="str">
        <f aca="false">IF(OR(EA22="",ЕТАЛОН_ПЛ="",IFERROR(INDEX(БАЗА_ЦІНИ,11,IFERROR(MATCH(ЕТАЛОН_ПЛ,ПЛ_РЯДОК,0),0)),"")="",IFERROR(INDEX(БАЗА_ЦІНИ,11,IFERROR(MATCH(ЕТАЛОН_ПЛ,ПЛ_РЯДОК,0),0)),"")=0),"",EA22/IFERROR(INDEX(БАЗА_ЦІНИ,11,IFERROR(MATCH(ЕТАЛОН_ПЛ,ПЛ_РЯДОК,0),0)),"")-1)</f>
        <v/>
      </c>
      <c r="EC53" s="70" t="str">
        <f aca="false">IF(OR(EC22="",ЕТАЛОН_ПЛ="",IFERROR(INDEX(БАЗА_ЦІНИ,11,IFERROR(MATCH(ЕТАЛОН_ПЛ,ПЛ_РЯДОК,0),0)),"")=""),"",EC22-IFERROR(INDEX(БАЗА_ЦІНИ,11,IFERROR(MATCH(ЕТАЛОН_ПЛ,ПЛ_РЯДОК,0),0)),""))</f>
        <v/>
      </c>
      <c r="ED53" s="71" t="str">
        <f aca="false">IF(OR(EC22="",ЕТАЛОН_ПЛ="",IFERROR(INDEX(БАЗА_ЦІНИ,11,IFERROR(MATCH(ЕТАЛОН_ПЛ,ПЛ_РЯДОК,0),0)),"")="",IFERROR(INDEX(БАЗА_ЦІНИ,11,IFERROR(MATCH(ЕТАЛОН_ПЛ,ПЛ_РЯДОК,0),0)),"")=0),"",EC22/IFERROR(INDEX(БАЗА_ЦІНИ,11,IFERROR(MATCH(ЕТАЛОН_ПЛ,ПЛ_РЯДОК,0),0)),"")-1)</f>
        <v/>
      </c>
      <c r="EE53" s="70" t="str">
        <f aca="false">IF(OR(EE22="",ЕТАЛОН_ПЛ="",IFERROR(INDEX(БАЗА_ЦІНИ,11,IFERROR(MATCH(ЕТАЛОН_ПЛ,ПЛ_РЯДОК,0),0)),"")=""),"",EE22-IFERROR(INDEX(БАЗА_ЦІНИ,11,IFERROR(MATCH(ЕТАЛОН_ПЛ,ПЛ_РЯДОК,0),0)),""))</f>
        <v/>
      </c>
      <c r="EF53" s="71" t="str">
        <f aca="false">IF(OR(EE22="",ЕТАЛОН_ПЛ="",IFERROR(INDEX(БАЗА_ЦІНИ,11,IFERROR(MATCH(ЕТАЛОН_ПЛ,ПЛ_РЯДОК,0),0)),"")="",IFERROR(INDEX(БАЗА_ЦІНИ,11,IFERROR(MATCH(ЕТАЛОН_ПЛ,ПЛ_РЯДОК,0),0)),"")=0),"",EE22/IFERROR(INDEX(БАЗА_ЦІНИ,11,IFERROR(MATCH(ЕТАЛОН_ПЛ,ПЛ_РЯДОК,0),0)),"")-1)</f>
        <v/>
      </c>
      <c r="EG53" s="70" t="str">
        <f aca="false">IF(OR(EG22="",ЕТАЛОН_ПЛ="",IFERROR(INDEX(БАЗА_ЦІНИ,11,IFERROR(MATCH(ЕТАЛОН_ПЛ,ПЛ_РЯДОК,0),0)),"")=""),"",EG22-IFERROR(INDEX(БАЗА_ЦІНИ,11,IFERROR(MATCH(ЕТАЛОН_ПЛ,ПЛ_РЯДОК,0),0)),""))</f>
        <v/>
      </c>
      <c r="EH53" s="71" t="str">
        <f aca="false">IF(OR(EG22="",ЕТАЛОН_ПЛ="",IFERROR(INDEX(БАЗА_ЦІНИ,11,IFERROR(MATCH(ЕТАЛОН_ПЛ,ПЛ_РЯДОК,0),0)),"")="",IFERROR(INDEX(БАЗА_ЦІНИ,11,IFERROR(MATCH(ЕТАЛОН_ПЛ,ПЛ_РЯДОК,0),0)),"")=0),"",EG22/IFERROR(INDEX(БАЗА_ЦІНИ,11,IFERROR(MATCH(ЕТАЛОН_ПЛ,ПЛ_РЯДОК,0),0)),"")-1)</f>
        <v/>
      </c>
      <c r="EI53" s="70" t="str">
        <f aca="false">IF(OR(EI22="",ЕТАЛОН_ПЛ="",IFERROR(INDEX(БАЗА_ЦІНИ,11,IFERROR(MATCH(ЕТАЛОН_ПЛ,ПЛ_РЯДОК,0),0)),"")=""),"",EI22-IFERROR(INDEX(БАЗА_ЦІНИ,11,IFERROR(MATCH(ЕТАЛОН_ПЛ,ПЛ_РЯДОК,0),0)),""))</f>
        <v/>
      </c>
      <c r="EJ53" s="71" t="str">
        <f aca="false">IF(OR(EI22="",ЕТАЛОН_ПЛ="",IFERROR(INDEX(БАЗА_ЦІНИ,11,IFERROR(MATCH(ЕТАЛОН_ПЛ,ПЛ_РЯДОК,0),0)),"")="",IFERROR(INDEX(БАЗА_ЦІНИ,11,IFERROR(MATCH(ЕТАЛОН_ПЛ,ПЛ_РЯДОК,0),0)),"")=0),"",EI22/IFERROR(INDEX(БАЗА_ЦІНИ,11,IFERROR(MATCH(ЕТАЛОН_ПЛ,ПЛ_РЯДОК,0),0)),"")-1)</f>
        <v/>
      </c>
      <c r="EK53" s="70" t="str">
        <f aca="false">IF(OR(EK22="",ЕТАЛОН_ПЛ="",IFERROR(INDEX(БАЗА_ЦІНИ,11,IFERROR(MATCH(ЕТАЛОН_ПЛ,ПЛ_РЯДОК,0),0)),"")=""),"",EK22-IFERROR(INDEX(БАЗА_ЦІНИ,11,IFERROR(MATCH(ЕТАЛОН_ПЛ,ПЛ_РЯДОК,0),0)),""))</f>
        <v/>
      </c>
      <c r="EL53" s="71" t="str">
        <f aca="false">IF(OR(EK22="",ЕТАЛОН_ПЛ="",IFERROR(INDEX(БАЗА_ЦІНИ,11,IFERROR(MATCH(ЕТАЛОН_ПЛ,ПЛ_РЯДОК,0),0)),"")="",IFERROR(INDEX(БАЗА_ЦІНИ,11,IFERROR(MATCH(ЕТАЛОН_ПЛ,ПЛ_РЯДОК,0),0)),"")=0),"",EK22/IFERROR(INDEX(БАЗА_ЦІНИ,11,IFERROR(MATCH(ЕТАЛОН_ПЛ,ПЛ_РЯДОК,0),0)),"")-1)</f>
        <v/>
      </c>
      <c r="EM53" s="70" t="str">
        <f aca="false">IF(OR(EM22="",ЕТАЛОН_ПЛ="",IFERROR(INDEX(БАЗА_ЦІНИ,11,IFERROR(MATCH(ЕТАЛОН_ПЛ,ПЛ_РЯДОК,0),0)),"")=""),"",EM22-IFERROR(INDEX(БАЗА_ЦІНИ,11,IFERROR(MATCH(ЕТАЛОН_ПЛ,ПЛ_РЯДОК,0),0)),""))</f>
        <v/>
      </c>
      <c r="EN53" s="71" t="str">
        <f aca="false">IF(OR(EM22="",ЕТАЛОН_ПЛ="",IFERROR(INDEX(БАЗА_ЦІНИ,11,IFERROR(MATCH(ЕТАЛОН_ПЛ,ПЛ_РЯДОК,0),0)),"")="",IFERROR(INDEX(БАЗА_ЦІНИ,11,IFERROR(MATCH(ЕТАЛОН_ПЛ,ПЛ_РЯДОК,0),0)),"")=0),"",EM22/IFERROR(INDEX(БАЗА_ЦІНИ,11,IFERROR(MATCH(ЕТАЛОН_ПЛ,ПЛ_РЯДОК,0),0)),"")-1)</f>
        <v/>
      </c>
      <c r="EO53" s="70" t="str">
        <f aca="false">IF(OR(EO22="",ЕТАЛОН_ПЛ="",IFERROR(INDEX(БАЗА_ЦІНИ,11,IFERROR(MATCH(ЕТАЛОН_ПЛ,ПЛ_РЯДОК,0),0)),"")=""),"",EO22-IFERROR(INDEX(БАЗА_ЦІНИ,11,IFERROR(MATCH(ЕТАЛОН_ПЛ,ПЛ_РЯДОК,0),0)),""))</f>
        <v/>
      </c>
      <c r="EP53" s="71" t="str">
        <f aca="false">IF(OR(EO22="",ЕТАЛОН_ПЛ="",IFERROR(INDEX(БАЗА_ЦІНИ,11,IFERROR(MATCH(ЕТАЛОН_ПЛ,ПЛ_РЯДОК,0),0)),"")="",IFERROR(INDEX(БАЗА_ЦІНИ,11,IFERROR(MATCH(ЕТАЛОН_ПЛ,ПЛ_РЯДОК,0),0)),"")=0),"",EO22/IFERROR(INDEX(БАЗА_ЦІНИ,11,IFERROR(MATCH(ЕТАЛОН_ПЛ,ПЛ_РЯДОК,0),0)),"")-1)</f>
        <v/>
      </c>
      <c r="EQ53" s="70" t="str">
        <f aca="false">IF(OR(EQ22="",ЕТАЛОН_ПЛ="",IFERROR(INDEX(БАЗА_ЦІНИ,11,IFERROR(MATCH(ЕТАЛОН_ПЛ,ПЛ_РЯДОК,0),0)),"")=""),"",EQ22-IFERROR(INDEX(БАЗА_ЦІНИ,11,IFERROR(MATCH(ЕТАЛОН_ПЛ,ПЛ_РЯДОК,0),0)),""))</f>
        <v/>
      </c>
      <c r="ER53" s="71" t="str">
        <f aca="false">IF(OR(EQ22="",ЕТАЛОН_ПЛ="",IFERROR(INDEX(БАЗА_ЦІНИ,11,IFERROR(MATCH(ЕТАЛОН_ПЛ,ПЛ_РЯДОК,0),0)),"")="",IFERROR(INDEX(БАЗА_ЦІНИ,11,IFERROR(MATCH(ЕТАЛОН_ПЛ,ПЛ_РЯДОК,0),0)),"")=0),"",EQ22/IFERROR(INDEX(БАЗА_ЦІНИ,11,IFERROR(MATCH(ЕТАЛОН_ПЛ,ПЛ_РЯДОК,0),0)),"")-1)</f>
        <v/>
      </c>
      <c r="ES53" s="70" t="str">
        <f aca="false">IF(OR(ES22="",ЕТАЛОН_ПЛ="",IFERROR(INDEX(БАЗА_ЦІНИ,11,IFERROR(MATCH(ЕТАЛОН_ПЛ,ПЛ_РЯДОК,0),0)),"")=""),"",ES22-IFERROR(INDEX(БАЗА_ЦІНИ,11,IFERROR(MATCH(ЕТАЛОН_ПЛ,ПЛ_РЯДОК,0),0)),""))</f>
        <v/>
      </c>
      <c r="ET53" s="71" t="str">
        <f aca="false">IF(OR(ES22="",ЕТАЛОН_ПЛ="",IFERROR(INDEX(БАЗА_ЦІНИ,11,IFERROR(MATCH(ЕТАЛОН_ПЛ,ПЛ_РЯДОК,0),0)),"")="",IFERROR(INDEX(БАЗА_ЦІНИ,11,IFERROR(MATCH(ЕТАЛОН_ПЛ,ПЛ_РЯДОК,0),0)),"")=0),"",ES22/IFERROR(INDEX(БАЗА_ЦІНИ,11,IFERROR(MATCH(ЕТАЛОН_ПЛ,ПЛ_РЯДОК,0),0)),"")-1)</f>
        <v/>
      </c>
      <c r="EU53" s="70" t="str">
        <f aca="false">IF(OR(EU22="",ЕТАЛОН_ПЛ="",IFERROR(INDEX(БАЗА_ЦІНИ,11,IFERROR(MATCH(ЕТАЛОН_ПЛ,ПЛ_РЯДОК,0),0)),"")=""),"",EU22-IFERROR(INDEX(БАЗА_ЦІНИ,11,IFERROR(MATCH(ЕТАЛОН_ПЛ,ПЛ_РЯДОК,0),0)),""))</f>
        <v/>
      </c>
      <c r="EV53" s="71" t="str">
        <f aca="false">IF(OR(EU22="",ЕТАЛОН_ПЛ="",IFERROR(INDEX(БАЗА_ЦІНИ,11,IFERROR(MATCH(ЕТАЛОН_ПЛ,ПЛ_РЯДОК,0),0)),"")="",IFERROR(INDEX(БАЗА_ЦІНИ,11,IFERROR(MATCH(ЕТАЛОН_ПЛ,ПЛ_РЯДОК,0),0)),"")=0),"",EU22/IFERROR(INDEX(БАЗА_ЦІНИ,11,IFERROR(MATCH(ЕТАЛОН_ПЛ,ПЛ_РЯДОК,0),0)),"")-1)</f>
        <v/>
      </c>
      <c r="EW53" s="70" t="str">
        <f aca="false">IF(OR(EW22="",ЕТАЛОН_ПЛ="",IFERROR(INDEX(БАЗА_ЦІНИ,11,IFERROR(MATCH(ЕТАЛОН_ПЛ,ПЛ_РЯДОК,0),0)),"")=""),"",EW22-IFERROR(INDEX(БАЗА_ЦІНИ,11,IFERROR(MATCH(ЕТАЛОН_ПЛ,ПЛ_РЯДОК,0),0)),""))</f>
        <v/>
      </c>
      <c r="EX53" s="71" t="str">
        <f aca="false">IF(OR(EW22="",ЕТАЛОН_ПЛ="",IFERROR(INDEX(БАЗА_ЦІНИ,11,IFERROR(MATCH(ЕТАЛОН_ПЛ,ПЛ_РЯДОК,0),0)),"")="",IFERROR(INDEX(БАЗА_ЦІНИ,11,IFERROR(MATCH(ЕТАЛОН_ПЛ,ПЛ_РЯДОК,0),0)),"")=0),"",EW22/IFERROR(INDEX(БАЗА_ЦІНИ,11,IFERROR(MATCH(ЕТАЛОН_ПЛ,ПЛ_РЯДОК,0),0)),"")-1)</f>
        <v/>
      </c>
      <c r="EY53" s="70" t="str">
        <f aca="false">IF(OR(EY22="",ЕТАЛОН_ПЛ="",IFERROR(INDEX(БАЗА_ЦІНИ,11,IFERROR(MATCH(ЕТАЛОН_ПЛ,ПЛ_РЯДОК,0),0)),"")=""),"",EY22-IFERROR(INDEX(БАЗА_ЦІНИ,11,IFERROR(MATCH(ЕТАЛОН_ПЛ,ПЛ_РЯДОК,0),0)),""))</f>
        <v/>
      </c>
      <c r="EZ53" s="71" t="str">
        <f aca="false">IF(OR(EY22="",ЕТАЛОН_ПЛ="",IFERROR(INDEX(БАЗА_ЦІНИ,11,IFERROR(MATCH(ЕТАЛОН_ПЛ,ПЛ_РЯДОК,0),0)),"")="",IFERROR(INDEX(БАЗА_ЦІНИ,11,IFERROR(MATCH(ЕТАЛОН_ПЛ,ПЛ_РЯДОК,0),0)),"")=0),"",EY22/IFERROR(INDEX(БАЗА_ЦІНИ,11,IFERROR(MATCH(ЕТАЛОН_ПЛ,ПЛ_РЯДОК,0),0)),"")-1)</f>
        <v/>
      </c>
      <c r="FA53" s="70" t="str">
        <f aca="false">IF(OR(FA22="",ЕТАЛОН_ПЛ="",IFERROR(INDEX(БАЗА_ЦІНИ,11,IFERROR(MATCH(ЕТАЛОН_ПЛ,ПЛ_РЯДОК,0),0)),"")=""),"",FA22-IFERROR(INDEX(БАЗА_ЦІНИ,11,IFERROR(MATCH(ЕТАЛОН_ПЛ,ПЛ_РЯДОК,0),0)),""))</f>
        <v/>
      </c>
      <c r="FB53" s="71" t="str">
        <f aca="false">IF(OR(FA22="",ЕТАЛОН_ПЛ="",IFERROR(INDEX(БАЗА_ЦІНИ,11,IFERROR(MATCH(ЕТАЛОН_ПЛ,ПЛ_РЯДОК,0),0)),"")="",IFERROR(INDEX(БАЗА_ЦІНИ,11,IFERROR(MATCH(ЕТАЛОН_ПЛ,ПЛ_РЯДОК,0),0)),"")=0),"",FA22/IFERROR(INDEX(БАЗА_ЦІНИ,11,IFERROR(MATCH(ЕТАЛОН_ПЛ,ПЛ_РЯДОК,0),0)),"")-1)</f>
        <v/>
      </c>
      <c r="FC53" s="70" t="str">
        <f aca="false">IF(OR(FC22="",ЕТАЛОН_ПЛ="",IFERROR(INDEX(БАЗА_ЦІНИ,11,IFERROR(MATCH(ЕТАЛОН_ПЛ,ПЛ_РЯДОК,0),0)),"")=""),"",FC22-IFERROR(INDEX(БАЗА_ЦІНИ,11,IFERROR(MATCH(ЕТАЛОН_ПЛ,ПЛ_РЯДОК,0),0)),""))</f>
        <v/>
      </c>
      <c r="FD53" s="71" t="str">
        <f aca="false">IF(OR(FC22="",ЕТАЛОН_ПЛ="",IFERROR(INDEX(БАЗА_ЦІНИ,11,IFERROR(MATCH(ЕТАЛОН_ПЛ,ПЛ_РЯДОК,0),0)),"")="",IFERROR(INDEX(БАЗА_ЦІНИ,11,IFERROR(MATCH(ЕТАЛОН_ПЛ,ПЛ_РЯДОК,0),0)),"")=0),"",FC22/IFERROR(INDEX(БАЗА_ЦІНИ,11,IFERROR(MATCH(ЕТАЛОН_ПЛ,ПЛ_РЯДОК,0),0)),"")-1)</f>
        <v/>
      </c>
      <c r="FE53" s="70" t="str">
        <f aca="false">IF(OR(FE22="",ЕТАЛОН_ПЛ="",IFERROR(INDEX(БАЗА_ЦІНИ,11,IFERROR(MATCH(ЕТАЛОН_ПЛ,ПЛ_РЯДОК,0),0)),"")=""),"",FE22-IFERROR(INDEX(БАЗА_ЦІНИ,11,IFERROR(MATCH(ЕТАЛОН_ПЛ,ПЛ_РЯДОК,0),0)),""))</f>
        <v/>
      </c>
      <c r="FF53" s="71" t="str">
        <f aca="false">IF(OR(FE22="",ЕТАЛОН_ПЛ="",IFERROR(INDEX(БАЗА_ЦІНИ,11,IFERROR(MATCH(ЕТАЛОН_ПЛ,ПЛ_РЯДОК,0),0)),"")="",IFERROR(INDEX(БАЗА_ЦІНИ,11,IFERROR(MATCH(ЕТАЛОН_ПЛ,ПЛ_РЯДОК,0),0)),"")=0),"",FE22/IFERROR(INDEX(БАЗА_ЦІНИ,11,IFERROR(MATCH(ЕТАЛОН_ПЛ,ПЛ_РЯДОК,0),0)),"")-1)</f>
        <v/>
      </c>
      <c r="FG53" s="70" t="str">
        <f aca="false">IF(OR(FG22="",ЕТАЛОН_ПЛ="",IFERROR(INDEX(БАЗА_ЦІНИ,11,IFERROR(MATCH(ЕТАЛОН_ПЛ,ПЛ_РЯДОК,0),0)),"")=""),"",FG22-IFERROR(INDEX(БАЗА_ЦІНИ,11,IFERROR(MATCH(ЕТАЛОН_ПЛ,ПЛ_РЯДОК,0),0)),""))</f>
        <v/>
      </c>
      <c r="FH53" s="71" t="str">
        <f aca="false">IF(OR(FG22="",ЕТАЛОН_ПЛ="",IFERROR(INDEX(БАЗА_ЦІНИ,11,IFERROR(MATCH(ЕТАЛОН_ПЛ,ПЛ_РЯДОК,0),0)),"")="",IFERROR(INDEX(БАЗА_ЦІНИ,11,IFERROR(MATCH(ЕТАЛОН_ПЛ,ПЛ_РЯДОК,0),0)),"")=0),"",FG22/IFERROR(INDEX(БАЗА_ЦІНИ,11,IFERROR(MATCH(ЕТАЛОН_ПЛ,ПЛ_РЯДОК,0),0)),"")-1)</f>
        <v/>
      </c>
      <c r="FI53" s="70" t="str">
        <f aca="false">IF(OR(FI22="",ЕТАЛОН_ПЛ="",IFERROR(INDEX(БАЗА_ЦІНИ,11,IFERROR(MATCH(ЕТАЛОН_ПЛ,ПЛ_РЯДОК,0),0)),"")=""),"",FI22-IFERROR(INDEX(БАЗА_ЦІНИ,11,IFERROR(MATCH(ЕТАЛОН_ПЛ,ПЛ_РЯДОК,0),0)),""))</f>
        <v/>
      </c>
      <c r="FJ53" s="71" t="str">
        <f aca="false">IF(OR(FI22="",ЕТАЛОН_ПЛ="",IFERROR(INDEX(БАЗА_ЦІНИ,11,IFERROR(MATCH(ЕТАЛОН_ПЛ,ПЛ_РЯДОК,0),0)),"")="",IFERROR(INDEX(БАЗА_ЦІНИ,11,IFERROR(MATCH(ЕТАЛОН_ПЛ,ПЛ_РЯДОК,0),0)),"")=0),"",FI22/IFERROR(INDEX(БАЗА_ЦІНИ,11,IFERROR(MATCH(ЕТАЛОН_ПЛ,ПЛ_РЯДОК,0),0)),"")-1)</f>
        <v/>
      </c>
      <c r="FK53" s="70" t="str">
        <f aca="false">IF(OR(FK22="",ЕТАЛОН_ПЛ="",IFERROR(INDEX(БАЗА_ЦІНИ,11,IFERROR(MATCH(ЕТАЛОН_ПЛ,ПЛ_РЯДОК,0),0)),"")=""),"",FK22-IFERROR(INDEX(БАЗА_ЦІНИ,11,IFERROR(MATCH(ЕТАЛОН_ПЛ,ПЛ_РЯДОК,0),0)),""))</f>
        <v/>
      </c>
      <c r="FL53" s="71" t="str">
        <f aca="false">IF(OR(FK22="",ЕТАЛОН_ПЛ="",IFERROR(INDEX(БАЗА_ЦІНИ,11,IFERROR(MATCH(ЕТАЛОН_ПЛ,ПЛ_РЯДОК,0),0)),"")="",IFERROR(INDEX(БАЗА_ЦІНИ,11,IFERROR(MATCH(ЕТАЛОН_ПЛ,ПЛ_РЯДОК,0),0)),"")=0),"",FK22/IFERROR(INDEX(БАЗА_ЦІНИ,11,IFERROR(MATCH(ЕТАЛОН_ПЛ,ПЛ_РЯДОК,0),0)),"")-1)</f>
        <v/>
      </c>
      <c r="FM53" s="70" t="str">
        <f aca="false">IF(OR(FM22="",ЕТАЛОН_ПЛ="",IFERROR(INDEX(БАЗА_ЦІНИ,11,IFERROR(MATCH(ЕТАЛОН_ПЛ,ПЛ_РЯДОК,0),0)),"")=""),"",FM22-IFERROR(INDEX(БАЗА_ЦІНИ,11,IFERROR(MATCH(ЕТАЛОН_ПЛ,ПЛ_РЯДОК,0),0)),""))</f>
        <v/>
      </c>
      <c r="FN53" s="71" t="str">
        <f aca="false">IF(OR(FM22="",ЕТАЛОН_ПЛ="",IFERROR(INDEX(БАЗА_ЦІНИ,11,IFERROR(MATCH(ЕТАЛОН_ПЛ,ПЛ_РЯДОК,0),0)),"")="",IFERROR(INDEX(БАЗА_ЦІНИ,11,IFERROR(MATCH(ЕТАЛОН_ПЛ,ПЛ_РЯДОК,0),0)),"")=0),"",FM22/IFERROR(INDEX(БАЗА_ЦІНИ,11,IFERROR(MATCH(ЕТАЛОН_ПЛ,ПЛ_РЯДОК,0),0)),"")-1)</f>
        <v/>
      </c>
      <c r="FO53" s="70" t="str">
        <f aca="false">IF(OR(FO22="",ЕТАЛОН_ПЛ="",IFERROR(INDEX(БАЗА_ЦІНИ,11,IFERROR(MATCH(ЕТАЛОН_ПЛ,ПЛ_РЯДОК,0),0)),"")=""),"",FO22-IFERROR(INDEX(БАЗА_ЦІНИ,11,IFERROR(MATCH(ЕТАЛОН_ПЛ,ПЛ_РЯДОК,0),0)),""))</f>
        <v/>
      </c>
      <c r="FP53" s="71" t="str">
        <f aca="false">IF(OR(FO22="",ЕТАЛОН_ПЛ="",IFERROR(INDEX(БАЗА_ЦІНИ,11,IFERROR(MATCH(ЕТАЛОН_ПЛ,ПЛ_РЯДОК,0),0)),"")="",IFERROR(INDEX(БАЗА_ЦІНИ,11,IFERROR(MATCH(ЕТАЛОН_ПЛ,ПЛ_РЯДОК,0),0)),"")=0),"",FO22/IFERROR(INDEX(БАЗА_ЦІНИ,11,IFERROR(MATCH(ЕТАЛОН_ПЛ,ПЛ_РЯДОК,0),0)),"")-1)</f>
        <v/>
      </c>
      <c r="FQ53" s="70" t="str">
        <f aca="false">IF(OR(FQ22="",ЕТАЛОН_ПЛ="",IFERROR(INDEX(БАЗА_ЦІНИ,11,IFERROR(MATCH(ЕТАЛОН_ПЛ,ПЛ_РЯДОК,0),0)),"")=""),"",FQ22-IFERROR(INDEX(БАЗА_ЦІНИ,11,IFERROR(MATCH(ЕТАЛОН_ПЛ,ПЛ_РЯДОК,0),0)),""))</f>
        <v/>
      </c>
      <c r="FR53" s="71" t="str">
        <f aca="false">IF(OR(FQ22="",ЕТАЛОН_ПЛ="",IFERROR(INDEX(БАЗА_ЦІНИ,11,IFERROR(MATCH(ЕТАЛОН_ПЛ,ПЛ_РЯДОК,0),0)),"")="",IFERROR(INDEX(БАЗА_ЦІНИ,11,IFERROR(MATCH(ЕТАЛОН_ПЛ,ПЛ_РЯДОК,0),0)),"")=0),"",FQ22/IFERROR(INDEX(БАЗА_ЦІНИ,11,IFERROR(MATCH(ЕТАЛОН_ПЛ,ПЛ_РЯДОК,0),0)),"")-1)</f>
        <v/>
      </c>
      <c r="FS53" s="70" t="str">
        <f aca="false">IF(OR(FS22="",ЕТАЛОН_ПЛ="",IFERROR(INDEX(БАЗА_ЦІНИ,11,IFERROR(MATCH(ЕТАЛОН_ПЛ,ПЛ_РЯДОК,0),0)),"")=""),"",FS22-IFERROR(INDEX(БАЗА_ЦІНИ,11,IFERROR(MATCH(ЕТАЛОН_ПЛ,ПЛ_РЯДОК,0),0)),""))</f>
        <v/>
      </c>
      <c r="FT53" s="71" t="str">
        <f aca="false">IF(OR(FS22="",ЕТАЛОН_ПЛ="",IFERROR(INDEX(БАЗА_ЦІНИ,11,IFERROR(MATCH(ЕТАЛОН_ПЛ,ПЛ_РЯДОК,0),0)),"")="",IFERROR(INDEX(БАЗА_ЦІНИ,11,IFERROR(MATCH(ЕТАЛОН_ПЛ,ПЛ_РЯДОК,0),0)),"")=0),"",FS22/IFERROR(INDEX(БАЗА_ЦІНИ,11,IFERROR(MATCH(ЕТАЛОН_ПЛ,ПЛ_РЯДОК,0),0)),"")-1)</f>
        <v/>
      </c>
      <c r="FU53" s="70" t="str">
        <f aca="false">IF(OR(FU22="",ЕТАЛОН_ПЛ="",IFERROR(INDEX(БАЗА_ЦІНИ,11,IFERROR(MATCH(ЕТАЛОН_ПЛ,ПЛ_РЯДОК,0),0)),"")=""),"",FU22-IFERROR(INDEX(БАЗА_ЦІНИ,11,IFERROR(MATCH(ЕТАЛОН_ПЛ,ПЛ_РЯДОК,0),0)),""))</f>
        <v/>
      </c>
      <c r="FV53" s="71" t="str">
        <f aca="false">IF(OR(FU22="",ЕТАЛОН_ПЛ="",IFERROR(INDEX(БАЗА_ЦІНИ,11,IFERROR(MATCH(ЕТАЛОН_ПЛ,ПЛ_РЯДОК,0),0)),"")="",IFERROR(INDEX(БАЗА_ЦІНИ,11,IFERROR(MATCH(ЕТАЛОН_ПЛ,ПЛ_РЯДОК,0),0)),"")=0),"",FU22/IFERROR(INDEX(БАЗА_ЦІНИ,11,IFERROR(MATCH(ЕТАЛОН_ПЛ,ПЛ_РЯДОК,0),0)),"")-1)</f>
        <v/>
      </c>
      <c r="FW53" s="70" t="str">
        <f aca="false">IF(OR(FW22="",ЕТАЛОН_ПЛ="",IFERROR(INDEX(БАЗА_ЦІНИ,11,IFERROR(MATCH(ЕТАЛОН_ПЛ,ПЛ_РЯДОК,0),0)),"")=""),"",FW22-IFERROR(INDEX(БАЗА_ЦІНИ,11,IFERROR(MATCH(ЕТАЛОН_ПЛ,ПЛ_РЯДОК,0),0)),""))</f>
        <v/>
      </c>
      <c r="FX53" s="71" t="str">
        <f aca="false">IF(OR(FW22="",ЕТАЛОН_ПЛ="",IFERROR(INDEX(БАЗА_ЦІНИ,11,IFERROR(MATCH(ЕТАЛОН_ПЛ,ПЛ_РЯДОК,0),0)),"")="",IFERROR(INDEX(БАЗА_ЦІНИ,11,IFERROR(MATCH(ЕТАЛОН_ПЛ,ПЛ_РЯДОК,0),0)),"")=0),"",FW22/IFERROR(INDEX(БАЗА_ЦІНИ,11,IFERROR(MATCH(ЕТАЛОН_ПЛ,ПЛ_РЯДОК,0),0)),"")-1)</f>
        <v/>
      </c>
      <c r="FY53" s="70" t="str">
        <f aca="false">IF(OR(FY22="",ЕТАЛОН_ПЛ="",IFERROR(INDEX(БАЗА_ЦІНИ,11,IFERROR(MATCH(ЕТАЛОН_ПЛ,ПЛ_РЯДОК,0),0)),"")=""),"",FY22-IFERROR(INDEX(БАЗА_ЦІНИ,11,IFERROR(MATCH(ЕТАЛОН_ПЛ,ПЛ_РЯДОК,0),0)),""))</f>
        <v/>
      </c>
      <c r="FZ53" s="71" t="str">
        <f aca="false">IF(OR(FY22="",ЕТАЛОН_ПЛ="",IFERROR(INDEX(БАЗА_ЦІНИ,11,IFERROR(MATCH(ЕТАЛОН_ПЛ,ПЛ_РЯДОК,0),0)),"")="",IFERROR(INDEX(БАЗА_ЦІНИ,11,IFERROR(MATCH(ЕТАЛОН_ПЛ,ПЛ_РЯДОК,0),0)),"")=0),"",FY22/IFERROR(INDEX(БАЗА_ЦІНИ,11,IFERROR(MATCH(ЕТАЛОН_ПЛ,ПЛ_РЯДОК,0),0)),"")-1)</f>
        <v/>
      </c>
      <c r="GA53" s="70" t="str">
        <f aca="false">IF(OR(GA22="",ЕТАЛОН_ПЛ="",IFERROR(INDEX(БАЗА_ЦІНИ,11,IFERROR(MATCH(ЕТАЛОН_ПЛ,ПЛ_РЯДОК,0),0)),"")=""),"",GA22-IFERROR(INDEX(БАЗА_ЦІНИ,11,IFERROR(MATCH(ЕТАЛОН_ПЛ,ПЛ_РЯДОК,0),0)),""))</f>
        <v/>
      </c>
      <c r="GB53" s="71" t="str">
        <f aca="false">IF(OR(GA22="",ЕТАЛОН_ПЛ="",IFERROR(INDEX(БАЗА_ЦІНИ,11,IFERROR(MATCH(ЕТАЛОН_ПЛ,ПЛ_РЯДОК,0),0)),"")="",IFERROR(INDEX(БАЗА_ЦІНИ,11,IFERROR(MATCH(ЕТАЛОН_ПЛ,ПЛ_РЯДОК,0),0)),"")=0),"",GA22/IFERROR(INDEX(БАЗА_ЦІНИ,11,IFERROR(MATCH(ЕТАЛОН_ПЛ,ПЛ_РЯДОК,0),0)),"")-1)</f>
        <v/>
      </c>
      <c r="GC53" s="70" t="str">
        <f aca="false">IF(OR(GC22="",ЕТАЛОН_ПЛ="",IFERROR(INDEX(БАЗА_ЦІНИ,11,IFERROR(MATCH(ЕТАЛОН_ПЛ,ПЛ_РЯДОК,0),0)),"")=""),"",GC22-IFERROR(INDEX(БАЗА_ЦІНИ,11,IFERROR(MATCH(ЕТАЛОН_ПЛ,ПЛ_РЯДОК,0),0)),""))</f>
        <v/>
      </c>
      <c r="GD53" s="71" t="str">
        <f aca="false">IF(OR(GC22="",ЕТАЛОН_ПЛ="",IFERROR(INDEX(БАЗА_ЦІНИ,11,IFERROR(MATCH(ЕТАЛОН_ПЛ,ПЛ_РЯДОК,0),0)),"")="",IFERROR(INDEX(БАЗА_ЦІНИ,11,IFERROR(MATCH(ЕТАЛОН_ПЛ,ПЛ_РЯДОК,0),0)),"")=0),"",GC22/IFERROR(INDEX(БАЗА_ЦІНИ,11,IFERROR(MATCH(ЕТАЛОН_ПЛ,ПЛ_РЯДОК,0),0)),"")-1)</f>
        <v/>
      </c>
      <c r="GE53" s="70" t="str">
        <f aca="false">IF(OR(GE22="",ЕТАЛОН_ПЛ="",IFERROR(INDEX(БАЗА_ЦІНИ,11,IFERROR(MATCH(ЕТАЛОН_ПЛ,ПЛ_РЯДОК,0),0)),"")=""),"",GE22-IFERROR(INDEX(БАЗА_ЦІНИ,11,IFERROR(MATCH(ЕТАЛОН_ПЛ,ПЛ_РЯДОК,0),0)),""))</f>
        <v/>
      </c>
      <c r="GF53" s="71" t="str">
        <f aca="false">IF(OR(GE22="",ЕТАЛОН_ПЛ="",IFERROR(INDEX(БАЗА_ЦІНИ,11,IFERROR(MATCH(ЕТАЛОН_ПЛ,ПЛ_РЯДОК,0),0)),"")="",IFERROR(INDEX(БАЗА_ЦІНИ,11,IFERROR(MATCH(ЕТАЛОН_ПЛ,ПЛ_РЯДОК,0),0)),"")=0),"",GE22/IFERROR(INDEX(БАЗА_ЦІНИ,11,IFERROR(MATCH(ЕТАЛОН_ПЛ,ПЛ_РЯДОК,0),0)),"")-1)</f>
        <v/>
      </c>
      <c r="GG53" s="70" t="str">
        <f aca="false">IF(OR(GG22="",ЕТАЛОН_ПЛ="",IFERROR(INDEX(БАЗА_ЦІНИ,11,IFERROR(MATCH(ЕТАЛОН_ПЛ,ПЛ_РЯДОК,0),0)),"")=""),"",GG22-IFERROR(INDEX(БАЗА_ЦІНИ,11,IFERROR(MATCH(ЕТАЛОН_ПЛ,ПЛ_РЯДОК,0),0)),""))</f>
        <v/>
      </c>
      <c r="GH53" s="71" t="str">
        <f aca="false">IF(OR(GG22="",ЕТАЛОН_ПЛ="",IFERROR(INDEX(БАЗА_ЦІНИ,11,IFERROR(MATCH(ЕТАЛОН_ПЛ,ПЛ_РЯДОК,0),0)),"")="",IFERROR(INDEX(БАЗА_ЦІНИ,11,IFERROR(MATCH(ЕТАЛОН_ПЛ,ПЛ_РЯДОК,0),0)),"")=0),"",GG22/IFERROR(INDEX(БАЗА_ЦІНИ,11,IFERROR(MATCH(ЕТАЛОН_ПЛ,ПЛ_РЯДОК,0),0)),"")-1)</f>
        <v/>
      </c>
      <c r="GI53" s="70" t="str">
        <f aca="false">IF(OR(GI22="",ЕТАЛОН_ПЛ="",IFERROR(INDEX(БАЗА_ЦІНИ,11,IFERROR(MATCH(ЕТАЛОН_ПЛ,ПЛ_РЯДОК,0),0)),"")=""),"",GI22-IFERROR(INDEX(БАЗА_ЦІНИ,11,IFERROR(MATCH(ЕТАЛОН_ПЛ,ПЛ_РЯДОК,0),0)),""))</f>
        <v/>
      </c>
      <c r="GJ53" s="71" t="str">
        <f aca="false">IF(OR(GI22="",ЕТАЛОН_ПЛ="",IFERROR(INDEX(БАЗА_ЦІНИ,11,IFERROR(MATCH(ЕТАЛОН_ПЛ,ПЛ_РЯДОК,0),0)),"")="",IFERROR(INDEX(БАЗА_ЦІНИ,11,IFERROR(MATCH(ЕТАЛОН_ПЛ,ПЛ_РЯДОК,0),0)),"")=0),"",GI22/IFERROR(INDEX(БАЗА_ЦІНИ,11,IFERROR(MATCH(ЕТАЛОН_ПЛ,ПЛ_РЯДОК,0),0)),"")-1)</f>
        <v/>
      </c>
      <c r="GK53" s="70" t="str">
        <f aca="false">IF(OR(GK22="",ЕТАЛОН_ПЛ="",IFERROR(INDEX(БАЗА_ЦІНИ,11,IFERROR(MATCH(ЕТАЛОН_ПЛ,ПЛ_РЯДОК,0),0)),"")=""),"",GK22-IFERROR(INDEX(БАЗА_ЦІНИ,11,IFERROR(MATCH(ЕТАЛОН_ПЛ,ПЛ_РЯДОК,0),0)),""))</f>
        <v/>
      </c>
      <c r="GL53" s="71" t="str">
        <f aca="false">IF(OR(GK22="",ЕТАЛОН_ПЛ="",IFERROR(INDEX(БАЗА_ЦІНИ,11,IFERROR(MATCH(ЕТАЛОН_ПЛ,ПЛ_РЯДОК,0),0)),"")="",IFERROR(INDEX(БАЗА_ЦІНИ,11,IFERROR(MATCH(ЕТАЛОН_ПЛ,ПЛ_РЯДОК,0),0)),"")=0),"",GK22/IFERROR(INDEX(БАЗА_ЦІНИ,11,IFERROR(MATCH(ЕТАЛОН_ПЛ,ПЛ_РЯДОК,0),0)),"")-1)</f>
        <v/>
      </c>
      <c r="GM53" s="70" t="str">
        <f aca="false">IF(OR(GM22="",ЕТАЛОН_ПЛ="",IFERROR(INDEX(БАЗА_ЦІНИ,11,IFERROR(MATCH(ЕТАЛОН_ПЛ,ПЛ_РЯДОК,0),0)),"")=""),"",GM22-IFERROR(INDEX(БАЗА_ЦІНИ,11,IFERROR(MATCH(ЕТАЛОН_ПЛ,ПЛ_РЯДОК,0),0)),""))</f>
        <v/>
      </c>
      <c r="GN53" s="71" t="str">
        <f aca="false">IF(OR(GM22="",ЕТАЛОН_ПЛ="",IFERROR(INDEX(БАЗА_ЦІНИ,11,IFERROR(MATCH(ЕТАЛОН_ПЛ,ПЛ_РЯДОК,0),0)),"")="",IFERROR(INDEX(БАЗА_ЦІНИ,11,IFERROR(MATCH(ЕТАЛОН_ПЛ,ПЛ_РЯДОК,0),0)),"")=0),"",GM22/IFERROR(INDEX(БАЗА_ЦІНИ,11,IFERROR(MATCH(ЕТАЛОН_ПЛ,ПЛ_РЯДОК,0),0)),"")-1)</f>
        <v/>
      </c>
      <c r="GO53" s="70" t="str">
        <f aca="false">IF(OR(GO22="",ЕТАЛОН_ПЛ="",IFERROR(INDEX(БАЗА_ЦІНИ,11,IFERROR(MATCH(ЕТАЛОН_ПЛ,ПЛ_РЯДОК,0),0)),"")=""),"",GO22-IFERROR(INDEX(БАЗА_ЦІНИ,11,IFERROR(MATCH(ЕТАЛОН_ПЛ,ПЛ_РЯДОК,0),0)),""))</f>
        <v/>
      </c>
      <c r="GP53" s="71" t="str">
        <f aca="false">IF(OR(GO22="",ЕТАЛОН_ПЛ="",IFERROR(INDEX(БАЗА_ЦІНИ,11,IFERROR(MATCH(ЕТАЛОН_ПЛ,ПЛ_РЯДОК,0),0)),"")="",IFERROR(INDEX(БАЗА_ЦІНИ,11,IFERROR(MATCH(ЕТАЛОН_ПЛ,ПЛ_РЯДОК,0),0)),"")=0),"",GO22/IFERROR(INDEX(БАЗА_ЦІНИ,11,IFERROR(MATCH(ЕТАЛОН_ПЛ,ПЛ_РЯДОК,0),0)),"")-1)</f>
        <v/>
      </c>
      <c r="GQ53" s="70" t="str">
        <f aca="false">IF(OR(GQ22="",ЕТАЛОН_ПЛ="",IFERROR(INDEX(БАЗА_ЦІНИ,11,IFERROR(MATCH(ЕТАЛОН_ПЛ,ПЛ_РЯДОК,0),0)),"")=""),"",GQ22-IFERROR(INDEX(БАЗА_ЦІНИ,11,IFERROR(MATCH(ЕТАЛОН_ПЛ,ПЛ_РЯДОК,0),0)),""))</f>
        <v/>
      </c>
      <c r="GR53" s="71" t="str">
        <f aca="false">IF(OR(GQ22="",ЕТАЛОН_ПЛ="",IFERROR(INDEX(БАЗА_ЦІНИ,11,IFERROR(MATCH(ЕТАЛОН_ПЛ,ПЛ_РЯДОК,0),0)),"")="",IFERROR(INDEX(БАЗА_ЦІНИ,11,IFERROR(MATCH(ЕТАЛОН_ПЛ,ПЛ_РЯДОК,0),0)),"")=0),"",GQ22/IFERROR(INDEX(БАЗА_ЦІНИ,11,IFERROR(MATCH(ЕТАЛОН_ПЛ,ПЛ_РЯДОК,0),0)),"")-1)</f>
        <v/>
      </c>
      <c r="GS53" s="70" t="str">
        <f aca="false">IF(OR(GS22="",ЕТАЛОН_ПЛ="",IFERROR(INDEX(БАЗА_ЦІНИ,11,IFERROR(MATCH(ЕТАЛОН_ПЛ,ПЛ_РЯДОК,0),0)),"")=""),"",GS22-IFERROR(INDEX(БАЗА_ЦІНИ,11,IFERROR(MATCH(ЕТАЛОН_ПЛ,ПЛ_РЯДОК,0),0)),""))</f>
        <v/>
      </c>
      <c r="GT53" s="71" t="str">
        <f aca="false">IF(OR(GS22="",ЕТАЛОН_ПЛ="",IFERROR(INDEX(БАЗА_ЦІНИ,11,IFERROR(MATCH(ЕТАЛОН_ПЛ,ПЛ_РЯДОК,0),0)),"")="",IFERROR(INDEX(БАЗА_ЦІНИ,11,IFERROR(MATCH(ЕТАЛОН_ПЛ,ПЛ_РЯДОК,0),0)),"")=0),"",GS22/IFERROR(INDEX(БАЗА_ЦІНИ,11,IFERROR(MATCH(ЕТАЛОН_ПЛ,ПЛ_РЯДОК,0),0)),"")-1)</f>
        <v/>
      </c>
      <c r="GU53" s="70" t="str">
        <f aca="false">IF(OR(GU22="",ЕТАЛОН_ПЛ="",IFERROR(INDEX(БАЗА_ЦІНИ,11,IFERROR(MATCH(ЕТАЛОН_ПЛ,ПЛ_РЯДОК,0),0)),"")=""),"",GU22-IFERROR(INDEX(БАЗА_ЦІНИ,11,IFERROR(MATCH(ЕТАЛОН_ПЛ,ПЛ_РЯДОК,0),0)),""))</f>
        <v/>
      </c>
      <c r="GV53" s="71" t="str">
        <f aca="false">IF(OR(GU22="",ЕТАЛОН_ПЛ="",IFERROR(INDEX(БАЗА_ЦІНИ,11,IFERROR(MATCH(ЕТАЛОН_ПЛ,ПЛ_РЯДОК,0),0)),"")="",IFERROR(INDEX(БАЗА_ЦІНИ,11,IFERROR(MATCH(ЕТАЛОН_ПЛ,ПЛ_РЯДОК,0),0)),"")=0),"",GU22/IFERROR(INDEX(БАЗА_ЦІНИ,11,IFERROR(MATCH(ЕТАЛОН_ПЛ,ПЛ_РЯДОК,0),0)),"")-1)</f>
        <v/>
      </c>
      <c r="GW53" s="70" t="str">
        <f aca="false">IF(OR(GW22="",ЕТАЛОН_ПЛ="",IFERROR(INDEX(БАЗА_ЦІНИ,11,IFERROR(MATCH(ЕТАЛОН_ПЛ,ПЛ_РЯДОК,0),0)),"")=""),"",GW22-IFERROR(INDEX(БАЗА_ЦІНИ,11,IFERROR(MATCH(ЕТАЛОН_ПЛ,ПЛ_РЯДОК,0),0)),""))</f>
        <v/>
      </c>
      <c r="GX53" s="71" t="str">
        <f aca="false">IF(OR(GW22="",ЕТАЛОН_ПЛ="",IFERROR(INDEX(БАЗА_ЦІНИ,11,IFERROR(MATCH(ЕТАЛОН_ПЛ,ПЛ_РЯДОК,0),0)),"")="",IFERROR(INDEX(БАЗА_ЦІНИ,11,IFERROR(MATCH(ЕТАЛОН_ПЛ,ПЛ_РЯДОК,0),0)),"")=0),"",GW22/IFERROR(INDEX(БАЗА_ЦІНИ,11,IFERROR(MATCH(ЕТАЛОН_ПЛ,ПЛ_РЯДОК,0),0)),"")-1)</f>
        <v/>
      </c>
      <c r="GY53" s="70" t="str">
        <f aca="false">IF(OR(GY22="",ЕТАЛОН_ПЛ="",IFERROR(INDEX(БАЗА_ЦІНИ,11,IFERROR(MATCH(ЕТАЛОН_ПЛ,ПЛ_РЯДОК,0),0)),"")=""),"",GY22-IFERROR(INDEX(БАЗА_ЦІНИ,11,IFERROR(MATCH(ЕТАЛОН_ПЛ,ПЛ_РЯДОК,0),0)),""))</f>
        <v/>
      </c>
      <c r="GZ53" s="71" t="str">
        <f aca="false">IF(OR(GY22="",ЕТАЛОН_ПЛ="",IFERROR(INDEX(БАЗА_ЦІНИ,11,IFERROR(MATCH(ЕТАЛОН_ПЛ,ПЛ_РЯДОК,0),0)),"")="",IFERROR(INDEX(БАЗА_ЦІНИ,11,IFERROR(MATCH(ЕТАЛОН_ПЛ,ПЛ_РЯДОК,0),0)),"")=0),"",GY22/IFERROR(INDEX(БАЗА_ЦІНИ,11,IFERROR(MATCH(ЕТАЛОН_ПЛ,ПЛ_РЯДОК,0),0)),"")-1)</f>
        <v/>
      </c>
    </row>
    <row r="54" customFormat="false" ht="15" hidden="false" customHeight="false" outlineLevel="0" collapsed="false">
      <c r="A54" s="4"/>
      <c r="B54" s="36"/>
      <c r="C54" s="36"/>
      <c r="D54" s="49"/>
      <c r="E54" s="50"/>
      <c r="H54" s="23" t="str">
        <f aca="false">IF('Довідник категорій'!B16="","",'Довідник категорій'!B16)</f>
        <v/>
      </c>
      <c r="I54" s="70" t="str">
        <f aca="false">IF(OR(I23="",ЕТАЛОН_ПЛ="",IFERROR(INDEX(БАЗА_ЦІНИ,12,IFERROR(MATCH(ЕТАЛОН_ПЛ,ПЛ_РЯДОК,0),0)),"")=""),"",I23-IFERROR(INDEX(БАЗА_ЦІНИ,12,IFERROR(MATCH(ЕТАЛОН_ПЛ,ПЛ_РЯДОК,0),0)),""))</f>
        <v/>
      </c>
      <c r="J54" s="71" t="str">
        <f aca="false">IF(OR(I23="",ЕТАЛОН_ПЛ="",IFERROR(INDEX(БАЗА_ЦІНИ,12,IFERROR(MATCH(ЕТАЛОН_ПЛ,ПЛ_РЯДОК,0),0)),"")="",IFERROR(INDEX(БАЗА_ЦІНИ,12,IFERROR(MATCH(ЕТАЛОН_ПЛ,ПЛ_РЯДОК,0),0)),"")=0),"",I23/IFERROR(INDEX(БАЗА_ЦІНИ,12,IFERROR(MATCH(ЕТАЛОН_ПЛ,ПЛ_РЯДОК,0),0)),"")-1)</f>
        <v/>
      </c>
      <c r="K54" s="70" t="str">
        <f aca="false">IF(OR(K23="",ЕТАЛОН_ПЛ="",IFERROR(INDEX(БАЗА_ЦІНИ,12,IFERROR(MATCH(ЕТАЛОН_ПЛ,ПЛ_РЯДОК,0),0)),"")=""),"",K23-IFERROR(INDEX(БАЗА_ЦІНИ,12,IFERROR(MATCH(ЕТАЛОН_ПЛ,ПЛ_РЯДОК,0),0)),""))</f>
        <v/>
      </c>
      <c r="L54" s="71" t="str">
        <f aca="false">IF(OR(K23="",ЕТАЛОН_ПЛ="",IFERROR(INDEX(БАЗА_ЦІНИ,12,IFERROR(MATCH(ЕТАЛОН_ПЛ,ПЛ_РЯДОК,0),0)),"")="",IFERROR(INDEX(БАЗА_ЦІНИ,12,IFERROR(MATCH(ЕТАЛОН_ПЛ,ПЛ_РЯДОК,0),0)),"")=0),"",K23/IFERROR(INDEX(БАЗА_ЦІНИ,12,IFERROR(MATCH(ЕТАЛОН_ПЛ,ПЛ_РЯДОК,0),0)),"")-1)</f>
        <v/>
      </c>
      <c r="M54" s="70" t="str">
        <f aca="false">IF(OR(M23="",ЕТАЛОН_ПЛ="",IFERROR(INDEX(БАЗА_ЦІНИ,12,IFERROR(MATCH(ЕТАЛОН_ПЛ,ПЛ_РЯДОК,0),0)),"")=""),"",M23-IFERROR(INDEX(БАЗА_ЦІНИ,12,IFERROR(MATCH(ЕТАЛОН_ПЛ,ПЛ_РЯДОК,0),0)),""))</f>
        <v/>
      </c>
      <c r="N54" s="71" t="str">
        <f aca="false">IF(OR(M23="",ЕТАЛОН_ПЛ="",IFERROR(INDEX(БАЗА_ЦІНИ,12,IFERROR(MATCH(ЕТАЛОН_ПЛ,ПЛ_РЯДОК,0),0)),"")="",IFERROR(INDEX(БАЗА_ЦІНИ,12,IFERROR(MATCH(ЕТАЛОН_ПЛ,ПЛ_РЯДОК,0),0)),"")=0),"",M23/IFERROR(INDEX(БАЗА_ЦІНИ,12,IFERROR(MATCH(ЕТАЛОН_ПЛ,ПЛ_РЯДОК,0),0)),"")-1)</f>
        <v/>
      </c>
      <c r="O54" s="70" t="str">
        <f aca="false">IF(OR(O23="",ЕТАЛОН_ПЛ="",IFERROR(INDEX(БАЗА_ЦІНИ,12,IFERROR(MATCH(ЕТАЛОН_ПЛ,ПЛ_РЯДОК,0),0)),"")=""),"",O23-IFERROR(INDEX(БАЗА_ЦІНИ,12,IFERROR(MATCH(ЕТАЛОН_ПЛ,ПЛ_РЯДОК,0),0)),""))</f>
        <v/>
      </c>
      <c r="P54" s="71" t="str">
        <f aca="false">IF(OR(O23="",ЕТАЛОН_ПЛ="",IFERROR(INDEX(БАЗА_ЦІНИ,12,IFERROR(MATCH(ЕТАЛОН_ПЛ,ПЛ_РЯДОК,0),0)),"")="",IFERROR(INDEX(БАЗА_ЦІНИ,12,IFERROR(MATCH(ЕТАЛОН_ПЛ,ПЛ_РЯДОК,0),0)),"")=0),"",O23/IFERROR(INDEX(БАЗА_ЦІНИ,12,IFERROR(MATCH(ЕТАЛОН_ПЛ,ПЛ_РЯДОК,0),0)),"")-1)</f>
        <v/>
      </c>
      <c r="Q54" s="70" t="str">
        <f aca="false">IF(OR(Q23="",ЕТАЛОН_ПЛ="",IFERROR(INDEX(БАЗА_ЦІНИ,12,IFERROR(MATCH(ЕТАЛОН_ПЛ,ПЛ_РЯДОК,0),0)),"")=""),"",Q23-IFERROR(INDEX(БАЗА_ЦІНИ,12,IFERROR(MATCH(ЕТАЛОН_ПЛ,ПЛ_РЯДОК,0),0)),""))</f>
        <v/>
      </c>
      <c r="R54" s="71" t="str">
        <f aca="false">IF(OR(Q23="",ЕТАЛОН_ПЛ="",IFERROR(INDEX(БАЗА_ЦІНИ,12,IFERROR(MATCH(ЕТАЛОН_ПЛ,ПЛ_РЯДОК,0),0)),"")="",IFERROR(INDEX(БАЗА_ЦІНИ,12,IFERROR(MATCH(ЕТАЛОН_ПЛ,ПЛ_РЯДОК,0),0)),"")=0),"",Q23/IFERROR(INDEX(БАЗА_ЦІНИ,12,IFERROR(MATCH(ЕТАЛОН_ПЛ,ПЛ_РЯДОК,0),0)),"")-1)</f>
        <v/>
      </c>
      <c r="S54" s="70" t="str">
        <f aca="false">IF(OR(S23="",ЕТАЛОН_ПЛ="",IFERROR(INDEX(БАЗА_ЦІНИ,12,IFERROR(MATCH(ЕТАЛОН_ПЛ,ПЛ_РЯДОК,0),0)),"")=""),"",S23-IFERROR(INDEX(БАЗА_ЦІНИ,12,IFERROR(MATCH(ЕТАЛОН_ПЛ,ПЛ_РЯДОК,0),0)),""))</f>
        <v/>
      </c>
      <c r="T54" s="71" t="str">
        <f aca="false">IF(OR(S23="",ЕТАЛОН_ПЛ="",IFERROR(INDEX(БАЗА_ЦІНИ,12,IFERROR(MATCH(ЕТАЛОН_ПЛ,ПЛ_РЯДОК,0),0)),"")="",IFERROR(INDEX(БАЗА_ЦІНИ,12,IFERROR(MATCH(ЕТАЛОН_ПЛ,ПЛ_РЯДОК,0),0)),"")=0),"",S23/IFERROR(INDEX(БАЗА_ЦІНИ,12,IFERROR(MATCH(ЕТАЛОН_ПЛ,ПЛ_РЯДОК,0),0)),"")-1)</f>
        <v/>
      </c>
      <c r="U54" s="70" t="str">
        <f aca="false">IF(OR(U23="",ЕТАЛОН_ПЛ="",IFERROR(INDEX(БАЗА_ЦІНИ,12,IFERROR(MATCH(ЕТАЛОН_ПЛ,ПЛ_РЯДОК,0),0)),"")=""),"",U23-IFERROR(INDEX(БАЗА_ЦІНИ,12,IFERROR(MATCH(ЕТАЛОН_ПЛ,ПЛ_РЯДОК,0),0)),""))</f>
        <v/>
      </c>
      <c r="V54" s="71" t="str">
        <f aca="false">IF(OR(U23="",ЕТАЛОН_ПЛ="",IFERROR(INDEX(БАЗА_ЦІНИ,12,IFERROR(MATCH(ЕТАЛОН_ПЛ,ПЛ_РЯДОК,0),0)),"")="",IFERROR(INDEX(БАЗА_ЦІНИ,12,IFERROR(MATCH(ЕТАЛОН_ПЛ,ПЛ_РЯДОК,0),0)),"")=0),"",U23/IFERROR(INDEX(БАЗА_ЦІНИ,12,IFERROR(MATCH(ЕТАЛОН_ПЛ,ПЛ_РЯДОК,0),0)),"")-1)</f>
        <v/>
      </c>
      <c r="W54" s="70" t="str">
        <f aca="false">IF(OR(W23="",ЕТАЛОН_ПЛ="",IFERROR(INDEX(БАЗА_ЦІНИ,12,IFERROR(MATCH(ЕТАЛОН_ПЛ,ПЛ_РЯДОК,0),0)),"")=""),"",W23-IFERROR(INDEX(БАЗА_ЦІНИ,12,IFERROR(MATCH(ЕТАЛОН_ПЛ,ПЛ_РЯДОК,0),0)),""))</f>
        <v/>
      </c>
      <c r="X54" s="71" t="str">
        <f aca="false">IF(OR(W23="",ЕТАЛОН_ПЛ="",IFERROR(INDEX(БАЗА_ЦІНИ,12,IFERROR(MATCH(ЕТАЛОН_ПЛ,ПЛ_РЯДОК,0),0)),"")="",IFERROR(INDEX(БАЗА_ЦІНИ,12,IFERROR(MATCH(ЕТАЛОН_ПЛ,ПЛ_РЯДОК,0),0)),"")=0),"",W23/IFERROR(INDEX(БАЗА_ЦІНИ,12,IFERROR(MATCH(ЕТАЛОН_ПЛ,ПЛ_РЯДОК,0),0)),"")-1)</f>
        <v/>
      </c>
      <c r="Y54" s="70" t="str">
        <f aca="false">IF(OR(Y23="",ЕТАЛОН_ПЛ="",IFERROR(INDEX(БАЗА_ЦІНИ,12,IFERROR(MATCH(ЕТАЛОН_ПЛ,ПЛ_РЯДОК,0),0)),"")=""),"",Y23-IFERROR(INDEX(БАЗА_ЦІНИ,12,IFERROR(MATCH(ЕТАЛОН_ПЛ,ПЛ_РЯДОК,0),0)),""))</f>
        <v/>
      </c>
      <c r="Z54" s="71" t="str">
        <f aca="false">IF(OR(Y23="",ЕТАЛОН_ПЛ="",IFERROR(INDEX(БАЗА_ЦІНИ,12,IFERROR(MATCH(ЕТАЛОН_ПЛ,ПЛ_РЯДОК,0),0)),"")="",IFERROR(INDEX(БАЗА_ЦІНИ,12,IFERROR(MATCH(ЕТАЛОН_ПЛ,ПЛ_РЯДОК,0),0)),"")=0),"",Y23/IFERROR(INDEX(БАЗА_ЦІНИ,12,IFERROR(MATCH(ЕТАЛОН_ПЛ,ПЛ_РЯДОК,0),0)),"")-1)</f>
        <v/>
      </c>
      <c r="AA54" s="70" t="str">
        <f aca="false">IF(OR(AA23="",ЕТАЛОН_ПЛ="",IFERROR(INDEX(БАЗА_ЦІНИ,12,IFERROR(MATCH(ЕТАЛОН_ПЛ,ПЛ_РЯДОК,0),0)),"")=""),"",AA23-IFERROR(INDEX(БАЗА_ЦІНИ,12,IFERROR(MATCH(ЕТАЛОН_ПЛ,ПЛ_РЯДОК,0),0)),""))</f>
        <v/>
      </c>
      <c r="AB54" s="71" t="str">
        <f aca="false">IF(OR(AA23="",ЕТАЛОН_ПЛ="",IFERROR(INDEX(БАЗА_ЦІНИ,12,IFERROR(MATCH(ЕТАЛОН_ПЛ,ПЛ_РЯДОК,0),0)),"")="",IFERROR(INDEX(БАЗА_ЦІНИ,12,IFERROR(MATCH(ЕТАЛОН_ПЛ,ПЛ_РЯДОК,0),0)),"")=0),"",AA23/IFERROR(INDEX(БАЗА_ЦІНИ,12,IFERROR(MATCH(ЕТАЛОН_ПЛ,ПЛ_РЯДОК,0),0)),"")-1)</f>
        <v/>
      </c>
      <c r="AC54" s="70" t="str">
        <f aca="false">IF(OR(AC23="",ЕТАЛОН_ПЛ="",IFERROR(INDEX(БАЗА_ЦІНИ,12,IFERROR(MATCH(ЕТАЛОН_ПЛ,ПЛ_РЯДОК,0),0)),"")=""),"",AC23-IFERROR(INDEX(БАЗА_ЦІНИ,12,IFERROR(MATCH(ЕТАЛОН_ПЛ,ПЛ_РЯДОК,0),0)),""))</f>
        <v/>
      </c>
      <c r="AD54" s="71" t="str">
        <f aca="false">IF(OR(AC23="",ЕТАЛОН_ПЛ="",IFERROR(INDEX(БАЗА_ЦІНИ,12,IFERROR(MATCH(ЕТАЛОН_ПЛ,ПЛ_РЯДОК,0),0)),"")="",IFERROR(INDEX(БАЗА_ЦІНИ,12,IFERROR(MATCH(ЕТАЛОН_ПЛ,ПЛ_РЯДОК,0),0)),"")=0),"",AC23/IFERROR(INDEX(БАЗА_ЦІНИ,12,IFERROR(MATCH(ЕТАЛОН_ПЛ,ПЛ_РЯДОК,0),0)),"")-1)</f>
        <v/>
      </c>
      <c r="AE54" s="70" t="str">
        <f aca="false">IF(OR(AE23="",ЕТАЛОН_ПЛ="",IFERROR(INDEX(БАЗА_ЦІНИ,12,IFERROR(MATCH(ЕТАЛОН_ПЛ,ПЛ_РЯДОК,0),0)),"")=""),"",AE23-IFERROR(INDEX(БАЗА_ЦІНИ,12,IFERROR(MATCH(ЕТАЛОН_ПЛ,ПЛ_РЯДОК,0),0)),""))</f>
        <v/>
      </c>
      <c r="AF54" s="71" t="str">
        <f aca="false">IF(OR(AE23="",ЕТАЛОН_ПЛ="",IFERROR(INDEX(БАЗА_ЦІНИ,12,IFERROR(MATCH(ЕТАЛОН_ПЛ,ПЛ_РЯДОК,0),0)),"")="",IFERROR(INDEX(БАЗА_ЦІНИ,12,IFERROR(MATCH(ЕТАЛОН_ПЛ,ПЛ_РЯДОК,0),0)),"")=0),"",AE23/IFERROR(INDEX(БАЗА_ЦІНИ,12,IFERROR(MATCH(ЕТАЛОН_ПЛ,ПЛ_РЯДОК,0),0)),"")-1)</f>
        <v/>
      </c>
      <c r="AG54" s="70" t="str">
        <f aca="false">IF(OR(AG23="",ЕТАЛОН_ПЛ="",IFERROR(INDEX(БАЗА_ЦІНИ,12,IFERROR(MATCH(ЕТАЛОН_ПЛ,ПЛ_РЯДОК,0),0)),"")=""),"",AG23-IFERROR(INDEX(БАЗА_ЦІНИ,12,IFERROR(MATCH(ЕТАЛОН_ПЛ,ПЛ_РЯДОК,0),0)),""))</f>
        <v/>
      </c>
      <c r="AH54" s="71" t="str">
        <f aca="false">IF(OR(AG23="",ЕТАЛОН_ПЛ="",IFERROR(INDEX(БАЗА_ЦІНИ,12,IFERROR(MATCH(ЕТАЛОН_ПЛ,ПЛ_РЯДОК,0),0)),"")="",IFERROR(INDEX(БАЗА_ЦІНИ,12,IFERROR(MATCH(ЕТАЛОН_ПЛ,ПЛ_РЯДОК,0),0)),"")=0),"",AG23/IFERROR(INDEX(БАЗА_ЦІНИ,12,IFERROR(MATCH(ЕТАЛОН_ПЛ,ПЛ_РЯДОК,0),0)),"")-1)</f>
        <v/>
      </c>
      <c r="AI54" s="70" t="str">
        <f aca="false">IF(OR(AI23="",ЕТАЛОН_ПЛ="",IFERROR(INDEX(БАЗА_ЦІНИ,12,IFERROR(MATCH(ЕТАЛОН_ПЛ,ПЛ_РЯДОК,0),0)),"")=""),"",AI23-IFERROR(INDEX(БАЗА_ЦІНИ,12,IFERROR(MATCH(ЕТАЛОН_ПЛ,ПЛ_РЯДОК,0),0)),""))</f>
        <v/>
      </c>
      <c r="AJ54" s="71" t="str">
        <f aca="false">IF(OR(AI23="",ЕТАЛОН_ПЛ="",IFERROR(INDEX(БАЗА_ЦІНИ,12,IFERROR(MATCH(ЕТАЛОН_ПЛ,ПЛ_РЯДОК,0),0)),"")="",IFERROR(INDEX(БАЗА_ЦІНИ,12,IFERROR(MATCH(ЕТАЛОН_ПЛ,ПЛ_РЯДОК,0),0)),"")=0),"",AI23/IFERROR(INDEX(БАЗА_ЦІНИ,12,IFERROR(MATCH(ЕТАЛОН_ПЛ,ПЛ_РЯДОК,0),0)),"")-1)</f>
        <v/>
      </c>
      <c r="AK54" s="70" t="str">
        <f aca="false">IF(OR(AK23="",ЕТАЛОН_ПЛ="",IFERROR(INDEX(БАЗА_ЦІНИ,12,IFERROR(MATCH(ЕТАЛОН_ПЛ,ПЛ_РЯДОК,0),0)),"")=""),"",AK23-IFERROR(INDEX(БАЗА_ЦІНИ,12,IFERROR(MATCH(ЕТАЛОН_ПЛ,ПЛ_РЯДОК,0),0)),""))</f>
        <v/>
      </c>
      <c r="AL54" s="71" t="str">
        <f aca="false">IF(OR(AK23="",ЕТАЛОН_ПЛ="",IFERROR(INDEX(БАЗА_ЦІНИ,12,IFERROR(MATCH(ЕТАЛОН_ПЛ,ПЛ_РЯДОК,0),0)),"")="",IFERROR(INDEX(БАЗА_ЦІНИ,12,IFERROR(MATCH(ЕТАЛОН_ПЛ,ПЛ_РЯДОК,0),0)),"")=0),"",AK23/IFERROR(INDEX(БАЗА_ЦІНИ,12,IFERROR(MATCH(ЕТАЛОН_ПЛ,ПЛ_РЯДОК,0),0)),"")-1)</f>
        <v/>
      </c>
      <c r="AM54" s="70" t="str">
        <f aca="false">IF(OR(AM23="",ЕТАЛОН_ПЛ="",IFERROR(INDEX(БАЗА_ЦІНИ,12,IFERROR(MATCH(ЕТАЛОН_ПЛ,ПЛ_РЯДОК,0),0)),"")=""),"",AM23-IFERROR(INDEX(БАЗА_ЦІНИ,12,IFERROR(MATCH(ЕТАЛОН_ПЛ,ПЛ_РЯДОК,0),0)),""))</f>
        <v/>
      </c>
      <c r="AN54" s="71" t="str">
        <f aca="false">IF(OR(AM23="",ЕТАЛОН_ПЛ="",IFERROR(INDEX(БАЗА_ЦІНИ,12,IFERROR(MATCH(ЕТАЛОН_ПЛ,ПЛ_РЯДОК,0),0)),"")="",IFERROR(INDEX(БАЗА_ЦІНИ,12,IFERROR(MATCH(ЕТАЛОН_ПЛ,ПЛ_РЯДОК,0),0)),"")=0),"",AM23/IFERROR(INDEX(БАЗА_ЦІНИ,12,IFERROR(MATCH(ЕТАЛОН_ПЛ,ПЛ_РЯДОК,0),0)),"")-1)</f>
        <v/>
      </c>
      <c r="AO54" s="70" t="str">
        <f aca="false">IF(OR(AO23="",ЕТАЛОН_ПЛ="",IFERROR(INDEX(БАЗА_ЦІНИ,12,IFERROR(MATCH(ЕТАЛОН_ПЛ,ПЛ_РЯДОК,0),0)),"")=""),"",AO23-IFERROR(INDEX(БАЗА_ЦІНИ,12,IFERROR(MATCH(ЕТАЛОН_ПЛ,ПЛ_РЯДОК,0),0)),""))</f>
        <v/>
      </c>
      <c r="AP54" s="71" t="str">
        <f aca="false">IF(OR(AO23="",ЕТАЛОН_ПЛ="",IFERROR(INDEX(БАЗА_ЦІНИ,12,IFERROR(MATCH(ЕТАЛОН_ПЛ,ПЛ_РЯДОК,0),0)),"")="",IFERROR(INDEX(БАЗА_ЦІНИ,12,IFERROR(MATCH(ЕТАЛОН_ПЛ,ПЛ_РЯДОК,0),0)),"")=0),"",AO23/IFERROR(INDEX(БАЗА_ЦІНИ,12,IFERROR(MATCH(ЕТАЛОН_ПЛ,ПЛ_РЯДОК,0),0)),"")-1)</f>
        <v/>
      </c>
      <c r="AQ54" s="70" t="str">
        <f aca="false">IF(OR(AQ23="",ЕТАЛОН_ПЛ="",IFERROR(INDEX(БАЗА_ЦІНИ,12,IFERROR(MATCH(ЕТАЛОН_ПЛ,ПЛ_РЯДОК,0),0)),"")=""),"",AQ23-IFERROR(INDEX(БАЗА_ЦІНИ,12,IFERROR(MATCH(ЕТАЛОН_ПЛ,ПЛ_РЯДОК,0),0)),""))</f>
        <v/>
      </c>
      <c r="AR54" s="71" t="str">
        <f aca="false">IF(OR(AQ23="",ЕТАЛОН_ПЛ="",IFERROR(INDEX(БАЗА_ЦІНИ,12,IFERROR(MATCH(ЕТАЛОН_ПЛ,ПЛ_РЯДОК,0),0)),"")="",IFERROR(INDEX(БАЗА_ЦІНИ,12,IFERROR(MATCH(ЕТАЛОН_ПЛ,ПЛ_РЯДОК,0),0)),"")=0),"",AQ23/IFERROR(INDEX(БАЗА_ЦІНИ,12,IFERROR(MATCH(ЕТАЛОН_ПЛ,ПЛ_РЯДОК,0),0)),"")-1)</f>
        <v/>
      </c>
      <c r="AS54" s="70" t="str">
        <f aca="false">IF(OR(AS23="",ЕТАЛОН_ПЛ="",IFERROR(INDEX(БАЗА_ЦІНИ,12,IFERROR(MATCH(ЕТАЛОН_ПЛ,ПЛ_РЯДОК,0),0)),"")=""),"",AS23-IFERROR(INDEX(БАЗА_ЦІНИ,12,IFERROR(MATCH(ЕТАЛОН_ПЛ,ПЛ_РЯДОК,0),0)),""))</f>
        <v/>
      </c>
      <c r="AT54" s="71" t="str">
        <f aca="false">IF(OR(AS23="",ЕТАЛОН_ПЛ="",IFERROR(INDEX(БАЗА_ЦІНИ,12,IFERROR(MATCH(ЕТАЛОН_ПЛ,ПЛ_РЯДОК,0),0)),"")="",IFERROR(INDEX(БАЗА_ЦІНИ,12,IFERROR(MATCH(ЕТАЛОН_ПЛ,ПЛ_РЯДОК,0),0)),"")=0),"",AS23/IFERROR(INDEX(БАЗА_ЦІНИ,12,IFERROR(MATCH(ЕТАЛОН_ПЛ,ПЛ_РЯДОК,0),0)),"")-1)</f>
        <v/>
      </c>
      <c r="AU54" s="70" t="str">
        <f aca="false">IF(OR(AU23="",ЕТАЛОН_ПЛ="",IFERROR(INDEX(БАЗА_ЦІНИ,12,IFERROR(MATCH(ЕТАЛОН_ПЛ,ПЛ_РЯДОК,0),0)),"")=""),"",AU23-IFERROR(INDEX(БАЗА_ЦІНИ,12,IFERROR(MATCH(ЕТАЛОН_ПЛ,ПЛ_РЯДОК,0),0)),""))</f>
        <v/>
      </c>
      <c r="AV54" s="71" t="str">
        <f aca="false">IF(OR(AU23="",ЕТАЛОН_ПЛ="",IFERROR(INDEX(БАЗА_ЦІНИ,12,IFERROR(MATCH(ЕТАЛОН_ПЛ,ПЛ_РЯДОК,0),0)),"")="",IFERROR(INDEX(БАЗА_ЦІНИ,12,IFERROR(MATCH(ЕТАЛОН_ПЛ,ПЛ_РЯДОК,0),0)),"")=0),"",AU23/IFERROR(INDEX(БАЗА_ЦІНИ,12,IFERROR(MATCH(ЕТАЛОН_ПЛ,ПЛ_РЯДОК,0),0)),"")-1)</f>
        <v/>
      </c>
      <c r="AW54" s="70" t="str">
        <f aca="false">IF(OR(AW23="",ЕТАЛОН_ПЛ="",IFERROR(INDEX(БАЗА_ЦІНИ,12,IFERROR(MATCH(ЕТАЛОН_ПЛ,ПЛ_РЯДОК,0),0)),"")=""),"",AW23-IFERROR(INDEX(БАЗА_ЦІНИ,12,IFERROR(MATCH(ЕТАЛОН_ПЛ,ПЛ_РЯДОК,0),0)),""))</f>
        <v/>
      </c>
      <c r="AX54" s="71" t="str">
        <f aca="false">IF(OR(AW23="",ЕТАЛОН_ПЛ="",IFERROR(INDEX(БАЗА_ЦІНИ,12,IFERROR(MATCH(ЕТАЛОН_ПЛ,ПЛ_РЯДОК,0),0)),"")="",IFERROR(INDEX(БАЗА_ЦІНИ,12,IFERROR(MATCH(ЕТАЛОН_ПЛ,ПЛ_РЯДОК,0),0)),"")=0),"",AW23/IFERROR(INDEX(БАЗА_ЦІНИ,12,IFERROR(MATCH(ЕТАЛОН_ПЛ,ПЛ_РЯДОК,0),0)),"")-1)</f>
        <v/>
      </c>
      <c r="AY54" s="70" t="str">
        <f aca="false">IF(OR(AY23="",ЕТАЛОН_ПЛ="",IFERROR(INDEX(БАЗА_ЦІНИ,12,IFERROR(MATCH(ЕТАЛОН_ПЛ,ПЛ_РЯДОК,0),0)),"")=""),"",AY23-IFERROR(INDEX(БАЗА_ЦІНИ,12,IFERROR(MATCH(ЕТАЛОН_ПЛ,ПЛ_РЯДОК,0),0)),""))</f>
        <v/>
      </c>
      <c r="AZ54" s="71" t="str">
        <f aca="false">IF(OR(AY23="",ЕТАЛОН_ПЛ="",IFERROR(INDEX(БАЗА_ЦІНИ,12,IFERROR(MATCH(ЕТАЛОН_ПЛ,ПЛ_РЯДОК,0),0)),"")="",IFERROR(INDEX(БАЗА_ЦІНИ,12,IFERROR(MATCH(ЕТАЛОН_ПЛ,ПЛ_РЯДОК,0),0)),"")=0),"",AY23/IFERROR(INDEX(БАЗА_ЦІНИ,12,IFERROR(MATCH(ЕТАЛОН_ПЛ,ПЛ_РЯДОК,0),0)),"")-1)</f>
        <v/>
      </c>
      <c r="BA54" s="70" t="str">
        <f aca="false">IF(OR(BA23="",ЕТАЛОН_ПЛ="",IFERROR(INDEX(БАЗА_ЦІНИ,12,IFERROR(MATCH(ЕТАЛОН_ПЛ,ПЛ_РЯДОК,0),0)),"")=""),"",BA23-IFERROR(INDEX(БАЗА_ЦІНИ,12,IFERROR(MATCH(ЕТАЛОН_ПЛ,ПЛ_РЯДОК,0),0)),""))</f>
        <v/>
      </c>
      <c r="BB54" s="71" t="str">
        <f aca="false">IF(OR(BA23="",ЕТАЛОН_ПЛ="",IFERROR(INDEX(БАЗА_ЦІНИ,12,IFERROR(MATCH(ЕТАЛОН_ПЛ,ПЛ_РЯДОК,0),0)),"")="",IFERROR(INDEX(БАЗА_ЦІНИ,12,IFERROR(MATCH(ЕТАЛОН_ПЛ,ПЛ_РЯДОК,0),0)),"")=0),"",BA23/IFERROR(INDEX(БАЗА_ЦІНИ,12,IFERROR(MATCH(ЕТАЛОН_ПЛ,ПЛ_РЯДОК,0),0)),"")-1)</f>
        <v/>
      </c>
      <c r="BC54" s="70" t="str">
        <f aca="false">IF(OR(BC23="",ЕТАЛОН_ПЛ="",IFERROR(INDEX(БАЗА_ЦІНИ,12,IFERROR(MATCH(ЕТАЛОН_ПЛ,ПЛ_РЯДОК,0),0)),"")=""),"",BC23-IFERROR(INDEX(БАЗА_ЦІНИ,12,IFERROR(MATCH(ЕТАЛОН_ПЛ,ПЛ_РЯДОК,0),0)),""))</f>
        <v/>
      </c>
      <c r="BD54" s="71" t="str">
        <f aca="false">IF(OR(BC23="",ЕТАЛОН_ПЛ="",IFERROR(INDEX(БАЗА_ЦІНИ,12,IFERROR(MATCH(ЕТАЛОН_ПЛ,ПЛ_РЯДОК,0),0)),"")="",IFERROR(INDEX(БАЗА_ЦІНИ,12,IFERROR(MATCH(ЕТАЛОН_ПЛ,ПЛ_РЯДОК,0),0)),"")=0),"",BC23/IFERROR(INDEX(БАЗА_ЦІНИ,12,IFERROR(MATCH(ЕТАЛОН_ПЛ,ПЛ_РЯДОК,0),0)),"")-1)</f>
        <v/>
      </c>
      <c r="BE54" s="70" t="str">
        <f aca="false">IF(OR(BE23="",ЕТАЛОН_ПЛ="",IFERROR(INDEX(БАЗА_ЦІНИ,12,IFERROR(MATCH(ЕТАЛОН_ПЛ,ПЛ_РЯДОК,0),0)),"")=""),"",BE23-IFERROR(INDEX(БАЗА_ЦІНИ,12,IFERROR(MATCH(ЕТАЛОН_ПЛ,ПЛ_РЯДОК,0),0)),""))</f>
        <v/>
      </c>
      <c r="BF54" s="71" t="str">
        <f aca="false">IF(OR(BE23="",ЕТАЛОН_ПЛ="",IFERROR(INDEX(БАЗА_ЦІНИ,12,IFERROR(MATCH(ЕТАЛОН_ПЛ,ПЛ_РЯДОК,0),0)),"")="",IFERROR(INDEX(БАЗА_ЦІНИ,12,IFERROR(MATCH(ЕТАЛОН_ПЛ,ПЛ_РЯДОК,0),0)),"")=0),"",BE23/IFERROR(INDEX(БАЗА_ЦІНИ,12,IFERROR(MATCH(ЕТАЛОН_ПЛ,ПЛ_РЯДОК,0),0)),"")-1)</f>
        <v/>
      </c>
      <c r="BG54" s="70" t="str">
        <f aca="false">IF(OR(BG23="",ЕТАЛОН_ПЛ="",IFERROR(INDEX(БАЗА_ЦІНИ,12,IFERROR(MATCH(ЕТАЛОН_ПЛ,ПЛ_РЯДОК,0),0)),"")=""),"",BG23-IFERROR(INDEX(БАЗА_ЦІНИ,12,IFERROR(MATCH(ЕТАЛОН_ПЛ,ПЛ_РЯДОК,0),0)),""))</f>
        <v/>
      </c>
      <c r="BH54" s="71" t="str">
        <f aca="false">IF(OR(BG23="",ЕТАЛОН_ПЛ="",IFERROR(INDEX(БАЗА_ЦІНИ,12,IFERROR(MATCH(ЕТАЛОН_ПЛ,ПЛ_РЯДОК,0),0)),"")="",IFERROR(INDEX(БАЗА_ЦІНИ,12,IFERROR(MATCH(ЕТАЛОН_ПЛ,ПЛ_РЯДОК,0),0)),"")=0),"",BG23/IFERROR(INDEX(БАЗА_ЦІНИ,12,IFERROR(MATCH(ЕТАЛОН_ПЛ,ПЛ_РЯДОК,0),0)),"")-1)</f>
        <v/>
      </c>
      <c r="BI54" s="70" t="str">
        <f aca="false">IF(OR(BI23="",ЕТАЛОН_ПЛ="",IFERROR(INDEX(БАЗА_ЦІНИ,12,IFERROR(MATCH(ЕТАЛОН_ПЛ,ПЛ_РЯДОК,0),0)),"")=""),"",BI23-IFERROR(INDEX(БАЗА_ЦІНИ,12,IFERROR(MATCH(ЕТАЛОН_ПЛ,ПЛ_РЯДОК,0),0)),""))</f>
        <v/>
      </c>
      <c r="BJ54" s="71" t="str">
        <f aca="false">IF(OR(BI23="",ЕТАЛОН_ПЛ="",IFERROR(INDEX(БАЗА_ЦІНИ,12,IFERROR(MATCH(ЕТАЛОН_ПЛ,ПЛ_РЯДОК,0),0)),"")="",IFERROR(INDEX(БАЗА_ЦІНИ,12,IFERROR(MATCH(ЕТАЛОН_ПЛ,ПЛ_РЯДОК,0),0)),"")=0),"",BI23/IFERROR(INDEX(БАЗА_ЦІНИ,12,IFERROR(MATCH(ЕТАЛОН_ПЛ,ПЛ_РЯДОК,0),0)),"")-1)</f>
        <v/>
      </c>
      <c r="BK54" s="70" t="str">
        <f aca="false">IF(OR(BK23="",ЕТАЛОН_ПЛ="",IFERROR(INDEX(БАЗА_ЦІНИ,12,IFERROR(MATCH(ЕТАЛОН_ПЛ,ПЛ_РЯДОК,0),0)),"")=""),"",BK23-IFERROR(INDEX(БАЗА_ЦІНИ,12,IFERROR(MATCH(ЕТАЛОН_ПЛ,ПЛ_РЯДОК,0),0)),""))</f>
        <v/>
      </c>
      <c r="BL54" s="71" t="str">
        <f aca="false">IF(OR(BK23="",ЕТАЛОН_ПЛ="",IFERROR(INDEX(БАЗА_ЦІНИ,12,IFERROR(MATCH(ЕТАЛОН_ПЛ,ПЛ_РЯДОК,0),0)),"")="",IFERROR(INDEX(БАЗА_ЦІНИ,12,IFERROR(MATCH(ЕТАЛОН_ПЛ,ПЛ_РЯДОК,0),0)),"")=0),"",BK23/IFERROR(INDEX(БАЗА_ЦІНИ,12,IFERROR(MATCH(ЕТАЛОН_ПЛ,ПЛ_РЯДОК,0),0)),"")-1)</f>
        <v/>
      </c>
      <c r="BM54" s="70" t="str">
        <f aca="false">IF(OR(BM23="",ЕТАЛОН_ПЛ="",IFERROR(INDEX(БАЗА_ЦІНИ,12,IFERROR(MATCH(ЕТАЛОН_ПЛ,ПЛ_РЯДОК,0),0)),"")=""),"",BM23-IFERROR(INDEX(БАЗА_ЦІНИ,12,IFERROR(MATCH(ЕТАЛОН_ПЛ,ПЛ_РЯДОК,0),0)),""))</f>
        <v/>
      </c>
      <c r="BN54" s="71" t="str">
        <f aca="false">IF(OR(BM23="",ЕТАЛОН_ПЛ="",IFERROR(INDEX(БАЗА_ЦІНИ,12,IFERROR(MATCH(ЕТАЛОН_ПЛ,ПЛ_РЯДОК,0),0)),"")="",IFERROR(INDEX(БАЗА_ЦІНИ,12,IFERROR(MATCH(ЕТАЛОН_ПЛ,ПЛ_РЯДОК,0),0)),"")=0),"",BM23/IFERROR(INDEX(БАЗА_ЦІНИ,12,IFERROR(MATCH(ЕТАЛОН_ПЛ,ПЛ_РЯДОК,0),0)),"")-1)</f>
        <v/>
      </c>
      <c r="BO54" s="70" t="str">
        <f aca="false">IF(OR(BO23="",ЕТАЛОН_ПЛ="",IFERROR(INDEX(БАЗА_ЦІНИ,12,IFERROR(MATCH(ЕТАЛОН_ПЛ,ПЛ_РЯДОК,0),0)),"")=""),"",BO23-IFERROR(INDEX(БАЗА_ЦІНИ,12,IFERROR(MATCH(ЕТАЛОН_ПЛ,ПЛ_РЯДОК,0),0)),""))</f>
        <v/>
      </c>
      <c r="BP54" s="71" t="str">
        <f aca="false">IF(OR(BO23="",ЕТАЛОН_ПЛ="",IFERROR(INDEX(БАЗА_ЦІНИ,12,IFERROR(MATCH(ЕТАЛОН_ПЛ,ПЛ_РЯДОК,0),0)),"")="",IFERROR(INDEX(БАЗА_ЦІНИ,12,IFERROR(MATCH(ЕТАЛОН_ПЛ,ПЛ_РЯДОК,0),0)),"")=0),"",BO23/IFERROR(INDEX(БАЗА_ЦІНИ,12,IFERROR(MATCH(ЕТАЛОН_ПЛ,ПЛ_РЯДОК,0),0)),"")-1)</f>
        <v/>
      </c>
      <c r="BQ54" s="70" t="str">
        <f aca="false">IF(OR(BQ23="",ЕТАЛОН_ПЛ="",IFERROR(INDEX(БАЗА_ЦІНИ,12,IFERROR(MATCH(ЕТАЛОН_ПЛ,ПЛ_РЯДОК,0),0)),"")=""),"",BQ23-IFERROR(INDEX(БАЗА_ЦІНИ,12,IFERROR(MATCH(ЕТАЛОН_ПЛ,ПЛ_РЯДОК,0),0)),""))</f>
        <v/>
      </c>
      <c r="BR54" s="71" t="str">
        <f aca="false">IF(OR(BQ23="",ЕТАЛОН_ПЛ="",IFERROR(INDEX(БАЗА_ЦІНИ,12,IFERROR(MATCH(ЕТАЛОН_ПЛ,ПЛ_РЯДОК,0),0)),"")="",IFERROR(INDEX(БАЗА_ЦІНИ,12,IFERROR(MATCH(ЕТАЛОН_ПЛ,ПЛ_РЯДОК,0),0)),"")=0),"",BQ23/IFERROR(INDEX(БАЗА_ЦІНИ,12,IFERROR(MATCH(ЕТАЛОН_ПЛ,ПЛ_РЯДОК,0),0)),"")-1)</f>
        <v/>
      </c>
      <c r="BS54" s="70" t="str">
        <f aca="false">IF(OR(BS23="",ЕТАЛОН_ПЛ="",IFERROR(INDEX(БАЗА_ЦІНИ,12,IFERROR(MATCH(ЕТАЛОН_ПЛ,ПЛ_РЯДОК,0),0)),"")=""),"",BS23-IFERROR(INDEX(БАЗА_ЦІНИ,12,IFERROR(MATCH(ЕТАЛОН_ПЛ,ПЛ_РЯДОК,0),0)),""))</f>
        <v/>
      </c>
      <c r="BT54" s="71" t="str">
        <f aca="false">IF(OR(BS23="",ЕТАЛОН_ПЛ="",IFERROR(INDEX(БАЗА_ЦІНИ,12,IFERROR(MATCH(ЕТАЛОН_ПЛ,ПЛ_РЯДОК,0),0)),"")="",IFERROR(INDEX(БАЗА_ЦІНИ,12,IFERROR(MATCH(ЕТАЛОН_ПЛ,ПЛ_РЯДОК,0),0)),"")=0),"",BS23/IFERROR(INDEX(БАЗА_ЦІНИ,12,IFERROR(MATCH(ЕТАЛОН_ПЛ,ПЛ_РЯДОК,0),0)),"")-1)</f>
        <v/>
      </c>
      <c r="BU54" s="70" t="str">
        <f aca="false">IF(OR(BU23="",ЕТАЛОН_ПЛ="",IFERROR(INDEX(БАЗА_ЦІНИ,12,IFERROR(MATCH(ЕТАЛОН_ПЛ,ПЛ_РЯДОК,0),0)),"")=""),"",BU23-IFERROR(INDEX(БАЗА_ЦІНИ,12,IFERROR(MATCH(ЕТАЛОН_ПЛ,ПЛ_РЯДОК,0),0)),""))</f>
        <v/>
      </c>
      <c r="BV54" s="71" t="str">
        <f aca="false">IF(OR(BU23="",ЕТАЛОН_ПЛ="",IFERROR(INDEX(БАЗА_ЦІНИ,12,IFERROR(MATCH(ЕТАЛОН_ПЛ,ПЛ_РЯДОК,0),0)),"")="",IFERROR(INDEX(БАЗА_ЦІНИ,12,IFERROR(MATCH(ЕТАЛОН_ПЛ,ПЛ_РЯДОК,0),0)),"")=0),"",BU23/IFERROR(INDEX(БАЗА_ЦІНИ,12,IFERROR(MATCH(ЕТАЛОН_ПЛ,ПЛ_РЯДОК,0),0)),"")-1)</f>
        <v/>
      </c>
      <c r="BW54" s="70" t="str">
        <f aca="false">IF(OR(BW23="",ЕТАЛОН_ПЛ="",IFERROR(INDEX(БАЗА_ЦІНИ,12,IFERROR(MATCH(ЕТАЛОН_ПЛ,ПЛ_РЯДОК,0),0)),"")=""),"",BW23-IFERROR(INDEX(БАЗА_ЦІНИ,12,IFERROR(MATCH(ЕТАЛОН_ПЛ,ПЛ_РЯДОК,0),0)),""))</f>
        <v/>
      </c>
      <c r="BX54" s="71" t="str">
        <f aca="false">IF(OR(BW23="",ЕТАЛОН_ПЛ="",IFERROR(INDEX(БАЗА_ЦІНИ,12,IFERROR(MATCH(ЕТАЛОН_ПЛ,ПЛ_РЯДОК,0),0)),"")="",IFERROR(INDEX(БАЗА_ЦІНИ,12,IFERROR(MATCH(ЕТАЛОН_ПЛ,ПЛ_РЯДОК,0),0)),"")=0),"",BW23/IFERROR(INDEX(БАЗА_ЦІНИ,12,IFERROR(MATCH(ЕТАЛОН_ПЛ,ПЛ_РЯДОК,0),0)),"")-1)</f>
        <v/>
      </c>
      <c r="BY54" s="70" t="str">
        <f aca="false">IF(OR(BY23="",ЕТАЛОН_ПЛ="",IFERROR(INDEX(БАЗА_ЦІНИ,12,IFERROR(MATCH(ЕТАЛОН_ПЛ,ПЛ_РЯДОК,0),0)),"")=""),"",BY23-IFERROR(INDEX(БАЗА_ЦІНИ,12,IFERROR(MATCH(ЕТАЛОН_ПЛ,ПЛ_РЯДОК,0),0)),""))</f>
        <v/>
      </c>
      <c r="BZ54" s="71" t="str">
        <f aca="false">IF(OR(BY23="",ЕТАЛОН_ПЛ="",IFERROR(INDEX(БАЗА_ЦІНИ,12,IFERROR(MATCH(ЕТАЛОН_ПЛ,ПЛ_РЯДОК,0),0)),"")="",IFERROR(INDEX(БАЗА_ЦІНИ,12,IFERROR(MATCH(ЕТАЛОН_ПЛ,ПЛ_РЯДОК,0),0)),"")=0),"",BY23/IFERROR(INDEX(БАЗА_ЦІНИ,12,IFERROR(MATCH(ЕТАЛОН_ПЛ,ПЛ_РЯДОК,0),0)),"")-1)</f>
        <v/>
      </c>
      <c r="CA54" s="70" t="str">
        <f aca="false">IF(OR(CA23="",ЕТАЛОН_ПЛ="",IFERROR(INDEX(БАЗА_ЦІНИ,12,IFERROR(MATCH(ЕТАЛОН_ПЛ,ПЛ_РЯДОК,0),0)),"")=""),"",CA23-IFERROR(INDEX(БАЗА_ЦІНИ,12,IFERROR(MATCH(ЕТАЛОН_ПЛ,ПЛ_РЯДОК,0),0)),""))</f>
        <v/>
      </c>
      <c r="CB54" s="71" t="str">
        <f aca="false">IF(OR(CA23="",ЕТАЛОН_ПЛ="",IFERROR(INDEX(БАЗА_ЦІНИ,12,IFERROR(MATCH(ЕТАЛОН_ПЛ,ПЛ_РЯДОК,0),0)),"")="",IFERROR(INDEX(БАЗА_ЦІНИ,12,IFERROR(MATCH(ЕТАЛОН_ПЛ,ПЛ_РЯДОК,0),0)),"")=0),"",CA23/IFERROR(INDEX(БАЗА_ЦІНИ,12,IFERROR(MATCH(ЕТАЛОН_ПЛ,ПЛ_РЯДОК,0),0)),"")-1)</f>
        <v/>
      </c>
      <c r="CC54" s="70" t="str">
        <f aca="false">IF(OR(CC23="",ЕТАЛОН_ПЛ="",IFERROR(INDEX(БАЗА_ЦІНИ,12,IFERROR(MATCH(ЕТАЛОН_ПЛ,ПЛ_РЯДОК,0),0)),"")=""),"",CC23-IFERROR(INDEX(БАЗА_ЦІНИ,12,IFERROR(MATCH(ЕТАЛОН_ПЛ,ПЛ_РЯДОК,0),0)),""))</f>
        <v/>
      </c>
      <c r="CD54" s="71" t="str">
        <f aca="false">IF(OR(CC23="",ЕТАЛОН_ПЛ="",IFERROR(INDEX(БАЗА_ЦІНИ,12,IFERROR(MATCH(ЕТАЛОН_ПЛ,ПЛ_РЯДОК,0),0)),"")="",IFERROR(INDEX(БАЗА_ЦІНИ,12,IFERROR(MATCH(ЕТАЛОН_ПЛ,ПЛ_РЯДОК,0),0)),"")=0),"",CC23/IFERROR(INDEX(БАЗА_ЦІНИ,12,IFERROR(MATCH(ЕТАЛОН_ПЛ,ПЛ_РЯДОК,0),0)),"")-1)</f>
        <v/>
      </c>
      <c r="CE54" s="70" t="str">
        <f aca="false">IF(OR(CE23="",ЕТАЛОН_ПЛ="",IFERROR(INDEX(БАЗА_ЦІНИ,12,IFERROR(MATCH(ЕТАЛОН_ПЛ,ПЛ_РЯДОК,0),0)),"")=""),"",CE23-IFERROR(INDEX(БАЗА_ЦІНИ,12,IFERROR(MATCH(ЕТАЛОН_ПЛ,ПЛ_РЯДОК,0),0)),""))</f>
        <v/>
      </c>
      <c r="CF54" s="71" t="str">
        <f aca="false">IF(OR(CE23="",ЕТАЛОН_ПЛ="",IFERROR(INDEX(БАЗА_ЦІНИ,12,IFERROR(MATCH(ЕТАЛОН_ПЛ,ПЛ_РЯДОК,0),0)),"")="",IFERROR(INDEX(БАЗА_ЦІНИ,12,IFERROR(MATCH(ЕТАЛОН_ПЛ,ПЛ_РЯДОК,0),0)),"")=0),"",CE23/IFERROR(INDEX(БАЗА_ЦІНИ,12,IFERROR(MATCH(ЕТАЛОН_ПЛ,ПЛ_РЯДОК,0),0)),"")-1)</f>
        <v/>
      </c>
      <c r="CG54" s="70" t="str">
        <f aca="false">IF(OR(CG23="",ЕТАЛОН_ПЛ="",IFERROR(INDEX(БАЗА_ЦІНИ,12,IFERROR(MATCH(ЕТАЛОН_ПЛ,ПЛ_РЯДОК,0),0)),"")=""),"",CG23-IFERROR(INDEX(БАЗА_ЦІНИ,12,IFERROR(MATCH(ЕТАЛОН_ПЛ,ПЛ_РЯДОК,0),0)),""))</f>
        <v/>
      </c>
      <c r="CH54" s="71" t="str">
        <f aca="false">IF(OR(CG23="",ЕТАЛОН_ПЛ="",IFERROR(INDEX(БАЗА_ЦІНИ,12,IFERROR(MATCH(ЕТАЛОН_ПЛ,ПЛ_РЯДОК,0),0)),"")="",IFERROR(INDEX(БАЗА_ЦІНИ,12,IFERROR(MATCH(ЕТАЛОН_ПЛ,ПЛ_РЯДОК,0),0)),"")=0),"",CG23/IFERROR(INDEX(БАЗА_ЦІНИ,12,IFERROR(MATCH(ЕТАЛОН_ПЛ,ПЛ_РЯДОК,0),0)),"")-1)</f>
        <v/>
      </c>
      <c r="CI54" s="70" t="str">
        <f aca="false">IF(OR(CI23="",ЕТАЛОН_ПЛ="",IFERROR(INDEX(БАЗА_ЦІНИ,12,IFERROR(MATCH(ЕТАЛОН_ПЛ,ПЛ_РЯДОК,0),0)),"")=""),"",CI23-IFERROR(INDEX(БАЗА_ЦІНИ,12,IFERROR(MATCH(ЕТАЛОН_ПЛ,ПЛ_РЯДОК,0),0)),""))</f>
        <v/>
      </c>
      <c r="CJ54" s="71" t="str">
        <f aca="false">IF(OR(CI23="",ЕТАЛОН_ПЛ="",IFERROR(INDEX(БАЗА_ЦІНИ,12,IFERROR(MATCH(ЕТАЛОН_ПЛ,ПЛ_РЯДОК,0),0)),"")="",IFERROR(INDEX(БАЗА_ЦІНИ,12,IFERROR(MATCH(ЕТАЛОН_ПЛ,ПЛ_РЯДОК,0),0)),"")=0),"",CI23/IFERROR(INDEX(БАЗА_ЦІНИ,12,IFERROR(MATCH(ЕТАЛОН_ПЛ,ПЛ_РЯДОК,0),0)),"")-1)</f>
        <v/>
      </c>
      <c r="CK54" s="70" t="str">
        <f aca="false">IF(OR(CK23="",ЕТАЛОН_ПЛ="",IFERROR(INDEX(БАЗА_ЦІНИ,12,IFERROR(MATCH(ЕТАЛОН_ПЛ,ПЛ_РЯДОК,0),0)),"")=""),"",CK23-IFERROR(INDEX(БАЗА_ЦІНИ,12,IFERROR(MATCH(ЕТАЛОН_ПЛ,ПЛ_РЯДОК,0),0)),""))</f>
        <v/>
      </c>
      <c r="CL54" s="71" t="str">
        <f aca="false">IF(OR(CK23="",ЕТАЛОН_ПЛ="",IFERROR(INDEX(БАЗА_ЦІНИ,12,IFERROR(MATCH(ЕТАЛОН_ПЛ,ПЛ_РЯДОК,0),0)),"")="",IFERROR(INDEX(БАЗА_ЦІНИ,12,IFERROR(MATCH(ЕТАЛОН_ПЛ,ПЛ_РЯДОК,0),0)),"")=0),"",CK23/IFERROR(INDEX(БАЗА_ЦІНИ,12,IFERROR(MATCH(ЕТАЛОН_ПЛ,ПЛ_РЯДОК,0),0)),"")-1)</f>
        <v/>
      </c>
      <c r="CM54" s="70" t="str">
        <f aca="false">IF(OR(CM23="",ЕТАЛОН_ПЛ="",IFERROR(INDEX(БАЗА_ЦІНИ,12,IFERROR(MATCH(ЕТАЛОН_ПЛ,ПЛ_РЯДОК,0),0)),"")=""),"",CM23-IFERROR(INDEX(БАЗА_ЦІНИ,12,IFERROR(MATCH(ЕТАЛОН_ПЛ,ПЛ_РЯДОК,0),0)),""))</f>
        <v/>
      </c>
      <c r="CN54" s="71" t="str">
        <f aca="false">IF(OR(CM23="",ЕТАЛОН_ПЛ="",IFERROR(INDEX(БАЗА_ЦІНИ,12,IFERROR(MATCH(ЕТАЛОН_ПЛ,ПЛ_РЯДОК,0),0)),"")="",IFERROR(INDEX(БАЗА_ЦІНИ,12,IFERROR(MATCH(ЕТАЛОН_ПЛ,ПЛ_РЯДОК,0),0)),"")=0),"",CM23/IFERROR(INDEX(БАЗА_ЦІНИ,12,IFERROR(MATCH(ЕТАЛОН_ПЛ,ПЛ_РЯДОК,0),0)),"")-1)</f>
        <v/>
      </c>
      <c r="CO54" s="70" t="str">
        <f aca="false">IF(OR(CO23="",ЕТАЛОН_ПЛ="",IFERROR(INDEX(БАЗА_ЦІНИ,12,IFERROR(MATCH(ЕТАЛОН_ПЛ,ПЛ_РЯДОК,0),0)),"")=""),"",CO23-IFERROR(INDEX(БАЗА_ЦІНИ,12,IFERROR(MATCH(ЕТАЛОН_ПЛ,ПЛ_РЯДОК,0),0)),""))</f>
        <v/>
      </c>
      <c r="CP54" s="71" t="str">
        <f aca="false">IF(OR(CO23="",ЕТАЛОН_ПЛ="",IFERROR(INDEX(БАЗА_ЦІНИ,12,IFERROR(MATCH(ЕТАЛОН_ПЛ,ПЛ_РЯДОК,0),0)),"")="",IFERROR(INDEX(БАЗА_ЦІНИ,12,IFERROR(MATCH(ЕТАЛОН_ПЛ,ПЛ_РЯДОК,0),0)),"")=0),"",CO23/IFERROR(INDEX(БАЗА_ЦІНИ,12,IFERROR(MATCH(ЕТАЛОН_ПЛ,ПЛ_РЯДОК,0),0)),"")-1)</f>
        <v/>
      </c>
      <c r="CQ54" s="70" t="str">
        <f aca="false">IF(OR(CQ23="",ЕТАЛОН_ПЛ="",IFERROR(INDEX(БАЗА_ЦІНИ,12,IFERROR(MATCH(ЕТАЛОН_ПЛ,ПЛ_РЯДОК,0),0)),"")=""),"",CQ23-IFERROR(INDEX(БАЗА_ЦІНИ,12,IFERROR(MATCH(ЕТАЛОН_ПЛ,ПЛ_РЯДОК,0),0)),""))</f>
        <v/>
      </c>
      <c r="CR54" s="71" t="str">
        <f aca="false">IF(OR(CQ23="",ЕТАЛОН_ПЛ="",IFERROR(INDEX(БАЗА_ЦІНИ,12,IFERROR(MATCH(ЕТАЛОН_ПЛ,ПЛ_РЯДОК,0),0)),"")="",IFERROR(INDEX(БАЗА_ЦІНИ,12,IFERROR(MATCH(ЕТАЛОН_ПЛ,ПЛ_РЯДОК,0),0)),"")=0),"",CQ23/IFERROR(INDEX(БАЗА_ЦІНИ,12,IFERROR(MATCH(ЕТАЛОН_ПЛ,ПЛ_РЯДОК,0),0)),"")-1)</f>
        <v/>
      </c>
      <c r="CS54" s="70" t="str">
        <f aca="false">IF(OR(CS23="",ЕТАЛОН_ПЛ="",IFERROR(INDEX(БАЗА_ЦІНИ,12,IFERROR(MATCH(ЕТАЛОН_ПЛ,ПЛ_РЯДОК,0),0)),"")=""),"",CS23-IFERROR(INDEX(БАЗА_ЦІНИ,12,IFERROR(MATCH(ЕТАЛОН_ПЛ,ПЛ_РЯДОК,0),0)),""))</f>
        <v/>
      </c>
      <c r="CT54" s="71" t="str">
        <f aca="false">IF(OR(CS23="",ЕТАЛОН_ПЛ="",IFERROR(INDEX(БАЗА_ЦІНИ,12,IFERROR(MATCH(ЕТАЛОН_ПЛ,ПЛ_РЯДОК,0),0)),"")="",IFERROR(INDEX(БАЗА_ЦІНИ,12,IFERROR(MATCH(ЕТАЛОН_ПЛ,ПЛ_РЯДОК,0),0)),"")=0),"",CS23/IFERROR(INDEX(БАЗА_ЦІНИ,12,IFERROR(MATCH(ЕТАЛОН_ПЛ,ПЛ_РЯДОК,0),0)),"")-1)</f>
        <v/>
      </c>
      <c r="CU54" s="70" t="str">
        <f aca="false">IF(OR(CU23="",ЕТАЛОН_ПЛ="",IFERROR(INDEX(БАЗА_ЦІНИ,12,IFERROR(MATCH(ЕТАЛОН_ПЛ,ПЛ_РЯДОК,0),0)),"")=""),"",CU23-IFERROR(INDEX(БАЗА_ЦІНИ,12,IFERROR(MATCH(ЕТАЛОН_ПЛ,ПЛ_РЯДОК,0),0)),""))</f>
        <v/>
      </c>
      <c r="CV54" s="71" t="str">
        <f aca="false">IF(OR(CU23="",ЕТАЛОН_ПЛ="",IFERROR(INDEX(БАЗА_ЦІНИ,12,IFERROR(MATCH(ЕТАЛОН_ПЛ,ПЛ_РЯДОК,0),0)),"")="",IFERROR(INDEX(БАЗА_ЦІНИ,12,IFERROR(MATCH(ЕТАЛОН_ПЛ,ПЛ_РЯДОК,0),0)),"")=0),"",CU23/IFERROR(INDEX(БАЗА_ЦІНИ,12,IFERROR(MATCH(ЕТАЛОН_ПЛ,ПЛ_РЯДОК,0),0)),"")-1)</f>
        <v/>
      </c>
      <c r="CW54" s="70" t="str">
        <f aca="false">IF(OR(CW23="",ЕТАЛОН_ПЛ="",IFERROR(INDEX(БАЗА_ЦІНИ,12,IFERROR(MATCH(ЕТАЛОН_ПЛ,ПЛ_РЯДОК,0),0)),"")=""),"",CW23-IFERROR(INDEX(БАЗА_ЦІНИ,12,IFERROR(MATCH(ЕТАЛОН_ПЛ,ПЛ_РЯДОК,0),0)),""))</f>
        <v/>
      </c>
      <c r="CX54" s="71" t="str">
        <f aca="false">IF(OR(CW23="",ЕТАЛОН_ПЛ="",IFERROR(INDEX(БАЗА_ЦІНИ,12,IFERROR(MATCH(ЕТАЛОН_ПЛ,ПЛ_РЯДОК,0),0)),"")="",IFERROR(INDEX(БАЗА_ЦІНИ,12,IFERROR(MATCH(ЕТАЛОН_ПЛ,ПЛ_РЯДОК,0),0)),"")=0),"",CW23/IFERROR(INDEX(БАЗА_ЦІНИ,12,IFERROR(MATCH(ЕТАЛОН_ПЛ,ПЛ_РЯДОК,0),0)),"")-1)</f>
        <v/>
      </c>
      <c r="CY54" s="70" t="str">
        <f aca="false">IF(OR(CY23="",ЕТАЛОН_ПЛ="",IFERROR(INDEX(БАЗА_ЦІНИ,12,IFERROR(MATCH(ЕТАЛОН_ПЛ,ПЛ_РЯДОК,0),0)),"")=""),"",CY23-IFERROR(INDEX(БАЗА_ЦІНИ,12,IFERROR(MATCH(ЕТАЛОН_ПЛ,ПЛ_РЯДОК,0),0)),""))</f>
        <v/>
      </c>
      <c r="CZ54" s="71" t="str">
        <f aca="false">IF(OR(CY23="",ЕТАЛОН_ПЛ="",IFERROR(INDEX(БАЗА_ЦІНИ,12,IFERROR(MATCH(ЕТАЛОН_ПЛ,ПЛ_РЯДОК,0),0)),"")="",IFERROR(INDEX(БАЗА_ЦІНИ,12,IFERROR(MATCH(ЕТАЛОН_ПЛ,ПЛ_РЯДОК,0),0)),"")=0),"",CY23/IFERROR(INDEX(БАЗА_ЦІНИ,12,IFERROR(MATCH(ЕТАЛОН_ПЛ,ПЛ_РЯДОК,0),0)),"")-1)</f>
        <v/>
      </c>
      <c r="DA54" s="70" t="str">
        <f aca="false">IF(OR(DA23="",ЕТАЛОН_ПЛ="",IFERROR(INDEX(БАЗА_ЦІНИ,12,IFERROR(MATCH(ЕТАЛОН_ПЛ,ПЛ_РЯДОК,0),0)),"")=""),"",DA23-IFERROR(INDEX(БАЗА_ЦІНИ,12,IFERROR(MATCH(ЕТАЛОН_ПЛ,ПЛ_РЯДОК,0),0)),""))</f>
        <v/>
      </c>
      <c r="DB54" s="71" t="str">
        <f aca="false">IF(OR(DA23="",ЕТАЛОН_ПЛ="",IFERROR(INDEX(БАЗА_ЦІНИ,12,IFERROR(MATCH(ЕТАЛОН_ПЛ,ПЛ_РЯДОК,0),0)),"")="",IFERROR(INDEX(БАЗА_ЦІНИ,12,IFERROR(MATCH(ЕТАЛОН_ПЛ,ПЛ_РЯДОК,0),0)),"")=0),"",DA23/IFERROR(INDEX(БАЗА_ЦІНИ,12,IFERROR(MATCH(ЕТАЛОН_ПЛ,ПЛ_РЯДОК,0),0)),"")-1)</f>
        <v/>
      </c>
      <c r="DC54" s="70" t="str">
        <f aca="false">IF(OR(DC23="",ЕТАЛОН_ПЛ="",IFERROR(INDEX(БАЗА_ЦІНИ,12,IFERROR(MATCH(ЕТАЛОН_ПЛ,ПЛ_РЯДОК,0),0)),"")=""),"",DC23-IFERROR(INDEX(БАЗА_ЦІНИ,12,IFERROR(MATCH(ЕТАЛОН_ПЛ,ПЛ_РЯДОК,0),0)),""))</f>
        <v/>
      </c>
      <c r="DD54" s="71" t="str">
        <f aca="false">IF(OR(DC23="",ЕТАЛОН_ПЛ="",IFERROR(INDEX(БАЗА_ЦІНИ,12,IFERROR(MATCH(ЕТАЛОН_ПЛ,ПЛ_РЯДОК,0),0)),"")="",IFERROR(INDEX(БАЗА_ЦІНИ,12,IFERROR(MATCH(ЕТАЛОН_ПЛ,ПЛ_РЯДОК,0),0)),"")=0),"",DC23/IFERROR(INDEX(БАЗА_ЦІНИ,12,IFERROR(MATCH(ЕТАЛОН_ПЛ,ПЛ_РЯДОК,0),0)),"")-1)</f>
        <v/>
      </c>
      <c r="DE54" s="70" t="str">
        <f aca="false">IF(OR(DE23="",ЕТАЛОН_ПЛ="",IFERROR(INDEX(БАЗА_ЦІНИ,12,IFERROR(MATCH(ЕТАЛОН_ПЛ,ПЛ_РЯДОК,0),0)),"")=""),"",DE23-IFERROR(INDEX(БАЗА_ЦІНИ,12,IFERROR(MATCH(ЕТАЛОН_ПЛ,ПЛ_РЯДОК,0),0)),""))</f>
        <v/>
      </c>
      <c r="DF54" s="71" t="str">
        <f aca="false">IF(OR(DE23="",ЕТАЛОН_ПЛ="",IFERROR(INDEX(БАЗА_ЦІНИ,12,IFERROR(MATCH(ЕТАЛОН_ПЛ,ПЛ_РЯДОК,0),0)),"")="",IFERROR(INDEX(БАЗА_ЦІНИ,12,IFERROR(MATCH(ЕТАЛОН_ПЛ,ПЛ_РЯДОК,0),0)),"")=0),"",DE23/IFERROR(INDEX(БАЗА_ЦІНИ,12,IFERROR(MATCH(ЕТАЛОН_ПЛ,ПЛ_РЯДОК,0),0)),"")-1)</f>
        <v/>
      </c>
      <c r="DG54" s="70" t="str">
        <f aca="false">IF(OR(DG23="",ЕТАЛОН_ПЛ="",IFERROR(INDEX(БАЗА_ЦІНИ,12,IFERROR(MATCH(ЕТАЛОН_ПЛ,ПЛ_РЯДОК,0),0)),"")=""),"",DG23-IFERROR(INDEX(БАЗА_ЦІНИ,12,IFERROR(MATCH(ЕТАЛОН_ПЛ,ПЛ_РЯДОК,0),0)),""))</f>
        <v/>
      </c>
      <c r="DH54" s="71" t="str">
        <f aca="false">IF(OR(DG23="",ЕТАЛОН_ПЛ="",IFERROR(INDEX(БАЗА_ЦІНИ,12,IFERROR(MATCH(ЕТАЛОН_ПЛ,ПЛ_РЯДОК,0),0)),"")="",IFERROR(INDEX(БАЗА_ЦІНИ,12,IFERROR(MATCH(ЕТАЛОН_ПЛ,ПЛ_РЯДОК,0),0)),"")=0),"",DG23/IFERROR(INDEX(БАЗА_ЦІНИ,12,IFERROR(MATCH(ЕТАЛОН_ПЛ,ПЛ_РЯДОК,0),0)),"")-1)</f>
        <v/>
      </c>
      <c r="DI54" s="70" t="str">
        <f aca="false">IF(OR(DI23="",ЕТАЛОН_ПЛ="",IFERROR(INDEX(БАЗА_ЦІНИ,12,IFERROR(MATCH(ЕТАЛОН_ПЛ,ПЛ_РЯДОК,0),0)),"")=""),"",DI23-IFERROR(INDEX(БАЗА_ЦІНИ,12,IFERROR(MATCH(ЕТАЛОН_ПЛ,ПЛ_РЯДОК,0),0)),""))</f>
        <v/>
      </c>
      <c r="DJ54" s="71" t="str">
        <f aca="false">IF(OR(DI23="",ЕТАЛОН_ПЛ="",IFERROR(INDEX(БАЗА_ЦІНИ,12,IFERROR(MATCH(ЕТАЛОН_ПЛ,ПЛ_РЯДОК,0),0)),"")="",IFERROR(INDEX(БАЗА_ЦІНИ,12,IFERROR(MATCH(ЕТАЛОН_ПЛ,ПЛ_РЯДОК,0),0)),"")=0),"",DI23/IFERROR(INDEX(БАЗА_ЦІНИ,12,IFERROR(MATCH(ЕТАЛОН_ПЛ,ПЛ_РЯДОК,0),0)),"")-1)</f>
        <v/>
      </c>
      <c r="DK54" s="70" t="str">
        <f aca="false">IF(OR(DK23="",ЕТАЛОН_ПЛ="",IFERROR(INDEX(БАЗА_ЦІНИ,12,IFERROR(MATCH(ЕТАЛОН_ПЛ,ПЛ_РЯДОК,0),0)),"")=""),"",DK23-IFERROR(INDEX(БАЗА_ЦІНИ,12,IFERROR(MATCH(ЕТАЛОН_ПЛ,ПЛ_РЯДОК,0),0)),""))</f>
        <v/>
      </c>
      <c r="DL54" s="71" t="str">
        <f aca="false">IF(OR(DK23="",ЕТАЛОН_ПЛ="",IFERROR(INDEX(БАЗА_ЦІНИ,12,IFERROR(MATCH(ЕТАЛОН_ПЛ,ПЛ_РЯДОК,0),0)),"")="",IFERROR(INDEX(БАЗА_ЦІНИ,12,IFERROR(MATCH(ЕТАЛОН_ПЛ,ПЛ_РЯДОК,0),0)),"")=0),"",DK23/IFERROR(INDEX(БАЗА_ЦІНИ,12,IFERROR(MATCH(ЕТАЛОН_ПЛ,ПЛ_РЯДОК,0),0)),"")-1)</f>
        <v/>
      </c>
      <c r="DM54" s="70" t="str">
        <f aca="false">IF(OR(DM23="",ЕТАЛОН_ПЛ="",IFERROR(INDEX(БАЗА_ЦІНИ,12,IFERROR(MATCH(ЕТАЛОН_ПЛ,ПЛ_РЯДОК,0),0)),"")=""),"",DM23-IFERROR(INDEX(БАЗА_ЦІНИ,12,IFERROR(MATCH(ЕТАЛОН_ПЛ,ПЛ_РЯДОК,0),0)),""))</f>
        <v/>
      </c>
      <c r="DN54" s="71" t="str">
        <f aca="false">IF(OR(DM23="",ЕТАЛОН_ПЛ="",IFERROR(INDEX(БАЗА_ЦІНИ,12,IFERROR(MATCH(ЕТАЛОН_ПЛ,ПЛ_РЯДОК,0),0)),"")="",IFERROR(INDEX(БАЗА_ЦІНИ,12,IFERROR(MATCH(ЕТАЛОН_ПЛ,ПЛ_РЯДОК,0),0)),"")=0),"",DM23/IFERROR(INDEX(БАЗА_ЦІНИ,12,IFERROR(MATCH(ЕТАЛОН_ПЛ,ПЛ_РЯДОК,0),0)),"")-1)</f>
        <v/>
      </c>
      <c r="DO54" s="70" t="str">
        <f aca="false">IF(OR(DO23="",ЕТАЛОН_ПЛ="",IFERROR(INDEX(БАЗА_ЦІНИ,12,IFERROR(MATCH(ЕТАЛОН_ПЛ,ПЛ_РЯДОК,0),0)),"")=""),"",DO23-IFERROR(INDEX(БАЗА_ЦІНИ,12,IFERROR(MATCH(ЕТАЛОН_ПЛ,ПЛ_РЯДОК,0),0)),""))</f>
        <v/>
      </c>
      <c r="DP54" s="71" t="str">
        <f aca="false">IF(OR(DO23="",ЕТАЛОН_ПЛ="",IFERROR(INDEX(БАЗА_ЦІНИ,12,IFERROR(MATCH(ЕТАЛОН_ПЛ,ПЛ_РЯДОК,0),0)),"")="",IFERROR(INDEX(БАЗА_ЦІНИ,12,IFERROR(MATCH(ЕТАЛОН_ПЛ,ПЛ_РЯДОК,0),0)),"")=0),"",DO23/IFERROR(INDEX(БАЗА_ЦІНИ,12,IFERROR(MATCH(ЕТАЛОН_ПЛ,ПЛ_РЯДОК,0),0)),"")-1)</f>
        <v/>
      </c>
      <c r="DQ54" s="70" t="str">
        <f aca="false">IF(OR(DQ23="",ЕТАЛОН_ПЛ="",IFERROR(INDEX(БАЗА_ЦІНИ,12,IFERROR(MATCH(ЕТАЛОН_ПЛ,ПЛ_РЯДОК,0),0)),"")=""),"",DQ23-IFERROR(INDEX(БАЗА_ЦІНИ,12,IFERROR(MATCH(ЕТАЛОН_ПЛ,ПЛ_РЯДОК,0),0)),""))</f>
        <v/>
      </c>
      <c r="DR54" s="71" t="str">
        <f aca="false">IF(OR(DQ23="",ЕТАЛОН_ПЛ="",IFERROR(INDEX(БАЗА_ЦІНИ,12,IFERROR(MATCH(ЕТАЛОН_ПЛ,ПЛ_РЯДОК,0),0)),"")="",IFERROR(INDEX(БАЗА_ЦІНИ,12,IFERROR(MATCH(ЕТАЛОН_ПЛ,ПЛ_РЯДОК,0),0)),"")=0),"",DQ23/IFERROR(INDEX(БАЗА_ЦІНИ,12,IFERROR(MATCH(ЕТАЛОН_ПЛ,ПЛ_РЯДОК,0),0)),"")-1)</f>
        <v/>
      </c>
      <c r="DS54" s="70" t="str">
        <f aca="false">IF(OR(DS23="",ЕТАЛОН_ПЛ="",IFERROR(INDEX(БАЗА_ЦІНИ,12,IFERROR(MATCH(ЕТАЛОН_ПЛ,ПЛ_РЯДОК,0),0)),"")=""),"",DS23-IFERROR(INDEX(БАЗА_ЦІНИ,12,IFERROR(MATCH(ЕТАЛОН_ПЛ,ПЛ_РЯДОК,0),0)),""))</f>
        <v/>
      </c>
      <c r="DT54" s="71" t="str">
        <f aca="false">IF(OR(DS23="",ЕТАЛОН_ПЛ="",IFERROR(INDEX(БАЗА_ЦІНИ,12,IFERROR(MATCH(ЕТАЛОН_ПЛ,ПЛ_РЯДОК,0),0)),"")="",IFERROR(INDEX(БАЗА_ЦІНИ,12,IFERROR(MATCH(ЕТАЛОН_ПЛ,ПЛ_РЯДОК,0),0)),"")=0),"",DS23/IFERROR(INDEX(БАЗА_ЦІНИ,12,IFERROR(MATCH(ЕТАЛОН_ПЛ,ПЛ_РЯДОК,0),0)),"")-1)</f>
        <v/>
      </c>
      <c r="DU54" s="70" t="str">
        <f aca="false">IF(OR(DU23="",ЕТАЛОН_ПЛ="",IFERROR(INDEX(БАЗА_ЦІНИ,12,IFERROR(MATCH(ЕТАЛОН_ПЛ,ПЛ_РЯДОК,0),0)),"")=""),"",DU23-IFERROR(INDEX(БАЗА_ЦІНИ,12,IFERROR(MATCH(ЕТАЛОН_ПЛ,ПЛ_РЯДОК,0),0)),""))</f>
        <v/>
      </c>
      <c r="DV54" s="71" t="str">
        <f aca="false">IF(OR(DU23="",ЕТАЛОН_ПЛ="",IFERROR(INDEX(БАЗА_ЦІНИ,12,IFERROR(MATCH(ЕТАЛОН_ПЛ,ПЛ_РЯДОК,0),0)),"")="",IFERROR(INDEX(БАЗА_ЦІНИ,12,IFERROR(MATCH(ЕТАЛОН_ПЛ,ПЛ_РЯДОК,0),0)),"")=0),"",DU23/IFERROR(INDEX(БАЗА_ЦІНИ,12,IFERROR(MATCH(ЕТАЛОН_ПЛ,ПЛ_РЯДОК,0),0)),"")-1)</f>
        <v/>
      </c>
      <c r="DW54" s="70" t="str">
        <f aca="false">IF(OR(DW23="",ЕТАЛОН_ПЛ="",IFERROR(INDEX(БАЗА_ЦІНИ,12,IFERROR(MATCH(ЕТАЛОН_ПЛ,ПЛ_РЯДОК,0),0)),"")=""),"",DW23-IFERROR(INDEX(БАЗА_ЦІНИ,12,IFERROR(MATCH(ЕТАЛОН_ПЛ,ПЛ_РЯДОК,0),0)),""))</f>
        <v/>
      </c>
      <c r="DX54" s="71" t="str">
        <f aca="false">IF(OR(DW23="",ЕТАЛОН_ПЛ="",IFERROR(INDEX(БАЗА_ЦІНИ,12,IFERROR(MATCH(ЕТАЛОН_ПЛ,ПЛ_РЯДОК,0),0)),"")="",IFERROR(INDEX(БАЗА_ЦІНИ,12,IFERROR(MATCH(ЕТАЛОН_ПЛ,ПЛ_РЯДОК,0),0)),"")=0),"",DW23/IFERROR(INDEX(БАЗА_ЦІНИ,12,IFERROR(MATCH(ЕТАЛОН_ПЛ,ПЛ_РЯДОК,0),0)),"")-1)</f>
        <v/>
      </c>
      <c r="DY54" s="70" t="str">
        <f aca="false">IF(OR(DY23="",ЕТАЛОН_ПЛ="",IFERROR(INDEX(БАЗА_ЦІНИ,12,IFERROR(MATCH(ЕТАЛОН_ПЛ,ПЛ_РЯДОК,0),0)),"")=""),"",DY23-IFERROR(INDEX(БАЗА_ЦІНИ,12,IFERROR(MATCH(ЕТАЛОН_ПЛ,ПЛ_РЯДОК,0),0)),""))</f>
        <v/>
      </c>
      <c r="DZ54" s="71" t="str">
        <f aca="false">IF(OR(DY23="",ЕТАЛОН_ПЛ="",IFERROR(INDEX(БАЗА_ЦІНИ,12,IFERROR(MATCH(ЕТАЛОН_ПЛ,ПЛ_РЯДОК,0),0)),"")="",IFERROR(INDEX(БАЗА_ЦІНИ,12,IFERROR(MATCH(ЕТАЛОН_ПЛ,ПЛ_РЯДОК,0),0)),"")=0),"",DY23/IFERROR(INDEX(БАЗА_ЦІНИ,12,IFERROR(MATCH(ЕТАЛОН_ПЛ,ПЛ_РЯДОК,0),0)),"")-1)</f>
        <v/>
      </c>
      <c r="EA54" s="70" t="str">
        <f aca="false">IF(OR(EA23="",ЕТАЛОН_ПЛ="",IFERROR(INDEX(БАЗА_ЦІНИ,12,IFERROR(MATCH(ЕТАЛОН_ПЛ,ПЛ_РЯДОК,0),0)),"")=""),"",EA23-IFERROR(INDEX(БАЗА_ЦІНИ,12,IFERROR(MATCH(ЕТАЛОН_ПЛ,ПЛ_РЯДОК,0),0)),""))</f>
        <v/>
      </c>
      <c r="EB54" s="71" t="str">
        <f aca="false">IF(OR(EA23="",ЕТАЛОН_ПЛ="",IFERROR(INDEX(БАЗА_ЦІНИ,12,IFERROR(MATCH(ЕТАЛОН_ПЛ,ПЛ_РЯДОК,0),0)),"")="",IFERROR(INDEX(БАЗА_ЦІНИ,12,IFERROR(MATCH(ЕТАЛОН_ПЛ,ПЛ_РЯДОК,0),0)),"")=0),"",EA23/IFERROR(INDEX(БАЗА_ЦІНИ,12,IFERROR(MATCH(ЕТАЛОН_ПЛ,ПЛ_РЯДОК,0),0)),"")-1)</f>
        <v/>
      </c>
      <c r="EC54" s="70" t="str">
        <f aca="false">IF(OR(EC23="",ЕТАЛОН_ПЛ="",IFERROR(INDEX(БАЗА_ЦІНИ,12,IFERROR(MATCH(ЕТАЛОН_ПЛ,ПЛ_РЯДОК,0),0)),"")=""),"",EC23-IFERROR(INDEX(БАЗА_ЦІНИ,12,IFERROR(MATCH(ЕТАЛОН_ПЛ,ПЛ_РЯДОК,0),0)),""))</f>
        <v/>
      </c>
      <c r="ED54" s="71" t="str">
        <f aca="false">IF(OR(EC23="",ЕТАЛОН_ПЛ="",IFERROR(INDEX(БАЗА_ЦІНИ,12,IFERROR(MATCH(ЕТАЛОН_ПЛ,ПЛ_РЯДОК,0),0)),"")="",IFERROR(INDEX(БАЗА_ЦІНИ,12,IFERROR(MATCH(ЕТАЛОН_ПЛ,ПЛ_РЯДОК,0),0)),"")=0),"",EC23/IFERROR(INDEX(БАЗА_ЦІНИ,12,IFERROR(MATCH(ЕТАЛОН_ПЛ,ПЛ_РЯДОК,0),0)),"")-1)</f>
        <v/>
      </c>
      <c r="EE54" s="70" t="str">
        <f aca="false">IF(OR(EE23="",ЕТАЛОН_ПЛ="",IFERROR(INDEX(БАЗА_ЦІНИ,12,IFERROR(MATCH(ЕТАЛОН_ПЛ,ПЛ_РЯДОК,0),0)),"")=""),"",EE23-IFERROR(INDEX(БАЗА_ЦІНИ,12,IFERROR(MATCH(ЕТАЛОН_ПЛ,ПЛ_РЯДОК,0),0)),""))</f>
        <v/>
      </c>
      <c r="EF54" s="71" t="str">
        <f aca="false">IF(OR(EE23="",ЕТАЛОН_ПЛ="",IFERROR(INDEX(БАЗА_ЦІНИ,12,IFERROR(MATCH(ЕТАЛОН_ПЛ,ПЛ_РЯДОК,0),0)),"")="",IFERROR(INDEX(БАЗА_ЦІНИ,12,IFERROR(MATCH(ЕТАЛОН_ПЛ,ПЛ_РЯДОК,0),0)),"")=0),"",EE23/IFERROR(INDEX(БАЗА_ЦІНИ,12,IFERROR(MATCH(ЕТАЛОН_ПЛ,ПЛ_РЯДОК,0),0)),"")-1)</f>
        <v/>
      </c>
      <c r="EG54" s="70" t="str">
        <f aca="false">IF(OR(EG23="",ЕТАЛОН_ПЛ="",IFERROR(INDEX(БАЗА_ЦІНИ,12,IFERROR(MATCH(ЕТАЛОН_ПЛ,ПЛ_РЯДОК,0),0)),"")=""),"",EG23-IFERROR(INDEX(БАЗА_ЦІНИ,12,IFERROR(MATCH(ЕТАЛОН_ПЛ,ПЛ_РЯДОК,0),0)),""))</f>
        <v/>
      </c>
      <c r="EH54" s="71" t="str">
        <f aca="false">IF(OR(EG23="",ЕТАЛОН_ПЛ="",IFERROR(INDEX(БАЗА_ЦІНИ,12,IFERROR(MATCH(ЕТАЛОН_ПЛ,ПЛ_РЯДОК,0),0)),"")="",IFERROR(INDEX(БАЗА_ЦІНИ,12,IFERROR(MATCH(ЕТАЛОН_ПЛ,ПЛ_РЯДОК,0),0)),"")=0),"",EG23/IFERROR(INDEX(БАЗА_ЦІНИ,12,IFERROR(MATCH(ЕТАЛОН_ПЛ,ПЛ_РЯДОК,0),0)),"")-1)</f>
        <v/>
      </c>
      <c r="EI54" s="70" t="str">
        <f aca="false">IF(OR(EI23="",ЕТАЛОН_ПЛ="",IFERROR(INDEX(БАЗА_ЦІНИ,12,IFERROR(MATCH(ЕТАЛОН_ПЛ,ПЛ_РЯДОК,0),0)),"")=""),"",EI23-IFERROR(INDEX(БАЗА_ЦІНИ,12,IFERROR(MATCH(ЕТАЛОН_ПЛ,ПЛ_РЯДОК,0),0)),""))</f>
        <v/>
      </c>
      <c r="EJ54" s="71" t="str">
        <f aca="false">IF(OR(EI23="",ЕТАЛОН_ПЛ="",IFERROR(INDEX(БАЗА_ЦІНИ,12,IFERROR(MATCH(ЕТАЛОН_ПЛ,ПЛ_РЯДОК,0),0)),"")="",IFERROR(INDEX(БАЗА_ЦІНИ,12,IFERROR(MATCH(ЕТАЛОН_ПЛ,ПЛ_РЯДОК,0),0)),"")=0),"",EI23/IFERROR(INDEX(БАЗА_ЦІНИ,12,IFERROR(MATCH(ЕТАЛОН_ПЛ,ПЛ_РЯДОК,0),0)),"")-1)</f>
        <v/>
      </c>
      <c r="EK54" s="70" t="str">
        <f aca="false">IF(OR(EK23="",ЕТАЛОН_ПЛ="",IFERROR(INDEX(БАЗА_ЦІНИ,12,IFERROR(MATCH(ЕТАЛОН_ПЛ,ПЛ_РЯДОК,0),0)),"")=""),"",EK23-IFERROR(INDEX(БАЗА_ЦІНИ,12,IFERROR(MATCH(ЕТАЛОН_ПЛ,ПЛ_РЯДОК,0),0)),""))</f>
        <v/>
      </c>
      <c r="EL54" s="71" t="str">
        <f aca="false">IF(OR(EK23="",ЕТАЛОН_ПЛ="",IFERROR(INDEX(БАЗА_ЦІНИ,12,IFERROR(MATCH(ЕТАЛОН_ПЛ,ПЛ_РЯДОК,0),0)),"")="",IFERROR(INDEX(БАЗА_ЦІНИ,12,IFERROR(MATCH(ЕТАЛОН_ПЛ,ПЛ_РЯДОК,0),0)),"")=0),"",EK23/IFERROR(INDEX(БАЗА_ЦІНИ,12,IFERROR(MATCH(ЕТАЛОН_ПЛ,ПЛ_РЯДОК,0),0)),"")-1)</f>
        <v/>
      </c>
      <c r="EM54" s="70" t="str">
        <f aca="false">IF(OR(EM23="",ЕТАЛОН_ПЛ="",IFERROR(INDEX(БАЗА_ЦІНИ,12,IFERROR(MATCH(ЕТАЛОН_ПЛ,ПЛ_РЯДОК,0),0)),"")=""),"",EM23-IFERROR(INDEX(БАЗА_ЦІНИ,12,IFERROR(MATCH(ЕТАЛОН_ПЛ,ПЛ_РЯДОК,0),0)),""))</f>
        <v/>
      </c>
      <c r="EN54" s="71" t="str">
        <f aca="false">IF(OR(EM23="",ЕТАЛОН_ПЛ="",IFERROR(INDEX(БАЗА_ЦІНИ,12,IFERROR(MATCH(ЕТАЛОН_ПЛ,ПЛ_РЯДОК,0),0)),"")="",IFERROR(INDEX(БАЗА_ЦІНИ,12,IFERROR(MATCH(ЕТАЛОН_ПЛ,ПЛ_РЯДОК,0),0)),"")=0),"",EM23/IFERROR(INDEX(БАЗА_ЦІНИ,12,IFERROR(MATCH(ЕТАЛОН_ПЛ,ПЛ_РЯДОК,0),0)),"")-1)</f>
        <v/>
      </c>
      <c r="EO54" s="70" t="str">
        <f aca="false">IF(OR(EO23="",ЕТАЛОН_ПЛ="",IFERROR(INDEX(БАЗА_ЦІНИ,12,IFERROR(MATCH(ЕТАЛОН_ПЛ,ПЛ_РЯДОК,0),0)),"")=""),"",EO23-IFERROR(INDEX(БАЗА_ЦІНИ,12,IFERROR(MATCH(ЕТАЛОН_ПЛ,ПЛ_РЯДОК,0),0)),""))</f>
        <v/>
      </c>
      <c r="EP54" s="71" t="str">
        <f aca="false">IF(OR(EO23="",ЕТАЛОН_ПЛ="",IFERROR(INDEX(БАЗА_ЦІНИ,12,IFERROR(MATCH(ЕТАЛОН_ПЛ,ПЛ_РЯДОК,0),0)),"")="",IFERROR(INDEX(БАЗА_ЦІНИ,12,IFERROR(MATCH(ЕТАЛОН_ПЛ,ПЛ_РЯДОК,0),0)),"")=0),"",EO23/IFERROR(INDEX(БАЗА_ЦІНИ,12,IFERROR(MATCH(ЕТАЛОН_ПЛ,ПЛ_РЯДОК,0),0)),"")-1)</f>
        <v/>
      </c>
      <c r="EQ54" s="70" t="str">
        <f aca="false">IF(OR(EQ23="",ЕТАЛОН_ПЛ="",IFERROR(INDEX(БАЗА_ЦІНИ,12,IFERROR(MATCH(ЕТАЛОН_ПЛ,ПЛ_РЯДОК,0),0)),"")=""),"",EQ23-IFERROR(INDEX(БАЗА_ЦІНИ,12,IFERROR(MATCH(ЕТАЛОН_ПЛ,ПЛ_РЯДОК,0),0)),""))</f>
        <v/>
      </c>
      <c r="ER54" s="71" t="str">
        <f aca="false">IF(OR(EQ23="",ЕТАЛОН_ПЛ="",IFERROR(INDEX(БАЗА_ЦІНИ,12,IFERROR(MATCH(ЕТАЛОН_ПЛ,ПЛ_РЯДОК,0),0)),"")="",IFERROR(INDEX(БАЗА_ЦІНИ,12,IFERROR(MATCH(ЕТАЛОН_ПЛ,ПЛ_РЯДОК,0),0)),"")=0),"",EQ23/IFERROR(INDEX(БАЗА_ЦІНИ,12,IFERROR(MATCH(ЕТАЛОН_ПЛ,ПЛ_РЯДОК,0),0)),"")-1)</f>
        <v/>
      </c>
      <c r="ES54" s="70" t="str">
        <f aca="false">IF(OR(ES23="",ЕТАЛОН_ПЛ="",IFERROR(INDEX(БАЗА_ЦІНИ,12,IFERROR(MATCH(ЕТАЛОН_ПЛ,ПЛ_РЯДОК,0),0)),"")=""),"",ES23-IFERROR(INDEX(БАЗА_ЦІНИ,12,IFERROR(MATCH(ЕТАЛОН_ПЛ,ПЛ_РЯДОК,0),0)),""))</f>
        <v/>
      </c>
      <c r="ET54" s="71" t="str">
        <f aca="false">IF(OR(ES23="",ЕТАЛОН_ПЛ="",IFERROR(INDEX(БАЗА_ЦІНИ,12,IFERROR(MATCH(ЕТАЛОН_ПЛ,ПЛ_РЯДОК,0),0)),"")="",IFERROR(INDEX(БАЗА_ЦІНИ,12,IFERROR(MATCH(ЕТАЛОН_ПЛ,ПЛ_РЯДОК,0),0)),"")=0),"",ES23/IFERROR(INDEX(БАЗА_ЦІНИ,12,IFERROR(MATCH(ЕТАЛОН_ПЛ,ПЛ_РЯДОК,0),0)),"")-1)</f>
        <v/>
      </c>
      <c r="EU54" s="70" t="str">
        <f aca="false">IF(OR(EU23="",ЕТАЛОН_ПЛ="",IFERROR(INDEX(БАЗА_ЦІНИ,12,IFERROR(MATCH(ЕТАЛОН_ПЛ,ПЛ_РЯДОК,0),0)),"")=""),"",EU23-IFERROR(INDEX(БАЗА_ЦІНИ,12,IFERROR(MATCH(ЕТАЛОН_ПЛ,ПЛ_РЯДОК,0),0)),""))</f>
        <v/>
      </c>
      <c r="EV54" s="71" t="str">
        <f aca="false">IF(OR(EU23="",ЕТАЛОН_ПЛ="",IFERROR(INDEX(БАЗА_ЦІНИ,12,IFERROR(MATCH(ЕТАЛОН_ПЛ,ПЛ_РЯДОК,0),0)),"")="",IFERROR(INDEX(БАЗА_ЦІНИ,12,IFERROR(MATCH(ЕТАЛОН_ПЛ,ПЛ_РЯДОК,0),0)),"")=0),"",EU23/IFERROR(INDEX(БАЗА_ЦІНИ,12,IFERROR(MATCH(ЕТАЛОН_ПЛ,ПЛ_РЯДОК,0),0)),"")-1)</f>
        <v/>
      </c>
      <c r="EW54" s="70" t="str">
        <f aca="false">IF(OR(EW23="",ЕТАЛОН_ПЛ="",IFERROR(INDEX(БАЗА_ЦІНИ,12,IFERROR(MATCH(ЕТАЛОН_ПЛ,ПЛ_РЯДОК,0),0)),"")=""),"",EW23-IFERROR(INDEX(БАЗА_ЦІНИ,12,IFERROR(MATCH(ЕТАЛОН_ПЛ,ПЛ_РЯДОК,0),0)),""))</f>
        <v/>
      </c>
      <c r="EX54" s="71" t="str">
        <f aca="false">IF(OR(EW23="",ЕТАЛОН_ПЛ="",IFERROR(INDEX(БАЗА_ЦІНИ,12,IFERROR(MATCH(ЕТАЛОН_ПЛ,ПЛ_РЯДОК,0),0)),"")="",IFERROR(INDEX(БАЗА_ЦІНИ,12,IFERROR(MATCH(ЕТАЛОН_ПЛ,ПЛ_РЯДОК,0),0)),"")=0),"",EW23/IFERROR(INDEX(БАЗА_ЦІНИ,12,IFERROR(MATCH(ЕТАЛОН_ПЛ,ПЛ_РЯДОК,0),0)),"")-1)</f>
        <v/>
      </c>
      <c r="EY54" s="70" t="str">
        <f aca="false">IF(OR(EY23="",ЕТАЛОН_ПЛ="",IFERROR(INDEX(БАЗА_ЦІНИ,12,IFERROR(MATCH(ЕТАЛОН_ПЛ,ПЛ_РЯДОК,0),0)),"")=""),"",EY23-IFERROR(INDEX(БАЗА_ЦІНИ,12,IFERROR(MATCH(ЕТАЛОН_ПЛ,ПЛ_РЯДОК,0),0)),""))</f>
        <v/>
      </c>
      <c r="EZ54" s="71" t="str">
        <f aca="false">IF(OR(EY23="",ЕТАЛОН_ПЛ="",IFERROR(INDEX(БАЗА_ЦІНИ,12,IFERROR(MATCH(ЕТАЛОН_ПЛ,ПЛ_РЯДОК,0),0)),"")="",IFERROR(INDEX(БАЗА_ЦІНИ,12,IFERROR(MATCH(ЕТАЛОН_ПЛ,ПЛ_РЯДОК,0),0)),"")=0),"",EY23/IFERROR(INDEX(БАЗА_ЦІНИ,12,IFERROR(MATCH(ЕТАЛОН_ПЛ,ПЛ_РЯДОК,0),0)),"")-1)</f>
        <v/>
      </c>
      <c r="FA54" s="70" t="str">
        <f aca="false">IF(OR(FA23="",ЕТАЛОН_ПЛ="",IFERROR(INDEX(БАЗА_ЦІНИ,12,IFERROR(MATCH(ЕТАЛОН_ПЛ,ПЛ_РЯДОК,0),0)),"")=""),"",FA23-IFERROR(INDEX(БАЗА_ЦІНИ,12,IFERROR(MATCH(ЕТАЛОН_ПЛ,ПЛ_РЯДОК,0),0)),""))</f>
        <v/>
      </c>
      <c r="FB54" s="71" t="str">
        <f aca="false">IF(OR(FA23="",ЕТАЛОН_ПЛ="",IFERROR(INDEX(БАЗА_ЦІНИ,12,IFERROR(MATCH(ЕТАЛОН_ПЛ,ПЛ_РЯДОК,0),0)),"")="",IFERROR(INDEX(БАЗА_ЦІНИ,12,IFERROR(MATCH(ЕТАЛОН_ПЛ,ПЛ_РЯДОК,0),0)),"")=0),"",FA23/IFERROR(INDEX(БАЗА_ЦІНИ,12,IFERROR(MATCH(ЕТАЛОН_ПЛ,ПЛ_РЯДОК,0),0)),"")-1)</f>
        <v/>
      </c>
      <c r="FC54" s="70" t="str">
        <f aca="false">IF(OR(FC23="",ЕТАЛОН_ПЛ="",IFERROR(INDEX(БАЗА_ЦІНИ,12,IFERROR(MATCH(ЕТАЛОН_ПЛ,ПЛ_РЯДОК,0),0)),"")=""),"",FC23-IFERROR(INDEX(БАЗА_ЦІНИ,12,IFERROR(MATCH(ЕТАЛОН_ПЛ,ПЛ_РЯДОК,0),0)),""))</f>
        <v/>
      </c>
      <c r="FD54" s="71" t="str">
        <f aca="false">IF(OR(FC23="",ЕТАЛОН_ПЛ="",IFERROR(INDEX(БАЗА_ЦІНИ,12,IFERROR(MATCH(ЕТАЛОН_ПЛ,ПЛ_РЯДОК,0),0)),"")="",IFERROR(INDEX(БАЗА_ЦІНИ,12,IFERROR(MATCH(ЕТАЛОН_ПЛ,ПЛ_РЯДОК,0),0)),"")=0),"",FC23/IFERROR(INDEX(БАЗА_ЦІНИ,12,IFERROR(MATCH(ЕТАЛОН_ПЛ,ПЛ_РЯДОК,0),0)),"")-1)</f>
        <v/>
      </c>
      <c r="FE54" s="70" t="str">
        <f aca="false">IF(OR(FE23="",ЕТАЛОН_ПЛ="",IFERROR(INDEX(БАЗА_ЦІНИ,12,IFERROR(MATCH(ЕТАЛОН_ПЛ,ПЛ_РЯДОК,0),0)),"")=""),"",FE23-IFERROR(INDEX(БАЗА_ЦІНИ,12,IFERROR(MATCH(ЕТАЛОН_ПЛ,ПЛ_РЯДОК,0),0)),""))</f>
        <v/>
      </c>
      <c r="FF54" s="71" t="str">
        <f aca="false">IF(OR(FE23="",ЕТАЛОН_ПЛ="",IFERROR(INDEX(БАЗА_ЦІНИ,12,IFERROR(MATCH(ЕТАЛОН_ПЛ,ПЛ_РЯДОК,0),0)),"")="",IFERROR(INDEX(БАЗА_ЦІНИ,12,IFERROR(MATCH(ЕТАЛОН_ПЛ,ПЛ_РЯДОК,0),0)),"")=0),"",FE23/IFERROR(INDEX(БАЗА_ЦІНИ,12,IFERROR(MATCH(ЕТАЛОН_ПЛ,ПЛ_РЯДОК,0),0)),"")-1)</f>
        <v/>
      </c>
      <c r="FG54" s="70" t="str">
        <f aca="false">IF(OR(FG23="",ЕТАЛОН_ПЛ="",IFERROR(INDEX(БАЗА_ЦІНИ,12,IFERROR(MATCH(ЕТАЛОН_ПЛ,ПЛ_РЯДОК,0),0)),"")=""),"",FG23-IFERROR(INDEX(БАЗА_ЦІНИ,12,IFERROR(MATCH(ЕТАЛОН_ПЛ,ПЛ_РЯДОК,0),0)),""))</f>
        <v/>
      </c>
      <c r="FH54" s="71" t="str">
        <f aca="false">IF(OR(FG23="",ЕТАЛОН_ПЛ="",IFERROR(INDEX(БАЗА_ЦІНИ,12,IFERROR(MATCH(ЕТАЛОН_ПЛ,ПЛ_РЯДОК,0),0)),"")="",IFERROR(INDEX(БАЗА_ЦІНИ,12,IFERROR(MATCH(ЕТАЛОН_ПЛ,ПЛ_РЯДОК,0),0)),"")=0),"",FG23/IFERROR(INDEX(БАЗА_ЦІНИ,12,IFERROR(MATCH(ЕТАЛОН_ПЛ,ПЛ_РЯДОК,0),0)),"")-1)</f>
        <v/>
      </c>
      <c r="FI54" s="70" t="str">
        <f aca="false">IF(OR(FI23="",ЕТАЛОН_ПЛ="",IFERROR(INDEX(БАЗА_ЦІНИ,12,IFERROR(MATCH(ЕТАЛОН_ПЛ,ПЛ_РЯДОК,0),0)),"")=""),"",FI23-IFERROR(INDEX(БАЗА_ЦІНИ,12,IFERROR(MATCH(ЕТАЛОН_ПЛ,ПЛ_РЯДОК,0),0)),""))</f>
        <v/>
      </c>
      <c r="FJ54" s="71" t="str">
        <f aca="false">IF(OR(FI23="",ЕТАЛОН_ПЛ="",IFERROR(INDEX(БАЗА_ЦІНИ,12,IFERROR(MATCH(ЕТАЛОН_ПЛ,ПЛ_РЯДОК,0),0)),"")="",IFERROR(INDEX(БАЗА_ЦІНИ,12,IFERROR(MATCH(ЕТАЛОН_ПЛ,ПЛ_РЯДОК,0),0)),"")=0),"",FI23/IFERROR(INDEX(БАЗА_ЦІНИ,12,IFERROR(MATCH(ЕТАЛОН_ПЛ,ПЛ_РЯДОК,0),0)),"")-1)</f>
        <v/>
      </c>
      <c r="FK54" s="70" t="str">
        <f aca="false">IF(OR(FK23="",ЕТАЛОН_ПЛ="",IFERROR(INDEX(БАЗА_ЦІНИ,12,IFERROR(MATCH(ЕТАЛОН_ПЛ,ПЛ_РЯДОК,0),0)),"")=""),"",FK23-IFERROR(INDEX(БАЗА_ЦІНИ,12,IFERROR(MATCH(ЕТАЛОН_ПЛ,ПЛ_РЯДОК,0),0)),""))</f>
        <v/>
      </c>
      <c r="FL54" s="71" t="str">
        <f aca="false">IF(OR(FK23="",ЕТАЛОН_ПЛ="",IFERROR(INDEX(БАЗА_ЦІНИ,12,IFERROR(MATCH(ЕТАЛОН_ПЛ,ПЛ_РЯДОК,0),0)),"")="",IFERROR(INDEX(БАЗА_ЦІНИ,12,IFERROR(MATCH(ЕТАЛОН_ПЛ,ПЛ_РЯДОК,0),0)),"")=0),"",FK23/IFERROR(INDEX(БАЗА_ЦІНИ,12,IFERROR(MATCH(ЕТАЛОН_ПЛ,ПЛ_РЯДОК,0),0)),"")-1)</f>
        <v/>
      </c>
      <c r="FM54" s="70" t="str">
        <f aca="false">IF(OR(FM23="",ЕТАЛОН_ПЛ="",IFERROR(INDEX(БАЗА_ЦІНИ,12,IFERROR(MATCH(ЕТАЛОН_ПЛ,ПЛ_РЯДОК,0),0)),"")=""),"",FM23-IFERROR(INDEX(БАЗА_ЦІНИ,12,IFERROR(MATCH(ЕТАЛОН_ПЛ,ПЛ_РЯДОК,0),0)),""))</f>
        <v/>
      </c>
      <c r="FN54" s="71" t="str">
        <f aca="false">IF(OR(FM23="",ЕТАЛОН_ПЛ="",IFERROR(INDEX(БАЗА_ЦІНИ,12,IFERROR(MATCH(ЕТАЛОН_ПЛ,ПЛ_РЯДОК,0),0)),"")="",IFERROR(INDEX(БАЗА_ЦІНИ,12,IFERROR(MATCH(ЕТАЛОН_ПЛ,ПЛ_РЯДОК,0),0)),"")=0),"",FM23/IFERROR(INDEX(БАЗА_ЦІНИ,12,IFERROR(MATCH(ЕТАЛОН_ПЛ,ПЛ_РЯДОК,0),0)),"")-1)</f>
        <v/>
      </c>
      <c r="FO54" s="70" t="str">
        <f aca="false">IF(OR(FO23="",ЕТАЛОН_ПЛ="",IFERROR(INDEX(БАЗА_ЦІНИ,12,IFERROR(MATCH(ЕТАЛОН_ПЛ,ПЛ_РЯДОК,0),0)),"")=""),"",FO23-IFERROR(INDEX(БАЗА_ЦІНИ,12,IFERROR(MATCH(ЕТАЛОН_ПЛ,ПЛ_РЯДОК,0),0)),""))</f>
        <v/>
      </c>
      <c r="FP54" s="71" t="str">
        <f aca="false">IF(OR(FO23="",ЕТАЛОН_ПЛ="",IFERROR(INDEX(БАЗА_ЦІНИ,12,IFERROR(MATCH(ЕТАЛОН_ПЛ,ПЛ_РЯДОК,0),0)),"")="",IFERROR(INDEX(БАЗА_ЦІНИ,12,IFERROR(MATCH(ЕТАЛОН_ПЛ,ПЛ_РЯДОК,0),0)),"")=0),"",FO23/IFERROR(INDEX(БАЗА_ЦІНИ,12,IFERROR(MATCH(ЕТАЛОН_ПЛ,ПЛ_РЯДОК,0),0)),"")-1)</f>
        <v/>
      </c>
      <c r="FQ54" s="70" t="str">
        <f aca="false">IF(OR(FQ23="",ЕТАЛОН_ПЛ="",IFERROR(INDEX(БАЗА_ЦІНИ,12,IFERROR(MATCH(ЕТАЛОН_ПЛ,ПЛ_РЯДОК,0),0)),"")=""),"",FQ23-IFERROR(INDEX(БАЗА_ЦІНИ,12,IFERROR(MATCH(ЕТАЛОН_ПЛ,ПЛ_РЯДОК,0),0)),""))</f>
        <v/>
      </c>
      <c r="FR54" s="71" t="str">
        <f aca="false">IF(OR(FQ23="",ЕТАЛОН_ПЛ="",IFERROR(INDEX(БАЗА_ЦІНИ,12,IFERROR(MATCH(ЕТАЛОН_ПЛ,ПЛ_РЯДОК,0),0)),"")="",IFERROR(INDEX(БАЗА_ЦІНИ,12,IFERROR(MATCH(ЕТАЛОН_ПЛ,ПЛ_РЯДОК,0),0)),"")=0),"",FQ23/IFERROR(INDEX(БАЗА_ЦІНИ,12,IFERROR(MATCH(ЕТАЛОН_ПЛ,ПЛ_РЯДОК,0),0)),"")-1)</f>
        <v/>
      </c>
      <c r="FS54" s="70" t="str">
        <f aca="false">IF(OR(FS23="",ЕТАЛОН_ПЛ="",IFERROR(INDEX(БАЗА_ЦІНИ,12,IFERROR(MATCH(ЕТАЛОН_ПЛ,ПЛ_РЯДОК,0),0)),"")=""),"",FS23-IFERROR(INDEX(БАЗА_ЦІНИ,12,IFERROR(MATCH(ЕТАЛОН_ПЛ,ПЛ_РЯДОК,0),0)),""))</f>
        <v/>
      </c>
      <c r="FT54" s="71" t="str">
        <f aca="false">IF(OR(FS23="",ЕТАЛОН_ПЛ="",IFERROR(INDEX(БАЗА_ЦІНИ,12,IFERROR(MATCH(ЕТАЛОН_ПЛ,ПЛ_РЯДОК,0),0)),"")="",IFERROR(INDEX(БАЗА_ЦІНИ,12,IFERROR(MATCH(ЕТАЛОН_ПЛ,ПЛ_РЯДОК,0),0)),"")=0),"",FS23/IFERROR(INDEX(БАЗА_ЦІНИ,12,IFERROR(MATCH(ЕТАЛОН_ПЛ,ПЛ_РЯДОК,0),0)),"")-1)</f>
        <v/>
      </c>
      <c r="FU54" s="70" t="str">
        <f aca="false">IF(OR(FU23="",ЕТАЛОН_ПЛ="",IFERROR(INDEX(БАЗА_ЦІНИ,12,IFERROR(MATCH(ЕТАЛОН_ПЛ,ПЛ_РЯДОК,0),0)),"")=""),"",FU23-IFERROR(INDEX(БАЗА_ЦІНИ,12,IFERROR(MATCH(ЕТАЛОН_ПЛ,ПЛ_РЯДОК,0),0)),""))</f>
        <v/>
      </c>
      <c r="FV54" s="71" t="str">
        <f aca="false">IF(OR(FU23="",ЕТАЛОН_ПЛ="",IFERROR(INDEX(БАЗА_ЦІНИ,12,IFERROR(MATCH(ЕТАЛОН_ПЛ,ПЛ_РЯДОК,0),0)),"")="",IFERROR(INDEX(БАЗА_ЦІНИ,12,IFERROR(MATCH(ЕТАЛОН_ПЛ,ПЛ_РЯДОК,0),0)),"")=0),"",FU23/IFERROR(INDEX(БАЗА_ЦІНИ,12,IFERROR(MATCH(ЕТАЛОН_ПЛ,ПЛ_РЯДОК,0),0)),"")-1)</f>
        <v/>
      </c>
      <c r="FW54" s="70" t="str">
        <f aca="false">IF(OR(FW23="",ЕТАЛОН_ПЛ="",IFERROR(INDEX(БАЗА_ЦІНИ,12,IFERROR(MATCH(ЕТАЛОН_ПЛ,ПЛ_РЯДОК,0),0)),"")=""),"",FW23-IFERROR(INDEX(БАЗА_ЦІНИ,12,IFERROR(MATCH(ЕТАЛОН_ПЛ,ПЛ_РЯДОК,0),0)),""))</f>
        <v/>
      </c>
      <c r="FX54" s="71" t="str">
        <f aca="false">IF(OR(FW23="",ЕТАЛОН_ПЛ="",IFERROR(INDEX(БАЗА_ЦІНИ,12,IFERROR(MATCH(ЕТАЛОН_ПЛ,ПЛ_РЯДОК,0),0)),"")="",IFERROR(INDEX(БАЗА_ЦІНИ,12,IFERROR(MATCH(ЕТАЛОН_ПЛ,ПЛ_РЯДОК,0),0)),"")=0),"",FW23/IFERROR(INDEX(БАЗА_ЦІНИ,12,IFERROR(MATCH(ЕТАЛОН_ПЛ,ПЛ_РЯДОК,0),0)),"")-1)</f>
        <v/>
      </c>
      <c r="FY54" s="70" t="str">
        <f aca="false">IF(OR(FY23="",ЕТАЛОН_ПЛ="",IFERROR(INDEX(БАЗА_ЦІНИ,12,IFERROR(MATCH(ЕТАЛОН_ПЛ,ПЛ_РЯДОК,0),0)),"")=""),"",FY23-IFERROR(INDEX(БАЗА_ЦІНИ,12,IFERROR(MATCH(ЕТАЛОН_ПЛ,ПЛ_РЯДОК,0),0)),""))</f>
        <v/>
      </c>
      <c r="FZ54" s="71" t="str">
        <f aca="false">IF(OR(FY23="",ЕТАЛОН_ПЛ="",IFERROR(INDEX(БАЗА_ЦІНИ,12,IFERROR(MATCH(ЕТАЛОН_ПЛ,ПЛ_РЯДОК,0),0)),"")="",IFERROR(INDEX(БАЗА_ЦІНИ,12,IFERROR(MATCH(ЕТАЛОН_ПЛ,ПЛ_РЯДОК,0),0)),"")=0),"",FY23/IFERROR(INDEX(БАЗА_ЦІНИ,12,IFERROR(MATCH(ЕТАЛОН_ПЛ,ПЛ_РЯДОК,0),0)),"")-1)</f>
        <v/>
      </c>
      <c r="GA54" s="70" t="str">
        <f aca="false">IF(OR(GA23="",ЕТАЛОН_ПЛ="",IFERROR(INDEX(БАЗА_ЦІНИ,12,IFERROR(MATCH(ЕТАЛОН_ПЛ,ПЛ_РЯДОК,0),0)),"")=""),"",GA23-IFERROR(INDEX(БАЗА_ЦІНИ,12,IFERROR(MATCH(ЕТАЛОН_ПЛ,ПЛ_РЯДОК,0),0)),""))</f>
        <v/>
      </c>
      <c r="GB54" s="71" t="str">
        <f aca="false">IF(OR(GA23="",ЕТАЛОН_ПЛ="",IFERROR(INDEX(БАЗА_ЦІНИ,12,IFERROR(MATCH(ЕТАЛОН_ПЛ,ПЛ_РЯДОК,0),0)),"")="",IFERROR(INDEX(БАЗА_ЦІНИ,12,IFERROR(MATCH(ЕТАЛОН_ПЛ,ПЛ_РЯДОК,0),0)),"")=0),"",GA23/IFERROR(INDEX(БАЗА_ЦІНИ,12,IFERROR(MATCH(ЕТАЛОН_ПЛ,ПЛ_РЯДОК,0),0)),"")-1)</f>
        <v/>
      </c>
      <c r="GC54" s="70" t="str">
        <f aca="false">IF(OR(GC23="",ЕТАЛОН_ПЛ="",IFERROR(INDEX(БАЗА_ЦІНИ,12,IFERROR(MATCH(ЕТАЛОН_ПЛ,ПЛ_РЯДОК,0),0)),"")=""),"",GC23-IFERROR(INDEX(БАЗА_ЦІНИ,12,IFERROR(MATCH(ЕТАЛОН_ПЛ,ПЛ_РЯДОК,0),0)),""))</f>
        <v/>
      </c>
      <c r="GD54" s="71" t="str">
        <f aca="false">IF(OR(GC23="",ЕТАЛОН_ПЛ="",IFERROR(INDEX(БАЗА_ЦІНИ,12,IFERROR(MATCH(ЕТАЛОН_ПЛ,ПЛ_РЯДОК,0),0)),"")="",IFERROR(INDEX(БАЗА_ЦІНИ,12,IFERROR(MATCH(ЕТАЛОН_ПЛ,ПЛ_РЯДОК,0),0)),"")=0),"",GC23/IFERROR(INDEX(БАЗА_ЦІНИ,12,IFERROR(MATCH(ЕТАЛОН_ПЛ,ПЛ_РЯДОК,0),0)),"")-1)</f>
        <v/>
      </c>
      <c r="GE54" s="70" t="str">
        <f aca="false">IF(OR(GE23="",ЕТАЛОН_ПЛ="",IFERROR(INDEX(БАЗА_ЦІНИ,12,IFERROR(MATCH(ЕТАЛОН_ПЛ,ПЛ_РЯДОК,0),0)),"")=""),"",GE23-IFERROR(INDEX(БАЗА_ЦІНИ,12,IFERROR(MATCH(ЕТАЛОН_ПЛ,ПЛ_РЯДОК,0),0)),""))</f>
        <v/>
      </c>
      <c r="GF54" s="71" t="str">
        <f aca="false">IF(OR(GE23="",ЕТАЛОН_ПЛ="",IFERROR(INDEX(БАЗА_ЦІНИ,12,IFERROR(MATCH(ЕТАЛОН_ПЛ,ПЛ_РЯДОК,0),0)),"")="",IFERROR(INDEX(БАЗА_ЦІНИ,12,IFERROR(MATCH(ЕТАЛОН_ПЛ,ПЛ_РЯДОК,0),0)),"")=0),"",GE23/IFERROR(INDEX(БАЗА_ЦІНИ,12,IFERROR(MATCH(ЕТАЛОН_ПЛ,ПЛ_РЯДОК,0),0)),"")-1)</f>
        <v/>
      </c>
      <c r="GG54" s="70" t="str">
        <f aca="false">IF(OR(GG23="",ЕТАЛОН_ПЛ="",IFERROR(INDEX(БАЗА_ЦІНИ,12,IFERROR(MATCH(ЕТАЛОН_ПЛ,ПЛ_РЯДОК,0),0)),"")=""),"",GG23-IFERROR(INDEX(БАЗА_ЦІНИ,12,IFERROR(MATCH(ЕТАЛОН_ПЛ,ПЛ_РЯДОК,0),0)),""))</f>
        <v/>
      </c>
      <c r="GH54" s="71" t="str">
        <f aca="false">IF(OR(GG23="",ЕТАЛОН_ПЛ="",IFERROR(INDEX(БАЗА_ЦІНИ,12,IFERROR(MATCH(ЕТАЛОН_ПЛ,ПЛ_РЯДОК,0),0)),"")="",IFERROR(INDEX(БАЗА_ЦІНИ,12,IFERROR(MATCH(ЕТАЛОН_ПЛ,ПЛ_РЯДОК,0),0)),"")=0),"",GG23/IFERROR(INDEX(БАЗА_ЦІНИ,12,IFERROR(MATCH(ЕТАЛОН_ПЛ,ПЛ_РЯДОК,0),0)),"")-1)</f>
        <v/>
      </c>
      <c r="GI54" s="70" t="str">
        <f aca="false">IF(OR(GI23="",ЕТАЛОН_ПЛ="",IFERROR(INDEX(БАЗА_ЦІНИ,12,IFERROR(MATCH(ЕТАЛОН_ПЛ,ПЛ_РЯДОК,0),0)),"")=""),"",GI23-IFERROR(INDEX(БАЗА_ЦІНИ,12,IFERROR(MATCH(ЕТАЛОН_ПЛ,ПЛ_РЯДОК,0),0)),""))</f>
        <v/>
      </c>
      <c r="GJ54" s="71" t="str">
        <f aca="false">IF(OR(GI23="",ЕТАЛОН_ПЛ="",IFERROR(INDEX(БАЗА_ЦІНИ,12,IFERROR(MATCH(ЕТАЛОН_ПЛ,ПЛ_РЯДОК,0),0)),"")="",IFERROR(INDEX(БАЗА_ЦІНИ,12,IFERROR(MATCH(ЕТАЛОН_ПЛ,ПЛ_РЯДОК,0),0)),"")=0),"",GI23/IFERROR(INDEX(БАЗА_ЦІНИ,12,IFERROR(MATCH(ЕТАЛОН_ПЛ,ПЛ_РЯДОК,0),0)),"")-1)</f>
        <v/>
      </c>
      <c r="GK54" s="70" t="str">
        <f aca="false">IF(OR(GK23="",ЕТАЛОН_ПЛ="",IFERROR(INDEX(БАЗА_ЦІНИ,12,IFERROR(MATCH(ЕТАЛОН_ПЛ,ПЛ_РЯДОК,0),0)),"")=""),"",GK23-IFERROR(INDEX(БАЗА_ЦІНИ,12,IFERROR(MATCH(ЕТАЛОН_ПЛ,ПЛ_РЯДОК,0),0)),""))</f>
        <v/>
      </c>
      <c r="GL54" s="71" t="str">
        <f aca="false">IF(OR(GK23="",ЕТАЛОН_ПЛ="",IFERROR(INDEX(БАЗА_ЦІНИ,12,IFERROR(MATCH(ЕТАЛОН_ПЛ,ПЛ_РЯДОК,0),0)),"")="",IFERROR(INDEX(БАЗА_ЦІНИ,12,IFERROR(MATCH(ЕТАЛОН_ПЛ,ПЛ_РЯДОК,0),0)),"")=0),"",GK23/IFERROR(INDEX(БАЗА_ЦІНИ,12,IFERROR(MATCH(ЕТАЛОН_ПЛ,ПЛ_РЯДОК,0),0)),"")-1)</f>
        <v/>
      </c>
      <c r="GM54" s="70" t="str">
        <f aca="false">IF(OR(GM23="",ЕТАЛОН_ПЛ="",IFERROR(INDEX(БАЗА_ЦІНИ,12,IFERROR(MATCH(ЕТАЛОН_ПЛ,ПЛ_РЯДОК,0),0)),"")=""),"",GM23-IFERROR(INDEX(БАЗА_ЦІНИ,12,IFERROR(MATCH(ЕТАЛОН_ПЛ,ПЛ_РЯДОК,0),0)),""))</f>
        <v/>
      </c>
      <c r="GN54" s="71" t="str">
        <f aca="false">IF(OR(GM23="",ЕТАЛОН_ПЛ="",IFERROR(INDEX(БАЗА_ЦІНИ,12,IFERROR(MATCH(ЕТАЛОН_ПЛ,ПЛ_РЯДОК,0),0)),"")="",IFERROR(INDEX(БАЗА_ЦІНИ,12,IFERROR(MATCH(ЕТАЛОН_ПЛ,ПЛ_РЯДОК,0),0)),"")=0),"",GM23/IFERROR(INDEX(БАЗА_ЦІНИ,12,IFERROR(MATCH(ЕТАЛОН_ПЛ,ПЛ_РЯДОК,0),0)),"")-1)</f>
        <v/>
      </c>
      <c r="GO54" s="70" t="str">
        <f aca="false">IF(OR(GO23="",ЕТАЛОН_ПЛ="",IFERROR(INDEX(БАЗА_ЦІНИ,12,IFERROR(MATCH(ЕТАЛОН_ПЛ,ПЛ_РЯДОК,0),0)),"")=""),"",GO23-IFERROR(INDEX(БАЗА_ЦІНИ,12,IFERROR(MATCH(ЕТАЛОН_ПЛ,ПЛ_РЯДОК,0),0)),""))</f>
        <v/>
      </c>
      <c r="GP54" s="71" t="str">
        <f aca="false">IF(OR(GO23="",ЕТАЛОН_ПЛ="",IFERROR(INDEX(БАЗА_ЦІНИ,12,IFERROR(MATCH(ЕТАЛОН_ПЛ,ПЛ_РЯДОК,0),0)),"")="",IFERROR(INDEX(БАЗА_ЦІНИ,12,IFERROR(MATCH(ЕТАЛОН_ПЛ,ПЛ_РЯДОК,0),0)),"")=0),"",GO23/IFERROR(INDEX(БАЗА_ЦІНИ,12,IFERROR(MATCH(ЕТАЛОН_ПЛ,ПЛ_РЯДОК,0),0)),"")-1)</f>
        <v/>
      </c>
      <c r="GQ54" s="70" t="str">
        <f aca="false">IF(OR(GQ23="",ЕТАЛОН_ПЛ="",IFERROR(INDEX(БАЗА_ЦІНИ,12,IFERROR(MATCH(ЕТАЛОН_ПЛ,ПЛ_РЯДОК,0),0)),"")=""),"",GQ23-IFERROR(INDEX(БАЗА_ЦІНИ,12,IFERROR(MATCH(ЕТАЛОН_ПЛ,ПЛ_РЯДОК,0),0)),""))</f>
        <v/>
      </c>
      <c r="GR54" s="71" t="str">
        <f aca="false">IF(OR(GQ23="",ЕТАЛОН_ПЛ="",IFERROR(INDEX(БАЗА_ЦІНИ,12,IFERROR(MATCH(ЕТАЛОН_ПЛ,ПЛ_РЯДОК,0),0)),"")="",IFERROR(INDEX(БАЗА_ЦІНИ,12,IFERROR(MATCH(ЕТАЛОН_ПЛ,ПЛ_РЯДОК,0),0)),"")=0),"",GQ23/IFERROR(INDEX(БАЗА_ЦІНИ,12,IFERROR(MATCH(ЕТАЛОН_ПЛ,ПЛ_РЯДОК,0),0)),"")-1)</f>
        <v/>
      </c>
      <c r="GS54" s="70" t="str">
        <f aca="false">IF(OR(GS23="",ЕТАЛОН_ПЛ="",IFERROR(INDEX(БАЗА_ЦІНИ,12,IFERROR(MATCH(ЕТАЛОН_ПЛ,ПЛ_РЯДОК,0),0)),"")=""),"",GS23-IFERROR(INDEX(БАЗА_ЦІНИ,12,IFERROR(MATCH(ЕТАЛОН_ПЛ,ПЛ_РЯДОК,0),0)),""))</f>
        <v/>
      </c>
      <c r="GT54" s="71" t="str">
        <f aca="false">IF(OR(GS23="",ЕТАЛОН_ПЛ="",IFERROR(INDEX(БАЗА_ЦІНИ,12,IFERROR(MATCH(ЕТАЛОН_ПЛ,ПЛ_РЯДОК,0),0)),"")="",IFERROR(INDEX(БАЗА_ЦІНИ,12,IFERROR(MATCH(ЕТАЛОН_ПЛ,ПЛ_РЯДОК,0),0)),"")=0),"",GS23/IFERROR(INDEX(БАЗА_ЦІНИ,12,IFERROR(MATCH(ЕТАЛОН_ПЛ,ПЛ_РЯДОК,0),0)),"")-1)</f>
        <v/>
      </c>
      <c r="GU54" s="70" t="str">
        <f aca="false">IF(OR(GU23="",ЕТАЛОН_ПЛ="",IFERROR(INDEX(БАЗА_ЦІНИ,12,IFERROR(MATCH(ЕТАЛОН_ПЛ,ПЛ_РЯДОК,0),0)),"")=""),"",GU23-IFERROR(INDEX(БАЗА_ЦІНИ,12,IFERROR(MATCH(ЕТАЛОН_ПЛ,ПЛ_РЯДОК,0),0)),""))</f>
        <v/>
      </c>
      <c r="GV54" s="71" t="str">
        <f aca="false">IF(OR(GU23="",ЕТАЛОН_ПЛ="",IFERROR(INDEX(БАЗА_ЦІНИ,12,IFERROR(MATCH(ЕТАЛОН_ПЛ,ПЛ_РЯДОК,0),0)),"")="",IFERROR(INDEX(БАЗА_ЦІНИ,12,IFERROR(MATCH(ЕТАЛОН_ПЛ,ПЛ_РЯДОК,0),0)),"")=0),"",GU23/IFERROR(INDEX(БАЗА_ЦІНИ,12,IFERROR(MATCH(ЕТАЛОН_ПЛ,ПЛ_РЯДОК,0),0)),"")-1)</f>
        <v/>
      </c>
      <c r="GW54" s="70" t="str">
        <f aca="false">IF(OR(GW23="",ЕТАЛОН_ПЛ="",IFERROR(INDEX(БАЗА_ЦІНИ,12,IFERROR(MATCH(ЕТАЛОН_ПЛ,ПЛ_РЯДОК,0),0)),"")=""),"",GW23-IFERROR(INDEX(БАЗА_ЦІНИ,12,IFERROR(MATCH(ЕТАЛОН_ПЛ,ПЛ_РЯДОК,0),0)),""))</f>
        <v/>
      </c>
      <c r="GX54" s="71" t="str">
        <f aca="false">IF(OR(GW23="",ЕТАЛОН_ПЛ="",IFERROR(INDEX(БАЗА_ЦІНИ,12,IFERROR(MATCH(ЕТАЛОН_ПЛ,ПЛ_РЯДОК,0),0)),"")="",IFERROR(INDEX(БАЗА_ЦІНИ,12,IFERROR(MATCH(ЕТАЛОН_ПЛ,ПЛ_РЯДОК,0),0)),"")=0),"",GW23/IFERROR(INDEX(БАЗА_ЦІНИ,12,IFERROR(MATCH(ЕТАЛОН_ПЛ,ПЛ_РЯДОК,0),0)),"")-1)</f>
        <v/>
      </c>
      <c r="GY54" s="70" t="str">
        <f aca="false">IF(OR(GY23="",ЕТАЛОН_ПЛ="",IFERROR(INDEX(БАЗА_ЦІНИ,12,IFERROR(MATCH(ЕТАЛОН_ПЛ,ПЛ_РЯДОК,0),0)),"")=""),"",GY23-IFERROR(INDEX(БАЗА_ЦІНИ,12,IFERROR(MATCH(ЕТАЛОН_ПЛ,ПЛ_РЯДОК,0),0)),""))</f>
        <v/>
      </c>
      <c r="GZ54" s="71" t="str">
        <f aca="false">IF(OR(GY23="",ЕТАЛОН_ПЛ="",IFERROR(INDEX(БАЗА_ЦІНИ,12,IFERROR(MATCH(ЕТАЛОН_ПЛ,ПЛ_РЯДОК,0),0)),"")="",IFERROR(INDEX(БАЗА_ЦІНИ,12,IFERROR(MATCH(ЕТАЛОН_ПЛ,ПЛ_РЯДОК,0),0)),"")=0),"",GY23/IFERROR(INDEX(БАЗА_ЦІНИ,12,IFERROR(MATCH(ЕТАЛОН_ПЛ,ПЛ_РЯДОК,0),0)),"")-1)</f>
        <v/>
      </c>
    </row>
    <row r="55" customFormat="false" ht="9" hidden="false" customHeight="true" outlineLevel="0" collapsed="false">
      <c r="A55" s="64"/>
      <c r="B55" s="65"/>
      <c r="C55" s="65"/>
      <c r="D55" s="66"/>
      <c r="E55" s="67"/>
      <c r="H55" s="59"/>
      <c r="I55" s="68"/>
      <c r="J55" s="59"/>
      <c r="K55" s="68"/>
      <c r="L55" s="59"/>
      <c r="M55" s="68"/>
      <c r="N55" s="59"/>
      <c r="O55" s="68"/>
      <c r="P55" s="59"/>
      <c r="Q55" s="68"/>
      <c r="R55" s="59"/>
      <c r="S55" s="68"/>
      <c r="T55" s="59"/>
      <c r="U55" s="68"/>
      <c r="V55" s="59"/>
      <c r="W55" s="68"/>
      <c r="X55" s="59"/>
      <c r="Y55" s="68"/>
      <c r="Z55" s="59"/>
      <c r="AA55" s="68"/>
      <c r="AB55" s="59"/>
      <c r="AC55" s="68"/>
      <c r="AD55" s="59"/>
      <c r="AE55" s="68"/>
      <c r="AF55" s="59"/>
      <c r="AG55" s="68"/>
      <c r="AH55" s="59"/>
      <c r="AI55" s="68"/>
      <c r="AJ55" s="59"/>
      <c r="AK55" s="68"/>
      <c r="AL55" s="59"/>
      <c r="AM55" s="68"/>
      <c r="AN55" s="59"/>
      <c r="AO55" s="68"/>
      <c r="AP55" s="59"/>
      <c r="AQ55" s="68"/>
      <c r="AR55" s="59"/>
      <c r="AS55" s="68"/>
      <c r="AT55" s="59"/>
      <c r="AU55" s="68"/>
      <c r="AV55" s="59"/>
      <c r="AW55" s="68"/>
      <c r="AX55" s="59"/>
      <c r="AY55" s="68"/>
      <c r="AZ55" s="59"/>
      <c r="BA55" s="68"/>
      <c r="BB55" s="59"/>
      <c r="BC55" s="68"/>
      <c r="BD55" s="59"/>
      <c r="BE55" s="68"/>
      <c r="BF55" s="59"/>
      <c r="BG55" s="68"/>
      <c r="BH55" s="59"/>
      <c r="BI55" s="68"/>
      <c r="BJ55" s="59"/>
      <c r="BK55" s="68"/>
      <c r="BL55" s="59"/>
      <c r="BM55" s="68"/>
      <c r="BN55" s="59"/>
      <c r="BO55" s="68"/>
      <c r="BP55" s="59"/>
      <c r="BQ55" s="68"/>
      <c r="BR55" s="59"/>
      <c r="BS55" s="68"/>
      <c r="BT55" s="59"/>
      <c r="BU55" s="68"/>
      <c r="BV55" s="59"/>
      <c r="BW55" s="68"/>
      <c r="BX55" s="59"/>
      <c r="BY55" s="68"/>
      <c r="BZ55" s="59"/>
      <c r="CA55" s="68"/>
      <c r="CB55" s="59"/>
      <c r="CC55" s="68"/>
      <c r="CD55" s="59"/>
      <c r="CE55" s="68"/>
      <c r="CF55" s="59"/>
      <c r="CG55" s="68"/>
      <c r="CH55" s="59"/>
      <c r="CI55" s="68"/>
      <c r="CJ55" s="59"/>
      <c r="CK55" s="68"/>
      <c r="CL55" s="59"/>
      <c r="CM55" s="68"/>
      <c r="CN55" s="59"/>
      <c r="CO55" s="68"/>
      <c r="CP55" s="59"/>
      <c r="CQ55" s="68"/>
      <c r="CR55" s="59"/>
      <c r="CS55" s="68"/>
      <c r="CT55" s="59"/>
      <c r="CU55" s="68"/>
      <c r="CV55" s="59"/>
      <c r="CW55" s="68"/>
      <c r="CX55" s="59"/>
      <c r="CY55" s="68"/>
      <c r="CZ55" s="59"/>
      <c r="DA55" s="68"/>
      <c r="DB55" s="59"/>
      <c r="DC55" s="68"/>
      <c r="DD55" s="59"/>
      <c r="DE55" s="68"/>
      <c r="DF55" s="59"/>
      <c r="DG55" s="68"/>
      <c r="DH55" s="59"/>
      <c r="DI55" s="68"/>
      <c r="DJ55" s="59"/>
      <c r="DK55" s="68"/>
      <c r="DL55" s="59"/>
      <c r="DM55" s="68"/>
      <c r="DN55" s="59"/>
      <c r="DO55" s="68"/>
      <c r="DP55" s="59"/>
      <c r="DQ55" s="68"/>
      <c r="DR55" s="59"/>
      <c r="DS55" s="68"/>
      <c r="DT55" s="59"/>
      <c r="DU55" s="68"/>
      <c r="DV55" s="59"/>
      <c r="DW55" s="68"/>
      <c r="DX55" s="59"/>
      <c r="DY55" s="68"/>
      <c r="DZ55" s="59"/>
      <c r="EA55" s="68"/>
      <c r="EB55" s="59"/>
      <c r="EC55" s="68"/>
      <c r="ED55" s="59"/>
      <c r="EE55" s="68"/>
      <c r="EF55" s="59"/>
      <c r="EG55" s="68"/>
      <c r="EH55" s="59"/>
      <c r="EI55" s="68"/>
      <c r="EJ55" s="59"/>
      <c r="EK55" s="68"/>
      <c r="EL55" s="59"/>
      <c r="EM55" s="68"/>
      <c r="EN55" s="59"/>
      <c r="EO55" s="68"/>
      <c r="EP55" s="59"/>
      <c r="EQ55" s="68"/>
      <c r="ER55" s="59"/>
      <c r="ES55" s="68"/>
      <c r="ET55" s="59"/>
      <c r="EU55" s="68"/>
      <c r="EV55" s="59"/>
      <c r="EW55" s="68"/>
      <c r="EX55" s="59"/>
      <c r="EY55" s="68"/>
      <c r="EZ55" s="59"/>
      <c r="FA55" s="68"/>
      <c r="FB55" s="59"/>
      <c r="FC55" s="68"/>
      <c r="FD55" s="59"/>
      <c r="FE55" s="68"/>
      <c r="FF55" s="59"/>
      <c r="FG55" s="68"/>
      <c r="FH55" s="59"/>
      <c r="FI55" s="68"/>
      <c r="FJ55" s="59"/>
      <c r="FK55" s="68"/>
      <c r="FL55" s="59"/>
      <c r="FM55" s="68"/>
      <c r="FN55" s="59"/>
      <c r="FO55" s="68"/>
      <c r="FP55" s="59"/>
      <c r="FQ55" s="68"/>
      <c r="FR55" s="59"/>
      <c r="FS55" s="68"/>
      <c r="FT55" s="59"/>
      <c r="FU55" s="68"/>
      <c r="FV55" s="59"/>
      <c r="FW55" s="68"/>
      <c r="FX55" s="59"/>
      <c r="FY55" s="68"/>
      <c r="FZ55" s="59"/>
      <c r="GA55" s="68"/>
      <c r="GB55" s="59"/>
      <c r="GC55" s="68"/>
      <c r="GD55" s="59"/>
      <c r="GE55" s="68"/>
      <c r="GF55" s="59"/>
      <c r="GG55" s="68"/>
      <c r="GH55" s="59"/>
      <c r="GI55" s="68"/>
      <c r="GJ55" s="59"/>
      <c r="GK55" s="68"/>
      <c r="GL55" s="59"/>
      <c r="GM55" s="68"/>
      <c r="GN55" s="59"/>
      <c r="GO55" s="68"/>
      <c r="GP55" s="59"/>
      <c r="GQ55" s="68"/>
      <c r="GR55" s="59"/>
      <c r="GS55" s="68"/>
      <c r="GT55" s="59"/>
      <c r="GU55" s="68"/>
      <c r="GV55" s="59"/>
      <c r="GW55" s="68"/>
      <c r="GX55" s="59"/>
      <c r="GY55" s="68"/>
      <c r="GZ55" s="59"/>
    </row>
    <row r="56" customFormat="false" ht="19.5" hidden="false" customHeight="true" outlineLevel="0" collapsed="false">
      <c r="A56" s="4"/>
      <c r="B56" s="36"/>
      <c r="C56" s="36"/>
      <c r="D56" s="49"/>
      <c r="E56" s="50"/>
      <c r="H56" s="47" t="s">
        <v>117</v>
      </c>
      <c r="I56" s="60"/>
      <c r="J56" s="61"/>
      <c r="K56" s="60"/>
      <c r="L56" s="61"/>
      <c r="M56" s="60"/>
      <c r="N56" s="61"/>
      <c r="O56" s="60"/>
      <c r="P56" s="61"/>
      <c r="Q56" s="60"/>
      <c r="R56" s="61"/>
      <c r="S56" s="60"/>
      <c r="T56" s="61"/>
      <c r="U56" s="60"/>
      <c r="V56" s="61"/>
      <c r="W56" s="60"/>
      <c r="X56" s="61"/>
      <c r="Y56" s="60"/>
      <c r="Z56" s="61"/>
      <c r="AA56" s="60"/>
      <c r="AB56" s="61"/>
      <c r="AC56" s="60"/>
      <c r="AD56" s="61"/>
      <c r="AE56" s="60"/>
      <c r="AF56" s="61"/>
      <c r="AG56" s="60"/>
      <c r="AH56" s="61"/>
      <c r="AI56" s="60"/>
      <c r="AJ56" s="61"/>
      <c r="AK56" s="60"/>
      <c r="AL56" s="61"/>
      <c r="AM56" s="60"/>
      <c r="AN56" s="61"/>
      <c r="AO56" s="60"/>
      <c r="AP56" s="61"/>
      <c r="AQ56" s="60"/>
      <c r="AR56" s="61"/>
      <c r="AS56" s="60"/>
      <c r="AT56" s="61"/>
      <c r="AU56" s="60"/>
      <c r="AV56" s="61"/>
      <c r="AW56" s="60"/>
      <c r="AX56" s="61"/>
      <c r="AY56" s="60"/>
      <c r="AZ56" s="61"/>
      <c r="BA56" s="60"/>
      <c r="BB56" s="61"/>
      <c r="BC56" s="60"/>
      <c r="BD56" s="61"/>
      <c r="BE56" s="60"/>
      <c r="BF56" s="61"/>
      <c r="BG56" s="60"/>
      <c r="BH56" s="61"/>
      <c r="BI56" s="60"/>
      <c r="BJ56" s="61"/>
      <c r="BK56" s="60"/>
      <c r="BL56" s="61"/>
      <c r="BM56" s="60"/>
      <c r="BN56" s="61"/>
      <c r="BO56" s="60"/>
      <c r="BP56" s="61"/>
      <c r="BQ56" s="60"/>
      <c r="BR56" s="61"/>
      <c r="BS56" s="60"/>
      <c r="BT56" s="61"/>
      <c r="BU56" s="60"/>
      <c r="BV56" s="61"/>
      <c r="BW56" s="60"/>
      <c r="BX56" s="61"/>
      <c r="BY56" s="60"/>
      <c r="BZ56" s="61"/>
      <c r="CA56" s="60"/>
      <c r="CB56" s="61"/>
      <c r="CC56" s="60"/>
      <c r="CD56" s="61"/>
      <c r="CE56" s="60"/>
      <c r="CF56" s="61"/>
      <c r="CG56" s="60"/>
      <c r="CH56" s="61"/>
      <c r="CI56" s="60"/>
      <c r="CJ56" s="61"/>
      <c r="CK56" s="60"/>
      <c r="CL56" s="61"/>
      <c r="CM56" s="60"/>
      <c r="CN56" s="61"/>
      <c r="CO56" s="60"/>
      <c r="CP56" s="61"/>
      <c r="CQ56" s="60"/>
      <c r="CR56" s="61"/>
      <c r="CS56" s="60"/>
      <c r="CT56" s="61"/>
      <c r="CU56" s="60"/>
      <c r="CV56" s="61"/>
      <c r="CW56" s="60"/>
      <c r="CX56" s="61"/>
      <c r="CY56" s="60"/>
      <c r="CZ56" s="61"/>
      <c r="DA56" s="60"/>
      <c r="DB56" s="61"/>
      <c r="DC56" s="60"/>
      <c r="DD56" s="61"/>
      <c r="DE56" s="60"/>
      <c r="DF56" s="61"/>
      <c r="DG56" s="60"/>
      <c r="DH56" s="61"/>
      <c r="DI56" s="60"/>
      <c r="DJ56" s="61"/>
      <c r="DK56" s="60"/>
      <c r="DL56" s="61"/>
      <c r="DM56" s="60"/>
      <c r="DN56" s="61"/>
      <c r="DO56" s="60"/>
      <c r="DP56" s="61"/>
      <c r="DQ56" s="60"/>
      <c r="DR56" s="61"/>
      <c r="DS56" s="60"/>
      <c r="DT56" s="61"/>
      <c r="DU56" s="60"/>
      <c r="DV56" s="61"/>
      <c r="DW56" s="60"/>
      <c r="DX56" s="61"/>
      <c r="DY56" s="60"/>
      <c r="DZ56" s="61"/>
      <c r="EA56" s="60"/>
      <c r="EB56" s="61"/>
      <c r="EC56" s="60"/>
      <c r="ED56" s="61"/>
      <c r="EE56" s="60"/>
      <c r="EF56" s="61"/>
      <c r="EG56" s="60"/>
      <c r="EH56" s="61"/>
      <c r="EI56" s="60"/>
      <c r="EJ56" s="61"/>
      <c r="EK56" s="60"/>
      <c r="EL56" s="61"/>
      <c r="EM56" s="60"/>
      <c r="EN56" s="61"/>
      <c r="EO56" s="60"/>
      <c r="EP56" s="61"/>
      <c r="EQ56" s="60"/>
      <c r="ER56" s="61"/>
      <c r="ES56" s="60"/>
      <c r="ET56" s="61"/>
      <c r="EU56" s="60"/>
      <c r="EV56" s="61"/>
      <c r="EW56" s="60"/>
      <c r="EX56" s="61"/>
      <c r="EY56" s="60"/>
      <c r="EZ56" s="61"/>
      <c r="FA56" s="60"/>
      <c r="FB56" s="61"/>
      <c r="FC56" s="60"/>
      <c r="FD56" s="61"/>
      <c r="FE56" s="60"/>
      <c r="FF56" s="61"/>
      <c r="FG56" s="60"/>
      <c r="FH56" s="61"/>
      <c r="FI56" s="60"/>
      <c r="FJ56" s="61"/>
      <c r="FK56" s="60"/>
      <c r="FL56" s="61"/>
      <c r="FM56" s="60"/>
      <c r="FN56" s="61"/>
      <c r="FO56" s="60"/>
      <c r="FP56" s="61"/>
      <c r="FQ56" s="60"/>
      <c r="FR56" s="61"/>
      <c r="FS56" s="60"/>
      <c r="FT56" s="61"/>
      <c r="FU56" s="60"/>
      <c r="FV56" s="61"/>
      <c r="FW56" s="60"/>
      <c r="FX56" s="61"/>
      <c r="FY56" s="60"/>
      <c r="FZ56" s="61"/>
      <c r="GA56" s="60"/>
      <c r="GB56" s="61"/>
      <c r="GC56" s="60"/>
      <c r="GD56" s="61"/>
      <c r="GE56" s="60"/>
      <c r="GF56" s="61"/>
      <c r="GG56" s="60"/>
      <c r="GH56" s="61"/>
      <c r="GI56" s="60"/>
      <c r="GJ56" s="61"/>
      <c r="GK56" s="60"/>
      <c r="GL56" s="61"/>
      <c r="GM56" s="60"/>
      <c r="GN56" s="61"/>
      <c r="GO56" s="60"/>
      <c r="GP56" s="61"/>
      <c r="GQ56" s="60"/>
      <c r="GR56" s="61"/>
      <c r="GS56" s="60"/>
      <c r="GT56" s="61"/>
      <c r="GU56" s="60"/>
      <c r="GV56" s="61"/>
      <c r="GW56" s="60"/>
      <c r="GX56" s="61"/>
      <c r="GY56" s="60"/>
      <c r="GZ56" s="61"/>
    </row>
    <row r="57" customFormat="false" ht="15" hidden="false" customHeight="false" outlineLevel="0" collapsed="false">
      <c r="A57" s="54"/>
      <c r="B57" s="55"/>
      <c r="C57" s="55"/>
      <c r="D57" s="56"/>
      <c r="E57" s="57"/>
      <c r="H57" s="11" t="s">
        <v>118</v>
      </c>
      <c r="I57" s="62" t="s">
        <v>119</v>
      </c>
      <c r="J57" s="11" t="s">
        <v>120</v>
      </c>
      <c r="K57" s="62" t="s">
        <v>119</v>
      </c>
      <c r="L57" s="11" t="s">
        <v>120</v>
      </c>
      <c r="M57" s="62" t="s">
        <v>119</v>
      </c>
      <c r="N57" s="11" t="s">
        <v>120</v>
      </c>
      <c r="O57" s="62" t="s">
        <v>119</v>
      </c>
      <c r="P57" s="11" t="s">
        <v>120</v>
      </c>
      <c r="Q57" s="62" t="s">
        <v>119</v>
      </c>
      <c r="R57" s="11" t="s">
        <v>120</v>
      </c>
      <c r="S57" s="62" t="s">
        <v>119</v>
      </c>
      <c r="T57" s="11" t="s">
        <v>120</v>
      </c>
      <c r="U57" s="62" t="s">
        <v>119</v>
      </c>
      <c r="V57" s="11" t="s">
        <v>120</v>
      </c>
      <c r="W57" s="62" t="s">
        <v>119</v>
      </c>
      <c r="X57" s="11" t="s">
        <v>120</v>
      </c>
      <c r="Y57" s="62" t="s">
        <v>119</v>
      </c>
      <c r="Z57" s="11" t="s">
        <v>120</v>
      </c>
      <c r="AA57" s="62" t="s">
        <v>119</v>
      </c>
      <c r="AB57" s="11" t="s">
        <v>120</v>
      </c>
      <c r="AC57" s="62" t="s">
        <v>119</v>
      </c>
      <c r="AD57" s="11" t="s">
        <v>120</v>
      </c>
      <c r="AE57" s="62" t="s">
        <v>119</v>
      </c>
      <c r="AF57" s="11" t="s">
        <v>120</v>
      </c>
      <c r="AG57" s="62" t="s">
        <v>119</v>
      </c>
      <c r="AH57" s="11" t="s">
        <v>120</v>
      </c>
      <c r="AI57" s="62" t="s">
        <v>119</v>
      </c>
      <c r="AJ57" s="11" t="s">
        <v>120</v>
      </c>
      <c r="AK57" s="62" t="s">
        <v>119</v>
      </c>
      <c r="AL57" s="11" t="s">
        <v>120</v>
      </c>
      <c r="AM57" s="62" t="s">
        <v>119</v>
      </c>
      <c r="AN57" s="11" t="s">
        <v>120</v>
      </c>
      <c r="AO57" s="62" t="s">
        <v>119</v>
      </c>
      <c r="AP57" s="11" t="s">
        <v>120</v>
      </c>
      <c r="AQ57" s="62" t="s">
        <v>119</v>
      </c>
      <c r="AR57" s="11" t="s">
        <v>120</v>
      </c>
      <c r="AS57" s="62" t="s">
        <v>119</v>
      </c>
      <c r="AT57" s="11" t="s">
        <v>120</v>
      </c>
      <c r="AU57" s="62" t="s">
        <v>119</v>
      </c>
      <c r="AV57" s="11" t="s">
        <v>120</v>
      </c>
      <c r="AW57" s="62" t="s">
        <v>119</v>
      </c>
      <c r="AX57" s="11" t="s">
        <v>120</v>
      </c>
      <c r="AY57" s="62" t="s">
        <v>119</v>
      </c>
      <c r="AZ57" s="11" t="s">
        <v>120</v>
      </c>
      <c r="BA57" s="62" t="s">
        <v>119</v>
      </c>
      <c r="BB57" s="11" t="s">
        <v>120</v>
      </c>
      <c r="BC57" s="62" t="s">
        <v>119</v>
      </c>
      <c r="BD57" s="11" t="s">
        <v>120</v>
      </c>
      <c r="BE57" s="62" t="s">
        <v>119</v>
      </c>
      <c r="BF57" s="11" t="s">
        <v>120</v>
      </c>
      <c r="BG57" s="62" t="s">
        <v>119</v>
      </c>
      <c r="BH57" s="11" t="s">
        <v>120</v>
      </c>
      <c r="BI57" s="62" t="s">
        <v>119</v>
      </c>
      <c r="BJ57" s="11" t="s">
        <v>120</v>
      </c>
      <c r="BK57" s="62" t="s">
        <v>119</v>
      </c>
      <c r="BL57" s="11" t="s">
        <v>120</v>
      </c>
      <c r="BM57" s="62" t="s">
        <v>119</v>
      </c>
      <c r="BN57" s="11" t="s">
        <v>120</v>
      </c>
      <c r="BO57" s="62" t="s">
        <v>119</v>
      </c>
      <c r="BP57" s="11" t="s">
        <v>120</v>
      </c>
      <c r="BQ57" s="62" t="s">
        <v>119</v>
      </c>
      <c r="BR57" s="11" t="s">
        <v>120</v>
      </c>
      <c r="BS57" s="62" t="s">
        <v>119</v>
      </c>
      <c r="BT57" s="11" t="s">
        <v>120</v>
      </c>
      <c r="BU57" s="62" t="s">
        <v>119</v>
      </c>
      <c r="BV57" s="11" t="s">
        <v>120</v>
      </c>
      <c r="BW57" s="62" t="s">
        <v>119</v>
      </c>
      <c r="BX57" s="11" t="s">
        <v>120</v>
      </c>
      <c r="BY57" s="62" t="s">
        <v>119</v>
      </c>
      <c r="BZ57" s="11" t="s">
        <v>120</v>
      </c>
      <c r="CA57" s="62" t="s">
        <v>119</v>
      </c>
      <c r="CB57" s="11" t="s">
        <v>120</v>
      </c>
      <c r="CC57" s="62" t="s">
        <v>119</v>
      </c>
      <c r="CD57" s="11" t="s">
        <v>120</v>
      </c>
      <c r="CE57" s="62" t="s">
        <v>119</v>
      </c>
      <c r="CF57" s="11" t="s">
        <v>120</v>
      </c>
      <c r="CG57" s="62" t="s">
        <v>119</v>
      </c>
      <c r="CH57" s="11" t="s">
        <v>120</v>
      </c>
      <c r="CI57" s="62" t="s">
        <v>119</v>
      </c>
      <c r="CJ57" s="11" t="s">
        <v>120</v>
      </c>
      <c r="CK57" s="62" t="s">
        <v>119</v>
      </c>
      <c r="CL57" s="11" t="s">
        <v>120</v>
      </c>
      <c r="CM57" s="62" t="s">
        <v>119</v>
      </c>
      <c r="CN57" s="11" t="s">
        <v>120</v>
      </c>
      <c r="CO57" s="62" t="s">
        <v>119</v>
      </c>
      <c r="CP57" s="11" t="s">
        <v>120</v>
      </c>
      <c r="CQ57" s="62" t="s">
        <v>119</v>
      </c>
      <c r="CR57" s="11" t="s">
        <v>120</v>
      </c>
      <c r="CS57" s="62" t="s">
        <v>119</v>
      </c>
      <c r="CT57" s="11" t="s">
        <v>120</v>
      </c>
      <c r="CU57" s="62" t="s">
        <v>119</v>
      </c>
      <c r="CV57" s="11" t="s">
        <v>120</v>
      </c>
      <c r="CW57" s="62" t="s">
        <v>119</v>
      </c>
      <c r="CX57" s="11" t="s">
        <v>120</v>
      </c>
      <c r="CY57" s="62" t="s">
        <v>119</v>
      </c>
      <c r="CZ57" s="11" t="s">
        <v>120</v>
      </c>
      <c r="DA57" s="62" t="s">
        <v>119</v>
      </c>
      <c r="DB57" s="11" t="s">
        <v>120</v>
      </c>
      <c r="DC57" s="62" t="s">
        <v>119</v>
      </c>
      <c r="DD57" s="11" t="s">
        <v>120</v>
      </c>
      <c r="DE57" s="62" t="s">
        <v>119</v>
      </c>
      <c r="DF57" s="11" t="s">
        <v>120</v>
      </c>
      <c r="DG57" s="62" t="s">
        <v>119</v>
      </c>
      <c r="DH57" s="11" t="s">
        <v>120</v>
      </c>
      <c r="DI57" s="62" t="s">
        <v>119</v>
      </c>
      <c r="DJ57" s="11" t="s">
        <v>120</v>
      </c>
      <c r="DK57" s="62" t="s">
        <v>119</v>
      </c>
      <c r="DL57" s="11" t="s">
        <v>120</v>
      </c>
      <c r="DM57" s="62" t="s">
        <v>119</v>
      </c>
      <c r="DN57" s="11" t="s">
        <v>120</v>
      </c>
      <c r="DO57" s="62" t="s">
        <v>119</v>
      </c>
      <c r="DP57" s="11" t="s">
        <v>120</v>
      </c>
      <c r="DQ57" s="62" t="s">
        <v>119</v>
      </c>
      <c r="DR57" s="11" t="s">
        <v>120</v>
      </c>
      <c r="DS57" s="62" t="s">
        <v>119</v>
      </c>
      <c r="DT57" s="11" t="s">
        <v>120</v>
      </c>
      <c r="DU57" s="62" t="s">
        <v>119</v>
      </c>
      <c r="DV57" s="11" t="s">
        <v>120</v>
      </c>
      <c r="DW57" s="62" t="s">
        <v>119</v>
      </c>
      <c r="DX57" s="11" t="s">
        <v>120</v>
      </c>
      <c r="DY57" s="62" t="s">
        <v>119</v>
      </c>
      <c r="DZ57" s="11" t="s">
        <v>120</v>
      </c>
      <c r="EA57" s="62" t="s">
        <v>119</v>
      </c>
      <c r="EB57" s="11" t="s">
        <v>120</v>
      </c>
      <c r="EC57" s="62" t="s">
        <v>119</v>
      </c>
      <c r="ED57" s="11" t="s">
        <v>120</v>
      </c>
      <c r="EE57" s="62" t="s">
        <v>119</v>
      </c>
      <c r="EF57" s="11" t="s">
        <v>120</v>
      </c>
      <c r="EG57" s="62" t="s">
        <v>119</v>
      </c>
      <c r="EH57" s="11" t="s">
        <v>120</v>
      </c>
      <c r="EI57" s="62" t="s">
        <v>119</v>
      </c>
      <c r="EJ57" s="11" t="s">
        <v>120</v>
      </c>
      <c r="EK57" s="62" t="s">
        <v>119</v>
      </c>
      <c r="EL57" s="11" t="s">
        <v>120</v>
      </c>
      <c r="EM57" s="62" t="s">
        <v>119</v>
      </c>
      <c r="EN57" s="11" t="s">
        <v>120</v>
      </c>
      <c r="EO57" s="62" t="s">
        <v>119</v>
      </c>
      <c r="EP57" s="11" t="s">
        <v>120</v>
      </c>
      <c r="EQ57" s="62" t="s">
        <v>119</v>
      </c>
      <c r="ER57" s="11" t="s">
        <v>120</v>
      </c>
      <c r="ES57" s="62" t="s">
        <v>119</v>
      </c>
      <c r="ET57" s="11" t="s">
        <v>120</v>
      </c>
      <c r="EU57" s="62" t="s">
        <v>119</v>
      </c>
      <c r="EV57" s="11" t="s">
        <v>120</v>
      </c>
      <c r="EW57" s="62" t="s">
        <v>119</v>
      </c>
      <c r="EX57" s="11" t="s">
        <v>120</v>
      </c>
      <c r="EY57" s="62" t="s">
        <v>119</v>
      </c>
      <c r="EZ57" s="11" t="s">
        <v>120</v>
      </c>
      <c r="FA57" s="62" t="s">
        <v>119</v>
      </c>
      <c r="FB57" s="11" t="s">
        <v>120</v>
      </c>
      <c r="FC57" s="62" t="s">
        <v>119</v>
      </c>
      <c r="FD57" s="11" t="s">
        <v>120</v>
      </c>
      <c r="FE57" s="62" t="s">
        <v>119</v>
      </c>
      <c r="FF57" s="11" t="s">
        <v>120</v>
      </c>
      <c r="FG57" s="62" t="s">
        <v>119</v>
      </c>
      <c r="FH57" s="11" t="s">
        <v>120</v>
      </c>
      <c r="FI57" s="62" t="s">
        <v>119</v>
      </c>
      <c r="FJ57" s="11" t="s">
        <v>120</v>
      </c>
      <c r="FK57" s="62" t="s">
        <v>119</v>
      </c>
      <c r="FL57" s="11" t="s">
        <v>120</v>
      </c>
      <c r="FM57" s="62" t="s">
        <v>119</v>
      </c>
      <c r="FN57" s="11" t="s">
        <v>120</v>
      </c>
      <c r="FO57" s="62" t="s">
        <v>119</v>
      </c>
      <c r="FP57" s="11" t="s">
        <v>120</v>
      </c>
      <c r="FQ57" s="62" t="s">
        <v>119</v>
      </c>
      <c r="FR57" s="11" t="s">
        <v>120</v>
      </c>
      <c r="FS57" s="62" t="s">
        <v>119</v>
      </c>
      <c r="FT57" s="11" t="s">
        <v>120</v>
      </c>
      <c r="FU57" s="62" t="s">
        <v>119</v>
      </c>
      <c r="FV57" s="11" t="s">
        <v>120</v>
      </c>
      <c r="FW57" s="62" t="s">
        <v>119</v>
      </c>
      <c r="FX57" s="11" t="s">
        <v>120</v>
      </c>
      <c r="FY57" s="62" t="s">
        <v>119</v>
      </c>
      <c r="FZ57" s="11" t="s">
        <v>120</v>
      </c>
      <c r="GA57" s="62" t="s">
        <v>119</v>
      </c>
      <c r="GB57" s="11" t="s">
        <v>120</v>
      </c>
      <c r="GC57" s="62" t="s">
        <v>119</v>
      </c>
      <c r="GD57" s="11" t="s">
        <v>120</v>
      </c>
      <c r="GE57" s="62" t="s">
        <v>119</v>
      </c>
      <c r="GF57" s="11" t="s">
        <v>120</v>
      </c>
      <c r="GG57" s="62" t="s">
        <v>119</v>
      </c>
      <c r="GH57" s="11" t="s">
        <v>120</v>
      </c>
      <c r="GI57" s="62" t="s">
        <v>119</v>
      </c>
      <c r="GJ57" s="11" t="s">
        <v>120</v>
      </c>
      <c r="GK57" s="62" t="s">
        <v>119</v>
      </c>
      <c r="GL57" s="11" t="s">
        <v>120</v>
      </c>
      <c r="GM57" s="62" t="s">
        <v>119</v>
      </c>
      <c r="GN57" s="11" t="s">
        <v>120</v>
      </c>
      <c r="GO57" s="62" t="s">
        <v>119</v>
      </c>
      <c r="GP57" s="11" t="s">
        <v>120</v>
      </c>
      <c r="GQ57" s="62" t="s">
        <v>119</v>
      </c>
      <c r="GR57" s="11" t="s">
        <v>120</v>
      </c>
      <c r="GS57" s="62" t="s">
        <v>119</v>
      </c>
      <c r="GT57" s="11" t="s">
        <v>120</v>
      </c>
      <c r="GU57" s="62" t="s">
        <v>119</v>
      </c>
      <c r="GV57" s="11" t="s">
        <v>120</v>
      </c>
      <c r="GW57" s="62" t="s">
        <v>119</v>
      </c>
      <c r="GX57" s="11" t="s">
        <v>120</v>
      </c>
      <c r="GY57" s="62" t="s">
        <v>119</v>
      </c>
      <c r="GZ57" s="11" t="s">
        <v>120</v>
      </c>
    </row>
    <row r="58" customFormat="false" ht="15" hidden="false" customHeight="false" outlineLevel="0" collapsed="false">
      <c r="A58" s="4"/>
      <c r="B58" s="36"/>
      <c r="C58" s="36"/>
      <c r="D58" s="49"/>
      <c r="E58" s="50"/>
      <c r="H58" s="16" t="s">
        <v>121</v>
      </c>
      <c r="I58" s="63" t="n">
        <v>500</v>
      </c>
      <c r="J58" s="51" t="n">
        <v>250</v>
      </c>
      <c r="K58" s="63" t="n">
        <v>500</v>
      </c>
      <c r="L58" s="51" t="n">
        <v>250</v>
      </c>
      <c r="M58" s="63" t="n">
        <v>500</v>
      </c>
      <c r="N58" s="51" t="n">
        <v>250</v>
      </c>
      <c r="O58" s="63" t="n">
        <v>500</v>
      </c>
      <c r="P58" s="51" t="n">
        <v>250</v>
      </c>
      <c r="Q58" s="63" t="n">
        <v>500</v>
      </c>
      <c r="R58" s="51" t="n">
        <v>250</v>
      </c>
      <c r="S58" s="63" t="n">
        <v>500</v>
      </c>
      <c r="T58" s="51" t="n">
        <v>250</v>
      </c>
      <c r="U58" s="63" t="n">
        <v>500</v>
      </c>
      <c r="V58" s="51" t="n">
        <v>250</v>
      </c>
      <c r="W58" s="63" t="n">
        <v>500</v>
      </c>
      <c r="X58" s="51" t="n">
        <v>250</v>
      </c>
      <c r="Y58" s="63" t="n">
        <v>500</v>
      </c>
      <c r="Z58" s="51" t="n">
        <v>250</v>
      </c>
      <c r="AA58" s="63" t="n">
        <v>500</v>
      </c>
      <c r="AB58" s="51" t="n">
        <v>250</v>
      </c>
      <c r="AC58" s="63" t="n">
        <v>500</v>
      </c>
      <c r="AD58" s="51" t="n">
        <v>250</v>
      </c>
      <c r="AE58" s="63" t="n">
        <v>500</v>
      </c>
      <c r="AF58" s="51" t="n">
        <v>250</v>
      </c>
      <c r="AG58" s="63"/>
      <c r="AH58" s="51"/>
      <c r="AI58" s="63"/>
      <c r="AJ58" s="51"/>
      <c r="AK58" s="63"/>
      <c r="AL58" s="51"/>
      <c r="AM58" s="63"/>
      <c r="AN58" s="51"/>
      <c r="AO58" s="63"/>
      <c r="AP58" s="51"/>
      <c r="AQ58" s="63"/>
      <c r="AR58" s="51"/>
      <c r="AS58" s="63"/>
      <c r="AT58" s="51"/>
      <c r="AU58" s="63"/>
      <c r="AV58" s="51"/>
      <c r="AW58" s="63"/>
      <c r="AX58" s="51"/>
      <c r="AY58" s="63"/>
      <c r="AZ58" s="51"/>
      <c r="BA58" s="63"/>
      <c r="BB58" s="51"/>
      <c r="BC58" s="63"/>
      <c r="BD58" s="51"/>
      <c r="BE58" s="63"/>
      <c r="BF58" s="51"/>
      <c r="BG58" s="63"/>
      <c r="BH58" s="51"/>
      <c r="BI58" s="63"/>
      <c r="BJ58" s="51"/>
      <c r="BK58" s="63"/>
      <c r="BL58" s="51"/>
      <c r="BM58" s="63"/>
      <c r="BN58" s="51"/>
      <c r="BO58" s="63"/>
      <c r="BP58" s="51"/>
      <c r="BQ58" s="63"/>
      <c r="BR58" s="51"/>
      <c r="BS58" s="63"/>
      <c r="BT58" s="51"/>
      <c r="BU58" s="63"/>
      <c r="BV58" s="51"/>
      <c r="BW58" s="63"/>
      <c r="BX58" s="51"/>
      <c r="BY58" s="63"/>
      <c r="BZ58" s="51"/>
      <c r="CA58" s="63"/>
      <c r="CB58" s="51"/>
      <c r="CC58" s="63"/>
      <c r="CD58" s="51"/>
      <c r="CE58" s="63"/>
      <c r="CF58" s="51"/>
      <c r="CG58" s="63"/>
      <c r="CH58" s="51"/>
      <c r="CI58" s="63"/>
      <c r="CJ58" s="51"/>
      <c r="CK58" s="63"/>
      <c r="CL58" s="51"/>
      <c r="CM58" s="63"/>
      <c r="CN58" s="51"/>
      <c r="CO58" s="63"/>
      <c r="CP58" s="51"/>
      <c r="CQ58" s="63"/>
      <c r="CR58" s="51"/>
      <c r="CS58" s="63"/>
      <c r="CT58" s="51"/>
      <c r="CU58" s="63"/>
      <c r="CV58" s="51"/>
      <c r="CW58" s="63"/>
      <c r="CX58" s="51"/>
      <c r="CY58" s="63"/>
      <c r="CZ58" s="51"/>
      <c r="DA58" s="63"/>
      <c r="DB58" s="51"/>
      <c r="DC58" s="63"/>
      <c r="DD58" s="51"/>
      <c r="DE58" s="63"/>
      <c r="DF58" s="51"/>
      <c r="DG58" s="63"/>
      <c r="DH58" s="51"/>
      <c r="DI58" s="63"/>
      <c r="DJ58" s="51"/>
      <c r="DK58" s="63"/>
      <c r="DL58" s="51"/>
      <c r="DM58" s="63"/>
      <c r="DN58" s="51"/>
      <c r="DO58" s="63"/>
      <c r="DP58" s="51"/>
      <c r="DQ58" s="63"/>
      <c r="DR58" s="51"/>
      <c r="DS58" s="63"/>
      <c r="DT58" s="51"/>
      <c r="DU58" s="63"/>
      <c r="DV58" s="51"/>
      <c r="DW58" s="63"/>
      <c r="DX58" s="51"/>
      <c r="DY58" s="63"/>
      <c r="DZ58" s="51"/>
      <c r="EA58" s="63"/>
      <c r="EB58" s="51"/>
      <c r="EC58" s="63"/>
      <c r="ED58" s="51"/>
      <c r="EE58" s="63"/>
      <c r="EF58" s="51"/>
      <c r="EG58" s="63"/>
      <c r="EH58" s="51"/>
      <c r="EI58" s="63"/>
      <c r="EJ58" s="51"/>
      <c r="EK58" s="63"/>
      <c r="EL58" s="51"/>
      <c r="EM58" s="63"/>
      <c r="EN58" s="51"/>
      <c r="EO58" s="63"/>
      <c r="EP58" s="51"/>
      <c r="EQ58" s="63"/>
      <c r="ER58" s="51"/>
      <c r="ES58" s="63"/>
      <c r="ET58" s="51"/>
      <c r="EU58" s="63"/>
      <c r="EV58" s="51"/>
      <c r="EW58" s="63"/>
      <c r="EX58" s="51"/>
      <c r="EY58" s="63"/>
      <c r="EZ58" s="51"/>
      <c r="FA58" s="63"/>
      <c r="FB58" s="51"/>
      <c r="FC58" s="63"/>
      <c r="FD58" s="51"/>
      <c r="FE58" s="63"/>
      <c r="FF58" s="51"/>
      <c r="FG58" s="63"/>
      <c r="FH58" s="51"/>
      <c r="FI58" s="63"/>
      <c r="FJ58" s="51"/>
      <c r="FK58" s="63"/>
      <c r="FL58" s="51"/>
      <c r="FM58" s="63"/>
      <c r="FN58" s="51"/>
      <c r="FO58" s="63"/>
      <c r="FP58" s="51"/>
      <c r="FQ58" s="63"/>
      <c r="FR58" s="51"/>
      <c r="FS58" s="63"/>
      <c r="FT58" s="51"/>
      <c r="FU58" s="63"/>
      <c r="FV58" s="51"/>
      <c r="FW58" s="63"/>
      <c r="FX58" s="51"/>
      <c r="FY58" s="63"/>
      <c r="FZ58" s="51"/>
      <c r="GA58" s="63"/>
      <c r="GB58" s="51"/>
      <c r="GC58" s="63"/>
      <c r="GD58" s="51"/>
      <c r="GE58" s="63"/>
      <c r="GF58" s="51"/>
      <c r="GG58" s="63"/>
      <c r="GH58" s="51"/>
      <c r="GI58" s="63"/>
      <c r="GJ58" s="51"/>
      <c r="GK58" s="63"/>
      <c r="GL58" s="51"/>
      <c r="GM58" s="63"/>
      <c r="GN58" s="51"/>
      <c r="GO58" s="63"/>
      <c r="GP58" s="51"/>
      <c r="GQ58" s="63"/>
      <c r="GR58" s="51"/>
      <c r="GS58" s="63"/>
      <c r="GT58" s="51"/>
      <c r="GU58" s="63"/>
      <c r="GV58" s="51"/>
      <c r="GW58" s="63"/>
      <c r="GX58" s="51"/>
      <c r="GY58" s="63"/>
      <c r="GZ58" s="51"/>
    </row>
    <row r="59" customFormat="false" ht="15" hidden="false" customHeight="false" outlineLevel="0" collapsed="false">
      <c r="A59" s="54"/>
      <c r="B59" s="55"/>
      <c r="C59" s="55"/>
      <c r="D59" s="56"/>
      <c r="E59" s="57"/>
      <c r="H59" s="16" t="s">
        <v>122</v>
      </c>
      <c r="I59" s="63" t="n">
        <v>500</v>
      </c>
      <c r="J59" s="51" t="n">
        <v>250</v>
      </c>
      <c r="K59" s="63" t="n">
        <v>500</v>
      </c>
      <c r="L59" s="51" t="n">
        <v>250</v>
      </c>
      <c r="M59" s="63" t="n">
        <v>500</v>
      </c>
      <c r="N59" s="51" t="n">
        <v>250</v>
      </c>
      <c r="O59" s="63" t="n">
        <v>500</v>
      </c>
      <c r="P59" s="51" t="n">
        <v>250</v>
      </c>
      <c r="Q59" s="63" t="n">
        <v>500</v>
      </c>
      <c r="R59" s="51" t="n">
        <v>250</v>
      </c>
      <c r="S59" s="63" t="n">
        <v>500</v>
      </c>
      <c r="T59" s="51" t="n">
        <v>250</v>
      </c>
      <c r="U59" s="63" t="n">
        <v>500</v>
      </c>
      <c r="V59" s="51" t="n">
        <v>250</v>
      </c>
      <c r="W59" s="63" t="n">
        <v>500</v>
      </c>
      <c r="X59" s="51" t="n">
        <v>250</v>
      </c>
      <c r="Y59" s="63" t="n">
        <v>500</v>
      </c>
      <c r="Z59" s="51" t="n">
        <v>250</v>
      </c>
      <c r="AA59" s="63" t="n">
        <v>500</v>
      </c>
      <c r="AB59" s="51" t="n">
        <v>250</v>
      </c>
      <c r="AC59" s="63" t="n">
        <v>500</v>
      </c>
      <c r="AD59" s="51" t="n">
        <v>250</v>
      </c>
      <c r="AE59" s="63" t="n">
        <v>500</v>
      </c>
      <c r="AF59" s="51" t="n">
        <v>250</v>
      </c>
      <c r="AG59" s="63"/>
      <c r="AH59" s="51"/>
      <c r="AI59" s="63"/>
      <c r="AJ59" s="51"/>
      <c r="AK59" s="63"/>
      <c r="AL59" s="51"/>
      <c r="AM59" s="63"/>
      <c r="AN59" s="51"/>
      <c r="AO59" s="63"/>
      <c r="AP59" s="51"/>
      <c r="AQ59" s="63"/>
      <c r="AR59" s="51"/>
      <c r="AS59" s="63"/>
      <c r="AT59" s="51"/>
      <c r="AU59" s="63"/>
      <c r="AV59" s="51"/>
      <c r="AW59" s="63"/>
      <c r="AX59" s="51"/>
      <c r="AY59" s="63"/>
      <c r="AZ59" s="51"/>
      <c r="BA59" s="63"/>
      <c r="BB59" s="51"/>
      <c r="BC59" s="63"/>
      <c r="BD59" s="51"/>
      <c r="BE59" s="63"/>
      <c r="BF59" s="51"/>
      <c r="BG59" s="63"/>
      <c r="BH59" s="51"/>
      <c r="BI59" s="63"/>
      <c r="BJ59" s="51"/>
      <c r="BK59" s="63"/>
      <c r="BL59" s="51"/>
      <c r="BM59" s="63"/>
      <c r="BN59" s="51"/>
      <c r="BO59" s="63"/>
      <c r="BP59" s="51"/>
      <c r="BQ59" s="63"/>
      <c r="BR59" s="51"/>
      <c r="BS59" s="63"/>
      <c r="BT59" s="51"/>
      <c r="BU59" s="63"/>
      <c r="BV59" s="51"/>
      <c r="BW59" s="63"/>
      <c r="BX59" s="51"/>
      <c r="BY59" s="63"/>
      <c r="BZ59" s="51"/>
      <c r="CA59" s="63"/>
      <c r="CB59" s="51"/>
      <c r="CC59" s="63"/>
      <c r="CD59" s="51"/>
      <c r="CE59" s="63"/>
      <c r="CF59" s="51"/>
      <c r="CG59" s="63"/>
      <c r="CH59" s="51"/>
      <c r="CI59" s="63"/>
      <c r="CJ59" s="51"/>
      <c r="CK59" s="63"/>
      <c r="CL59" s="51"/>
      <c r="CM59" s="63"/>
      <c r="CN59" s="51"/>
      <c r="CO59" s="63"/>
      <c r="CP59" s="51"/>
      <c r="CQ59" s="63"/>
      <c r="CR59" s="51"/>
      <c r="CS59" s="63"/>
      <c r="CT59" s="51"/>
      <c r="CU59" s="63"/>
      <c r="CV59" s="51"/>
      <c r="CW59" s="63"/>
      <c r="CX59" s="51"/>
      <c r="CY59" s="63"/>
      <c r="CZ59" s="51"/>
      <c r="DA59" s="63"/>
      <c r="DB59" s="51"/>
      <c r="DC59" s="63"/>
      <c r="DD59" s="51"/>
      <c r="DE59" s="63"/>
      <c r="DF59" s="51"/>
      <c r="DG59" s="63"/>
      <c r="DH59" s="51"/>
      <c r="DI59" s="63"/>
      <c r="DJ59" s="51"/>
      <c r="DK59" s="63"/>
      <c r="DL59" s="51"/>
      <c r="DM59" s="63"/>
      <c r="DN59" s="51"/>
      <c r="DO59" s="63"/>
      <c r="DP59" s="51"/>
      <c r="DQ59" s="63"/>
      <c r="DR59" s="51"/>
      <c r="DS59" s="63"/>
      <c r="DT59" s="51"/>
      <c r="DU59" s="63"/>
      <c r="DV59" s="51"/>
      <c r="DW59" s="63"/>
      <c r="DX59" s="51"/>
      <c r="DY59" s="63"/>
      <c r="DZ59" s="51"/>
      <c r="EA59" s="63"/>
      <c r="EB59" s="51"/>
      <c r="EC59" s="63"/>
      <c r="ED59" s="51"/>
      <c r="EE59" s="63"/>
      <c r="EF59" s="51"/>
      <c r="EG59" s="63"/>
      <c r="EH59" s="51"/>
      <c r="EI59" s="63"/>
      <c r="EJ59" s="51"/>
      <c r="EK59" s="63"/>
      <c r="EL59" s="51"/>
      <c r="EM59" s="63"/>
      <c r="EN59" s="51"/>
      <c r="EO59" s="63"/>
      <c r="EP59" s="51"/>
      <c r="EQ59" s="63"/>
      <c r="ER59" s="51"/>
      <c r="ES59" s="63"/>
      <c r="ET59" s="51"/>
      <c r="EU59" s="63"/>
      <c r="EV59" s="51"/>
      <c r="EW59" s="63"/>
      <c r="EX59" s="51"/>
      <c r="EY59" s="63"/>
      <c r="EZ59" s="51"/>
      <c r="FA59" s="63"/>
      <c r="FB59" s="51"/>
      <c r="FC59" s="63"/>
      <c r="FD59" s="51"/>
      <c r="FE59" s="63"/>
      <c r="FF59" s="51"/>
      <c r="FG59" s="63"/>
      <c r="FH59" s="51"/>
      <c r="FI59" s="63"/>
      <c r="FJ59" s="51"/>
      <c r="FK59" s="63"/>
      <c r="FL59" s="51"/>
      <c r="FM59" s="63"/>
      <c r="FN59" s="51"/>
      <c r="FO59" s="63"/>
      <c r="FP59" s="51"/>
      <c r="FQ59" s="63"/>
      <c r="FR59" s="51"/>
      <c r="FS59" s="63"/>
      <c r="FT59" s="51"/>
      <c r="FU59" s="63"/>
      <c r="FV59" s="51"/>
      <c r="FW59" s="63"/>
      <c r="FX59" s="51"/>
      <c r="FY59" s="63"/>
      <c r="FZ59" s="51"/>
      <c r="GA59" s="63"/>
      <c r="GB59" s="51"/>
      <c r="GC59" s="63"/>
      <c r="GD59" s="51"/>
      <c r="GE59" s="63"/>
      <c r="GF59" s="51"/>
      <c r="GG59" s="63"/>
      <c r="GH59" s="51"/>
      <c r="GI59" s="63"/>
      <c r="GJ59" s="51"/>
      <c r="GK59" s="63"/>
      <c r="GL59" s="51"/>
      <c r="GM59" s="63"/>
      <c r="GN59" s="51"/>
      <c r="GO59" s="63"/>
      <c r="GP59" s="51"/>
      <c r="GQ59" s="63"/>
      <c r="GR59" s="51"/>
      <c r="GS59" s="63"/>
      <c r="GT59" s="51"/>
      <c r="GU59" s="63"/>
      <c r="GV59" s="51"/>
      <c r="GW59" s="63"/>
      <c r="GX59" s="51"/>
      <c r="GY59" s="63"/>
      <c r="GZ59" s="51"/>
    </row>
    <row r="60" customFormat="false" ht="15" hidden="false" customHeight="false" outlineLevel="0" collapsed="false">
      <c r="A60" s="4"/>
      <c r="B60" s="36"/>
      <c r="C60" s="36"/>
      <c r="D60" s="49"/>
      <c r="E60" s="50"/>
      <c r="H60" s="16" t="s">
        <v>123</v>
      </c>
      <c r="I60" s="63"/>
      <c r="J60" s="51"/>
      <c r="K60" s="63" t="n">
        <v>1350</v>
      </c>
      <c r="L60" s="51" t="n">
        <v>850</v>
      </c>
      <c r="M60" s="63" t="n">
        <v>1350</v>
      </c>
      <c r="N60" s="51" t="n">
        <v>850</v>
      </c>
      <c r="O60" s="63" t="n">
        <v>1350</v>
      </c>
      <c r="P60" s="51" t="n">
        <v>850</v>
      </c>
      <c r="Q60" s="63" t="n">
        <v>1350</v>
      </c>
      <c r="R60" s="51" t="n">
        <v>850</v>
      </c>
      <c r="S60" s="63" t="n">
        <v>1350</v>
      </c>
      <c r="T60" s="51" t="n">
        <v>850</v>
      </c>
      <c r="U60" s="63" t="n">
        <v>1350</v>
      </c>
      <c r="V60" s="51" t="n">
        <v>850</v>
      </c>
      <c r="W60" s="63" t="n">
        <v>1350</v>
      </c>
      <c r="X60" s="51" t="n">
        <v>850</v>
      </c>
      <c r="Y60" s="63" t="n">
        <v>1350</v>
      </c>
      <c r="Z60" s="51" t="n">
        <v>850</v>
      </c>
      <c r="AA60" s="63" t="n">
        <v>1350</v>
      </c>
      <c r="AB60" s="51" t="n">
        <v>850</v>
      </c>
      <c r="AC60" s="63" t="n">
        <v>1350</v>
      </c>
      <c r="AD60" s="51" t="n">
        <v>850</v>
      </c>
      <c r="AE60" s="63" t="n">
        <v>1350</v>
      </c>
      <c r="AF60" s="51" t="n">
        <v>850</v>
      </c>
      <c r="AG60" s="63"/>
      <c r="AH60" s="51"/>
      <c r="AI60" s="63"/>
      <c r="AJ60" s="51"/>
      <c r="AK60" s="63"/>
      <c r="AL60" s="51"/>
      <c r="AM60" s="63"/>
      <c r="AN60" s="51"/>
      <c r="AO60" s="63"/>
      <c r="AP60" s="51"/>
      <c r="AQ60" s="63"/>
      <c r="AR60" s="51"/>
      <c r="AS60" s="63"/>
      <c r="AT60" s="51"/>
      <c r="AU60" s="63"/>
      <c r="AV60" s="51"/>
      <c r="AW60" s="63"/>
      <c r="AX60" s="51"/>
      <c r="AY60" s="63"/>
      <c r="AZ60" s="51"/>
      <c r="BA60" s="63"/>
      <c r="BB60" s="51"/>
      <c r="BC60" s="63"/>
      <c r="BD60" s="51"/>
      <c r="BE60" s="63"/>
      <c r="BF60" s="51"/>
      <c r="BG60" s="63"/>
      <c r="BH60" s="51"/>
      <c r="BI60" s="63"/>
      <c r="BJ60" s="51"/>
      <c r="BK60" s="63"/>
      <c r="BL60" s="51"/>
      <c r="BM60" s="63"/>
      <c r="BN60" s="51"/>
      <c r="BO60" s="63"/>
      <c r="BP60" s="51"/>
      <c r="BQ60" s="63"/>
      <c r="BR60" s="51"/>
      <c r="BS60" s="63"/>
      <c r="BT60" s="51"/>
      <c r="BU60" s="63"/>
      <c r="BV60" s="51"/>
      <c r="BW60" s="63"/>
      <c r="BX60" s="51"/>
      <c r="BY60" s="63"/>
      <c r="BZ60" s="51"/>
      <c r="CA60" s="63"/>
      <c r="CB60" s="51"/>
      <c r="CC60" s="63"/>
      <c r="CD60" s="51"/>
      <c r="CE60" s="63"/>
      <c r="CF60" s="51"/>
      <c r="CG60" s="63"/>
      <c r="CH60" s="51"/>
      <c r="CI60" s="63"/>
      <c r="CJ60" s="51"/>
      <c r="CK60" s="63"/>
      <c r="CL60" s="51"/>
      <c r="CM60" s="63"/>
      <c r="CN60" s="51"/>
      <c r="CO60" s="63"/>
      <c r="CP60" s="51"/>
      <c r="CQ60" s="63"/>
      <c r="CR60" s="51"/>
      <c r="CS60" s="63"/>
      <c r="CT60" s="51"/>
      <c r="CU60" s="63"/>
      <c r="CV60" s="51"/>
      <c r="CW60" s="63"/>
      <c r="CX60" s="51"/>
      <c r="CY60" s="63"/>
      <c r="CZ60" s="51"/>
      <c r="DA60" s="63"/>
      <c r="DB60" s="51"/>
      <c r="DC60" s="63"/>
      <c r="DD60" s="51"/>
      <c r="DE60" s="63"/>
      <c r="DF60" s="51"/>
      <c r="DG60" s="63"/>
      <c r="DH60" s="51"/>
      <c r="DI60" s="63"/>
      <c r="DJ60" s="51"/>
      <c r="DK60" s="63"/>
      <c r="DL60" s="51"/>
      <c r="DM60" s="63"/>
      <c r="DN60" s="51"/>
      <c r="DO60" s="63"/>
      <c r="DP60" s="51"/>
      <c r="DQ60" s="63"/>
      <c r="DR60" s="51"/>
      <c r="DS60" s="63"/>
      <c r="DT60" s="51"/>
      <c r="DU60" s="63"/>
      <c r="DV60" s="51"/>
      <c r="DW60" s="63"/>
      <c r="DX60" s="51"/>
      <c r="DY60" s="63"/>
      <c r="DZ60" s="51"/>
      <c r="EA60" s="63"/>
      <c r="EB60" s="51"/>
      <c r="EC60" s="63"/>
      <c r="ED60" s="51"/>
      <c r="EE60" s="63"/>
      <c r="EF60" s="51"/>
      <c r="EG60" s="63"/>
      <c r="EH60" s="51"/>
      <c r="EI60" s="63"/>
      <c r="EJ60" s="51"/>
      <c r="EK60" s="63"/>
      <c r="EL60" s="51"/>
      <c r="EM60" s="63"/>
      <c r="EN60" s="51"/>
      <c r="EO60" s="63"/>
      <c r="EP60" s="51"/>
      <c r="EQ60" s="63"/>
      <c r="ER60" s="51"/>
      <c r="ES60" s="63"/>
      <c r="ET60" s="51"/>
      <c r="EU60" s="63"/>
      <c r="EV60" s="51"/>
      <c r="EW60" s="63"/>
      <c r="EX60" s="51"/>
      <c r="EY60" s="63"/>
      <c r="EZ60" s="51"/>
      <c r="FA60" s="63"/>
      <c r="FB60" s="51"/>
      <c r="FC60" s="63"/>
      <c r="FD60" s="51"/>
      <c r="FE60" s="63"/>
      <c r="FF60" s="51"/>
      <c r="FG60" s="63"/>
      <c r="FH60" s="51"/>
      <c r="FI60" s="63"/>
      <c r="FJ60" s="51"/>
      <c r="FK60" s="63"/>
      <c r="FL60" s="51"/>
      <c r="FM60" s="63"/>
      <c r="FN60" s="51"/>
      <c r="FO60" s="63"/>
      <c r="FP60" s="51"/>
      <c r="FQ60" s="63"/>
      <c r="FR60" s="51"/>
      <c r="FS60" s="63"/>
      <c r="FT60" s="51"/>
      <c r="FU60" s="63"/>
      <c r="FV60" s="51"/>
      <c r="FW60" s="63"/>
      <c r="FX60" s="51"/>
      <c r="FY60" s="63"/>
      <c r="FZ60" s="51"/>
      <c r="GA60" s="63"/>
      <c r="GB60" s="51"/>
      <c r="GC60" s="63"/>
      <c r="GD60" s="51"/>
      <c r="GE60" s="63"/>
      <c r="GF60" s="51"/>
      <c r="GG60" s="63"/>
      <c r="GH60" s="51"/>
      <c r="GI60" s="63"/>
      <c r="GJ60" s="51"/>
      <c r="GK60" s="63"/>
      <c r="GL60" s="51"/>
      <c r="GM60" s="63"/>
      <c r="GN60" s="51"/>
      <c r="GO60" s="63"/>
      <c r="GP60" s="51"/>
      <c r="GQ60" s="63"/>
      <c r="GR60" s="51"/>
      <c r="GS60" s="63"/>
      <c r="GT60" s="51"/>
      <c r="GU60" s="63"/>
      <c r="GV60" s="51"/>
      <c r="GW60" s="63"/>
      <c r="GX60" s="51"/>
      <c r="GY60" s="63"/>
      <c r="GZ60" s="51"/>
    </row>
    <row r="61" customFormat="false" ht="15" hidden="false" customHeight="false" outlineLevel="0" collapsed="false">
      <c r="A61" s="54"/>
      <c r="B61" s="55"/>
      <c r="C61" s="55"/>
      <c r="D61" s="56"/>
      <c r="E61" s="57"/>
      <c r="H61" s="16" t="s">
        <v>124</v>
      </c>
      <c r="I61" s="63"/>
      <c r="J61" s="51"/>
      <c r="K61" s="63" t="n">
        <v>1950</v>
      </c>
      <c r="L61" s="51" t="n">
        <v>970</v>
      </c>
      <c r="M61" s="63" t="n">
        <v>1950</v>
      </c>
      <c r="N61" s="51" t="n">
        <v>970</v>
      </c>
      <c r="O61" s="63" t="n">
        <v>1950</v>
      </c>
      <c r="P61" s="51" t="n">
        <v>970</v>
      </c>
      <c r="Q61" s="63" t="n">
        <v>1950</v>
      </c>
      <c r="R61" s="51" t="n">
        <v>970</v>
      </c>
      <c r="S61" s="63" t="n">
        <v>1950</v>
      </c>
      <c r="T61" s="51" t="n">
        <v>970</v>
      </c>
      <c r="U61" s="63" t="n">
        <v>1950</v>
      </c>
      <c r="V61" s="51" t="n">
        <v>970</v>
      </c>
      <c r="W61" s="63" t="n">
        <v>1950</v>
      </c>
      <c r="X61" s="51" t="n">
        <v>970</v>
      </c>
      <c r="Y61" s="63" t="n">
        <v>1950</v>
      </c>
      <c r="Z61" s="51" t="n">
        <v>970</v>
      </c>
      <c r="AA61" s="63" t="n">
        <v>1950</v>
      </c>
      <c r="AB61" s="51" t="n">
        <v>970</v>
      </c>
      <c r="AC61" s="63" t="n">
        <v>1950</v>
      </c>
      <c r="AD61" s="51" t="n">
        <v>970</v>
      </c>
      <c r="AE61" s="63" t="n">
        <v>1950</v>
      </c>
      <c r="AF61" s="51" t="n">
        <v>970</v>
      </c>
      <c r="AG61" s="63"/>
      <c r="AH61" s="51"/>
      <c r="AI61" s="63"/>
      <c r="AJ61" s="51"/>
      <c r="AK61" s="63"/>
      <c r="AL61" s="51"/>
      <c r="AM61" s="63"/>
      <c r="AN61" s="51"/>
      <c r="AO61" s="63"/>
      <c r="AP61" s="51"/>
      <c r="AQ61" s="63"/>
      <c r="AR61" s="51"/>
      <c r="AS61" s="63"/>
      <c r="AT61" s="51"/>
      <c r="AU61" s="63"/>
      <c r="AV61" s="51"/>
      <c r="AW61" s="63"/>
      <c r="AX61" s="51"/>
      <c r="AY61" s="63"/>
      <c r="AZ61" s="51"/>
      <c r="BA61" s="63"/>
      <c r="BB61" s="51"/>
      <c r="BC61" s="63"/>
      <c r="BD61" s="51"/>
      <c r="BE61" s="63"/>
      <c r="BF61" s="51"/>
      <c r="BG61" s="63"/>
      <c r="BH61" s="51"/>
      <c r="BI61" s="63"/>
      <c r="BJ61" s="51"/>
      <c r="BK61" s="63"/>
      <c r="BL61" s="51"/>
      <c r="BM61" s="63"/>
      <c r="BN61" s="51"/>
      <c r="BO61" s="63"/>
      <c r="BP61" s="51"/>
      <c r="BQ61" s="63"/>
      <c r="BR61" s="51"/>
      <c r="BS61" s="63"/>
      <c r="BT61" s="51"/>
      <c r="BU61" s="63"/>
      <c r="BV61" s="51"/>
      <c r="BW61" s="63"/>
      <c r="BX61" s="51"/>
      <c r="BY61" s="63"/>
      <c r="BZ61" s="51"/>
      <c r="CA61" s="63"/>
      <c r="CB61" s="51"/>
      <c r="CC61" s="63"/>
      <c r="CD61" s="51"/>
      <c r="CE61" s="63"/>
      <c r="CF61" s="51"/>
      <c r="CG61" s="63"/>
      <c r="CH61" s="51"/>
      <c r="CI61" s="63"/>
      <c r="CJ61" s="51"/>
      <c r="CK61" s="63"/>
      <c r="CL61" s="51"/>
      <c r="CM61" s="63"/>
      <c r="CN61" s="51"/>
      <c r="CO61" s="63"/>
      <c r="CP61" s="51"/>
      <c r="CQ61" s="63"/>
      <c r="CR61" s="51"/>
      <c r="CS61" s="63"/>
      <c r="CT61" s="51"/>
      <c r="CU61" s="63"/>
      <c r="CV61" s="51"/>
      <c r="CW61" s="63"/>
      <c r="CX61" s="51"/>
      <c r="CY61" s="63"/>
      <c r="CZ61" s="51"/>
      <c r="DA61" s="63"/>
      <c r="DB61" s="51"/>
      <c r="DC61" s="63"/>
      <c r="DD61" s="51"/>
      <c r="DE61" s="63"/>
      <c r="DF61" s="51"/>
      <c r="DG61" s="63"/>
      <c r="DH61" s="51"/>
      <c r="DI61" s="63"/>
      <c r="DJ61" s="51"/>
      <c r="DK61" s="63"/>
      <c r="DL61" s="51"/>
      <c r="DM61" s="63"/>
      <c r="DN61" s="51"/>
      <c r="DO61" s="63"/>
      <c r="DP61" s="51"/>
      <c r="DQ61" s="63"/>
      <c r="DR61" s="51"/>
      <c r="DS61" s="63"/>
      <c r="DT61" s="51"/>
      <c r="DU61" s="63"/>
      <c r="DV61" s="51"/>
      <c r="DW61" s="63"/>
      <c r="DX61" s="51"/>
      <c r="DY61" s="63"/>
      <c r="DZ61" s="51"/>
      <c r="EA61" s="63"/>
      <c r="EB61" s="51"/>
      <c r="EC61" s="63"/>
      <c r="ED61" s="51"/>
      <c r="EE61" s="63"/>
      <c r="EF61" s="51"/>
      <c r="EG61" s="63"/>
      <c r="EH61" s="51"/>
      <c r="EI61" s="63"/>
      <c r="EJ61" s="51"/>
      <c r="EK61" s="63"/>
      <c r="EL61" s="51"/>
      <c r="EM61" s="63"/>
      <c r="EN61" s="51"/>
      <c r="EO61" s="63"/>
      <c r="EP61" s="51"/>
      <c r="EQ61" s="63"/>
      <c r="ER61" s="51"/>
      <c r="ES61" s="63"/>
      <c r="ET61" s="51"/>
      <c r="EU61" s="63"/>
      <c r="EV61" s="51"/>
      <c r="EW61" s="63"/>
      <c r="EX61" s="51"/>
      <c r="EY61" s="63"/>
      <c r="EZ61" s="51"/>
      <c r="FA61" s="63"/>
      <c r="FB61" s="51"/>
      <c r="FC61" s="63"/>
      <c r="FD61" s="51"/>
      <c r="FE61" s="63"/>
      <c r="FF61" s="51"/>
      <c r="FG61" s="63"/>
      <c r="FH61" s="51"/>
      <c r="FI61" s="63"/>
      <c r="FJ61" s="51"/>
      <c r="FK61" s="63"/>
      <c r="FL61" s="51"/>
      <c r="FM61" s="63"/>
      <c r="FN61" s="51"/>
      <c r="FO61" s="63"/>
      <c r="FP61" s="51"/>
      <c r="FQ61" s="63"/>
      <c r="FR61" s="51"/>
      <c r="FS61" s="63"/>
      <c r="FT61" s="51"/>
      <c r="FU61" s="63"/>
      <c r="FV61" s="51"/>
      <c r="FW61" s="63"/>
      <c r="FX61" s="51"/>
      <c r="FY61" s="63"/>
      <c r="FZ61" s="51"/>
      <c r="GA61" s="63"/>
      <c r="GB61" s="51"/>
      <c r="GC61" s="63"/>
      <c r="GD61" s="51"/>
      <c r="GE61" s="63"/>
      <c r="GF61" s="51"/>
      <c r="GG61" s="63"/>
      <c r="GH61" s="51"/>
      <c r="GI61" s="63"/>
      <c r="GJ61" s="51"/>
      <c r="GK61" s="63"/>
      <c r="GL61" s="51"/>
      <c r="GM61" s="63"/>
      <c r="GN61" s="51"/>
      <c r="GO61" s="63"/>
      <c r="GP61" s="51"/>
      <c r="GQ61" s="63"/>
      <c r="GR61" s="51"/>
      <c r="GS61" s="63"/>
      <c r="GT61" s="51"/>
      <c r="GU61" s="63"/>
      <c r="GV61" s="51"/>
      <c r="GW61" s="63"/>
      <c r="GX61" s="51"/>
      <c r="GY61" s="63"/>
      <c r="GZ61" s="51"/>
    </row>
    <row r="62" customFormat="false" ht="9" hidden="false" customHeight="true" outlineLevel="0" collapsed="false">
      <c r="A62" s="4"/>
      <c r="B62" s="36"/>
      <c r="C62" s="36"/>
      <c r="D62" s="49"/>
      <c r="E62" s="50"/>
      <c r="H62" s="59"/>
      <c r="I62" s="68"/>
      <c r="J62" s="59"/>
      <c r="K62" s="68"/>
      <c r="L62" s="59"/>
      <c r="M62" s="68"/>
      <c r="N62" s="59"/>
      <c r="O62" s="68"/>
      <c r="P62" s="59"/>
      <c r="Q62" s="68"/>
      <c r="R62" s="59"/>
      <c r="S62" s="68"/>
      <c r="T62" s="59"/>
      <c r="U62" s="68"/>
      <c r="V62" s="59"/>
      <c r="W62" s="68"/>
      <c r="X62" s="59"/>
      <c r="Y62" s="68"/>
      <c r="Z62" s="59"/>
      <c r="AA62" s="68"/>
      <c r="AB62" s="59"/>
      <c r="AC62" s="68"/>
      <c r="AD62" s="59"/>
      <c r="AE62" s="68"/>
      <c r="AF62" s="59"/>
      <c r="AG62" s="68"/>
      <c r="AH62" s="59"/>
      <c r="AI62" s="68"/>
      <c r="AJ62" s="59"/>
      <c r="AK62" s="68"/>
      <c r="AL62" s="59"/>
      <c r="AM62" s="68"/>
      <c r="AN62" s="59"/>
      <c r="AO62" s="68"/>
      <c r="AP62" s="59"/>
      <c r="AQ62" s="68"/>
      <c r="AR62" s="59"/>
      <c r="AS62" s="68"/>
      <c r="AT62" s="59"/>
      <c r="AU62" s="68"/>
      <c r="AV62" s="59"/>
      <c r="AW62" s="68"/>
      <c r="AX62" s="59"/>
      <c r="AY62" s="68"/>
      <c r="AZ62" s="59"/>
      <c r="BA62" s="68"/>
      <c r="BB62" s="59"/>
      <c r="BC62" s="68"/>
      <c r="BD62" s="59"/>
      <c r="BE62" s="68"/>
      <c r="BF62" s="59"/>
      <c r="BG62" s="68"/>
      <c r="BH62" s="59"/>
      <c r="BI62" s="68"/>
      <c r="BJ62" s="59"/>
      <c r="BK62" s="68"/>
      <c r="BL62" s="59"/>
      <c r="BM62" s="68"/>
      <c r="BN62" s="59"/>
      <c r="BO62" s="68"/>
      <c r="BP62" s="59"/>
      <c r="BQ62" s="68"/>
      <c r="BR62" s="59"/>
      <c r="BS62" s="68"/>
      <c r="BT62" s="59"/>
      <c r="BU62" s="68"/>
      <c r="BV62" s="59"/>
      <c r="BW62" s="68"/>
      <c r="BX62" s="59"/>
      <c r="BY62" s="68"/>
      <c r="BZ62" s="59"/>
      <c r="CA62" s="68"/>
      <c r="CB62" s="59"/>
      <c r="CC62" s="68"/>
      <c r="CD62" s="59"/>
      <c r="CE62" s="68"/>
      <c r="CF62" s="59"/>
      <c r="CG62" s="68"/>
      <c r="CH62" s="59"/>
      <c r="CI62" s="68"/>
      <c r="CJ62" s="59"/>
      <c r="CK62" s="68"/>
      <c r="CL62" s="59"/>
      <c r="CM62" s="68"/>
      <c r="CN62" s="59"/>
      <c r="CO62" s="68"/>
      <c r="CP62" s="59"/>
      <c r="CQ62" s="68"/>
      <c r="CR62" s="59"/>
      <c r="CS62" s="68"/>
      <c r="CT62" s="59"/>
      <c r="CU62" s="68"/>
      <c r="CV62" s="59"/>
      <c r="CW62" s="68"/>
      <c r="CX62" s="59"/>
      <c r="CY62" s="68"/>
      <c r="CZ62" s="59"/>
      <c r="DA62" s="68"/>
      <c r="DB62" s="59"/>
      <c r="DC62" s="68"/>
      <c r="DD62" s="59"/>
      <c r="DE62" s="68"/>
      <c r="DF62" s="59"/>
      <c r="DG62" s="68"/>
      <c r="DH62" s="59"/>
      <c r="DI62" s="68"/>
      <c r="DJ62" s="59"/>
      <c r="DK62" s="68"/>
      <c r="DL62" s="59"/>
      <c r="DM62" s="68"/>
      <c r="DN62" s="59"/>
      <c r="DO62" s="68"/>
      <c r="DP62" s="59"/>
      <c r="DQ62" s="68"/>
      <c r="DR62" s="59"/>
      <c r="DS62" s="68"/>
      <c r="DT62" s="59"/>
      <c r="DU62" s="68"/>
      <c r="DV62" s="59"/>
      <c r="DW62" s="68"/>
      <c r="DX62" s="59"/>
      <c r="DY62" s="68"/>
      <c r="DZ62" s="59"/>
      <c r="EA62" s="68"/>
      <c r="EB62" s="59"/>
      <c r="EC62" s="68"/>
      <c r="ED62" s="59"/>
      <c r="EE62" s="68"/>
      <c r="EF62" s="59"/>
      <c r="EG62" s="68"/>
      <c r="EH62" s="59"/>
      <c r="EI62" s="68"/>
      <c r="EJ62" s="59"/>
      <c r="EK62" s="68"/>
      <c r="EL62" s="59"/>
      <c r="EM62" s="68"/>
      <c r="EN62" s="59"/>
      <c r="EO62" s="68"/>
      <c r="EP62" s="59"/>
      <c r="EQ62" s="68"/>
      <c r="ER62" s="59"/>
      <c r="ES62" s="68"/>
      <c r="ET62" s="59"/>
      <c r="EU62" s="68"/>
      <c r="EV62" s="59"/>
      <c r="EW62" s="68"/>
      <c r="EX62" s="59"/>
      <c r="EY62" s="68"/>
      <c r="EZ62" s="59"/>
      <c r="FA62" s="68"/>
      <c r="FB62" s="59"/>
      <c r="FC62" s="68"/>
      <c r="FD62" s="59"/>
      <c r="FE62" s="68"/>
      <c r="FF62" s="59"/>
      <c r="FG62" s="68"/>
      <c r="FH62" s="59"/>
      <c r="FI62" s="68"/>
      <c r="FJ62" s="59"/>
      <c r="FK62" s="68"/>
      <c r="FL62" s="59"/>
      <c r="FM62" s="68"/>
      <c r="FN62" s="59"/>
      <c r="FO62" s="68"/>
      <c r="FP62" s="59"/>
      <c r="FQ62" s="68"/>
      <c r="FR62" s="59"/>
      <c r="FS62" s="68"/>
      <c r="FT62" s="59"/>
      <c r="FU62" s="68"/>
      <c r="FV62" s="59"/>
      <c r="FW62" s="68"/>
      <c r="FX62" s="59"/>
      <c r="FY62" s="68"/>
      <c r="FZ62" s="59"/>
      <c r="GA62" s="68"/>
      <c r="GB62" s="59"/>
      <c r="GC62" s="68"/>
      <c r="GD62" s="59"/>
      <c r="GE62" s="68"/>
      <c r="GF62" s="59"/>
      <c r="GG62" s="68"/>
      <c r="GH62" s="59"/>
      <c r="GI62" s="68"/>
      <c r="GJ62" s="59"/>
      <c r="GK62" s="68"/>
      <c r="GL62" s="59"/>
      <c r="GM62" s="68"/>
      <c r="GN62" s="59"/>
      <c r="GO62" s="68"/>
      <c r="GP62" s="59"/>
      <c r="GQ62" s="68"/>
      <c r="GR62" s="59"/>
      <c r="GS62" s="68"/>
      <c r="GT62" s="59"/>
      <c r="GU62" s="68"/>
      <c r="GV62" s="59"/>
      <c r="GW62" s="68"/>
      <c r="GX62" s="59"/>
      <c r="GY62" s="68"/>
      <c r="GZ62" s="59"/>
    </row>
    <row r="63" customFormat="false" ht="19.5" hidden="false" customHeight="true" outlineLevel="0" collapsed="false">
      <c r="A63" s="54"/>
      <c r="B63" s="55"/>
      <c r="C63" s="55"/>
      <c r="D63" s="56"/>
      <c r="E63" s="57"/>
      <c r="H63" s="47" t="s">
        <v>125</v>
      </c>
      <c r="I63" s="60"/>
      <c r="J63" s="61"/>
      <c r="K63" s="60"/>
      <c r="L63" s="61"/>
      <c r="M63" s="60"/>
      <c r="N63" s="61"/>
      <c r="O63" s="60"/>
      <c r="P63" s="61"/>
      <c r="Q63" s="60"/>
      <c r="R63" s="61"/>
      <c r="S63" s="60"/>
      <c r="T63" s="61"/>
      <c r="U63" s="60"/>
      <c r="V63" s="61"/>
      <c r="W63" s="60"/>
      <c r="X63" s="61"/>
      <c r="Y63" s="60"/>
      <c r="Z63" s="61"/>
      <c r="AA63" s="60"/>
      <c r="AB63" s="61"/>
      <c r="AC63" s="60"/>
      <c r="AD63" s="61"/>
      <c r="AE63" s="60"/>
      <c r="AF63" s="61"/>
      <c r="AG63" s="60"/>
      <c r="AH63" s="61"/>
      <c r="AI63" s="60"/>
      <c r="AJ63" s="61"/>
      <c r="AK63" s="60"/>
      <c r="AL63" s="61"/>
      <c r="AM63" s="60"/>
      <c r="AN63" s="61"/>
      <c r="AO63" s="60"/>
      <c r="AP63" s="61"/>
      <c r="AQ63" s="60"/>
      <c r="AR63" s="61"/>
      <c r="AS63" s="60"/>
      <c r="AT63" s="61"/>
      <c r="AU63" s="60"/>
      <c r="AV63" s="61"/>
      <c r="AW63" s="60"/>
      <c r="AX63" s="61"/>
      <c r="AY63" s="60"/>
      <c r="AZ63" s="61"/>
      <c r="BA63" s="60"/>
      <c r="BB63" s="61"/>
      <c r="BC63" s="60"/>
      <c r="BD63" s="61"/>
      <c r="BE63" s="60"/>
      <c r="BF63" s="61"/>
      <c r="BG63" s="60"/>
      <c r="BH63" s="61"/>
      <c r="BI63" s="60"/>
      <c r="BJ63" s="61"/>
      <c r="BK63" s="60"/>
      <c r="BL63" s="61"/>
      <c r="BM63" s="60"/>
      <c r="BN63" s="61"/>
      <c r="BO63" s="60"/>
      <c r="BP63" s="61"/>
      <c r="BQ63" s="60"/>
      <c r="BR63" s="61"/>
      <c r="BS63" s="60"/>
      <c r="BT63" s="61"/>
      <c r="BU63" s="60"/>
      <c r="BV63" s="61"/>
      <c r="BW63" s="60"/>
      <c r="BX63" s="61"/>
      <c r="BY63" s="60"/>
      <c r="BZ63" s="61"/>
      <c r="CA63" s="60"/>
      <c r="CB63" s="61"/>
      <c r="CC63" s="60"/>
      <c r="CD63" s="61"/>
      <c r="CE63" s="60"/>
      <c r="CF63" s="61"/>
      <c r="CG63" s="60"/>
      <c r="CH63" s="61"/>
      <c r="CI63" s="60"/>
      <c r="CJ63" s="61"/>
      <c r="CK63" s="60"/>
      <c r="CL63" s="61"/>
      <c r="CM63" s="60"/>
      <c r="CN63" s="61"/>
      <c r="CO63" s="60"/>
      <c r="CP63" s="61"/>
      <c r="CQ63" s="60"/>
      <c r="CR63" s="61"/>
      <c r="CS63" s="60"/>
      <c r="CT63" s="61"/>
      <c r="CU63" s="60"/>
      <c r="CV63" s="61"/>
      <c r="CW63" s="60"/>
      <c r="CX63" s="61"/>
      <c r="CY63" s="60"/>
      <c r="CZ63" s="61"/>
      <c r="DA63" s="60"/>
      <c r="DB63" s="61"/>
      <c r="DC63" s="60"/>
      <c r="DD63" s="61"/>
      <c r="DE63" s="60"/>
      <c r="DF63" s="61"/>
      <c r="DG63" s="60"/>
      <c r="DH63" s="61"/>
      <c r="DI63" s="60"/>
      <c r="DJ63" s="61"/>
      <c r="DK63" s="60"/>
      <c r="DL63" s="61"/>
      <c r="DM63" s="60"/>
      <c r="DN63" s="61"/>
      <c r="DO63" s="60"/>
      <c r="DP63" s="61"/>
      <c r="DQ63" s="60"/>
      <c r="DR63" s="61"/>
      <c r="DS63" s="60"/>
      <c r="DT63" s="61"/>
      <c r="DU63" s="60"/>
      <c r="DV63" s="61"/>
      <c r="DW63" s="60"/>
      <c r="DX63" s="61"/>
      <c r="DY63" s="60"/>
      <c r="DZ63" s="61"/>
      <c r="EA63" s="60"/>
      <c r="EB63" s="61"/>
      <c r="EC63" s="60"/>
      <c r="ED63" s="61"/>
      <c r="EE63" s="60"/>
      <c r="EF63" s="61"/>
      <c r="EG63" s="60"/>
      <c r="EH63" s="61"/>
      <c r="EI63" s="60"/>
      <c r="EJ63" s="61"/>
      <c r="EK63" s="60"/>
      <c r="EL63" s="61"/>
      <c r="EM63" s="60"/>
      <c r="EN63" s="61"/>
      <c r="EO63" s="60"/>
      <c r="EP63" s="61"/>
      <c r="EQ63" s="60"/>
      <c r="ER63" s="61"/>
      <c r="ES63" s="60"/>
      <c r="ET63" s="61"/>
      <c r="EU63" s="60"/>
      <c r="EV63" s="61"/>
      <c r="EW63" s="60"/>
      <c r="EX63" s="61"/>
      <c r="EY63" s="60"/>
      <c r="EZ63" s="61"/>
      <c r="FA63" s="60"/>
      <c r="FB63" s="61"/>
      <c r="FC63" s="60"/>
      <c r="FD63" s="61"/>
      <c r="FE63" s="60"/>
      <c r="FF63" s="61"/>
      <c r="FG63" s="60"/>
      <c r="FH63" s="61"/>
      <c r="FI63" s="60"/>
      <c r="FJ63" s="61"/>
      <c r="FK63" s="60"/>
      <c r="FL63" s="61"/>
      <c r="FM63" s="60"/>
      <c r="FN63" s="61"/>
      <c r="FO63" s="60"/>
      <c r="FP63" s="61"/>
      <c r="FQ63" s="60"/>
      <c r="FR63" s="61"/>
      <c r="FS63" s="60"/>
      <c r="FT63" s="61"/>
      <c r="FU63" s="60"/>
      <c r="FV63" s="61"/>
      <c r="FW63" s="60"/>
      <c r="FX63" s="61"/>
      <c r="FY63" s="60"/>
      <c r="FZ63" s="61"/>
      <c r="GA63" s="60"/>
      <c r="GB63" s="61"/>
      <c r="GC63" s="60"/>
      <c r="GD63" s="61"/>
      <c r="GE63" s="60"/>
      <c r="GF63" s="61"/>
      <c r="GG63" s="60"/>
      <c r="GH63" s="61"/>
      <c r="GI63" s="60"/>
      <c r="GJ63" s="61"/>
      <c r="GK63" s="60"/>
      <c r="GL63" s="61"/>
      <c r="GM63" s="60"/>
      <c r="GN63" s="61"/>
      <c r="GO63" s="60"/>
      <c r="GP63" s="61"/>
      <c r="GQ63" s="60"/>
      <c r="GR63" s="61"/>
      <c r="GS63" s="60"/>
      <c r="GT63" s="61"/>
      <c r="GU63" s="60"/>
      <c r="GV63" s="61"/>
      <c r="GW63" s="60"/>
      <c r="GX63" s="61"/>
      <c r="GY63" s="60"/>
      <c r="GZ63" s="61"/>
    </row>
    <row r="64" customFormat="false" ht="15" hidden="false" customHeight="false" outlineLevel="0" collapsed="false">
      <c r="A64" s="4"/>
      <c r="B64" s="36"/>
      <c r="C64" s="36"/>
      <c r="D64" s="49"/>
      <c r="E64" s="50"/>
      <c r="H64" s="11" t="s">
        <v>126</v>
      </c>
      <c r="I64" s="62" t="s">
        <v>127</v>
      </c>
      <c r="J64" s="11" t="s">
        <v>128</v>
      </c>
      <c r="K64" s="62" t="s">
        <v>127</v>
      </c>
      <c r="L64" s="11" t="s">
        <v>128</v>
      </c>
      <c r="M64" s="62" t="s">
        <v>127</v>
      </c>
      <c r="N64" s="11" t="s">
        <v>128</v>
      </c>
      <c r="O64" s="62" t="s">
        <v>127</v>
      </c>
      <c r="P64" s="11" t="s">
        <v>128</v>
      </c>
      <c r="Q64" s="62" t="s">
        <v>127</v>
      </c>
      <c r="R64" s="11" t="s">
        <v>128</v>
      </c>
      <c r="S64" s="62" t="s">
        <v>127</v>
      </c>
      <c r="T64" s="11" t="s">
        <v>128</v>
      </c>
      <c r="U64" s="62" t="s">
        <v>127</v>
      </c>
      <c r="V64" s="11" t="s">
        <v>128</v>
      </c>
      <c r="W64" s="62" t="s">
        <v>127</v>
      </c>
      <c r="X64" s="11" t="s">
        <v>128</v>
      </c>
      <c r="Y64" s="62" t="s">
        <v>127</v>
      </c>
      <c r="Z64" s="11" t="s">
        <v>128</v>
      </c>
      <c r="AA64" s="62" t="s">
        <v>127</v>
      </c>
      <c r="AB64" s="11" t="s">
        <v>128</v>
      </c>
      <c r="AC64" s="62" t="s">
        <v>127</v>
      </c>
      <c r="AD64" s="11" t="s">
        <v>128</v>
      </c>
      <c r="AE64" s="62" t="s">
        <v>127</v>
      </c>
      <c r="AF64" s="11" t="s">
        <v>128</v>
      </c>
      <c r="AG64" s="62" t="s">
        <v>127</v>
      </c>
      <c r="AH64" s="11" t="s">
        <v>128</v>
      </c>
      <c r="AI64" s="62" t="s">
        <v>127</v>
      </c>
      <c r="AJ64" s="11" t="s">
        <v>128</v>
      </c>
      <c r="AK64" s="62" t="s">
        <v>127</v>
      </c>
      <c r="AL64" s="11" t="s">
        <v>128</v>
      </c>
      <c r="AM64" s="62" t="s">
        <v>127</v>
      </c>
      <c r="AN64" s="11" t="s">
        <v>128</v>
      </c>
      <c r="AO64" s="62" t="s">
        <v>127</v>
      </c>
      <c r="AP64" s="11" t="s">
        <v>128</v>
      </c>
      <c r="AQ64" s="62" t="s">
        <v>127</v>
      </c>
      <c r="AR64" s="11" t="s">
        <v>128</v>
      </c>
      <c r="AS64" s="62" t="s">
        <v>127</v>
      </c>
      <c r="AT64" s="11" t="s">
        <v>128</v>
      </c>
      <c r="AU64" s="62" t="s">
        <v>127</v>
      </c>
      <c r="AV64" s="11" t="s">
        <v>128</v>
      </c>
      <c r="AW64" s="62" t="s">
        <v>127</v>
      </c>
      <c r="AX64" s="11" t="s">
        <v>128</v>
      </c>
      <c r="AY64" s="62" t="s">
        <v>127</v>
      </c>
      <c r="AZ64" s="11" t="s">
        <v>128</v>
      </c>
      <c r="BA64" s="62" t="s">
        <v>127</v>
      </c>
      <c r="BB64" s="11" t="s">
        <v>128</v>
      </c>
      <c r="BC64" s="62" t="s">
        <v>127</v>
      </c>
      <c r="BD64" s="11" t="s">
        <v>128</v>
      </c>
      <c r="BE64" s="62" t="s">
        <v>127</v>
      </c>
      <c r="BF64" s="11" t="s">
        <v>128</v>
      </c>
      <c r="BG64" s="62" t="s">
        <v>127</v>
      </c>
      <c r="BH64" s="11" t="s">
        <v>128</v>
      </c>
      <c r="BI64" s="62" t="s">
        <v>127</v>
      </c>
      <c r="BJ64" s="11" t="s">
        <v>128</v>
      </c>
      <c r="BK64" s="62" t="s">
        <v>127</v>
      </c>
      <c r="BL64" s="11" t="s">
        <v>128</v>
      </c>
      <c r="BM64" s="62" t="s">
        <v>127</v>
      </c>
      <c r="BN64" s="11" t="s">
        <v>128</v>
      </c>
      <c r="BO64" s="62" t="s">
        <v>127</v>
      </c>
      <c r="BP64" s="11" t="s">
        <v>128</v>
      </c>
      <c r="BQ64" s="62" t="s">
        <v>127</v>
      </c>
      <c r="BR64" s="11" t="s">
        <v>128</v>
      </c>
      <c r="BS64" s="62" t="s">
        <v>127</v>
      </c>
      <c r="BT64" s="11" t="s">
        <v>128</v>
      </c>
      <c r="BU64" s="62" t="s">
        <v>127</v>
      </c>
      <c r="BV64" s="11" t="s">
        <v>128</v>
      </c>
      <c r="BW64" s="62" t="s">
        <v>127</v>
      </c>
      <c r="BX64" s="11" t="s">
        <v>128</v>
      </c>
      <c r="BY64" s="62" t="s">
        <v>127</v>
      </c>
      <c r="BZ64" s="11" t="s">
        <v>128</v>
      </c>
      <c r="CA64" s="62" t="s">
        <v>127</v>
      </c>
      <c r="CB64" s="11" t="s">
        <v>128</v>
      </c>
      <c r="CC64" s="62" t="s">
        <v>127</v>
      </c>
      <c r="CD64" s="11" t="s">
        <v>128</v>
      </c>
      <c r="CE64" s="62" t="s">
        <v>127</v>
      </c>
      <c r="CF64" s="11" t="s">
        <v>128</v>
      </c>
      <c r="CG64" s="62" t="s">
        <v>127</v>
      </c>
      <c r="CH64" s="11" t="s">
        <v>128</v>
      </c>
      <c r="CI64" s="62" t="s">
        <v>127</v>
      </c>
      <c r="CJ64" s="11" t="s">
        <v>128</v>
      </c>
      <c r="CK64" s="62" t="s">
        <v>127</v>
      </c>
      <c r="CL64" s="11" t="s">
        <v>128</v>
      </c>
      <c r="CM64" s="62" t="s">
        <v>127</v>
      </c>
      <c r="CN64" s="11" t="s">
        <v>128</v>
      </c>
      <c r="CO64" s="62" t="s">
        <v>127</v>
      </c>
      <c r="CP64" s="11" t="s">
        <v>128</v>
      </c>
      <c r="CQ64" s="62" t="s">
        <v>127</v>
      </c>
      <c r="CR64" s="11" t="s">
        <v>128</v>
      </c>
      <c r="CS64" s="62" t="s">
        <v>127</v>
      </c>
      <c r="CT64" s="11" t="s">
        <v>128</v>
      </c>
      <c r="CU64" s="62" t="s">
        <v>127</v>
      </c>
      <c r="CV64" s="11" t="s">
        <v>128</v>
      </c>
      <c r="CW64" s="62" t="s">
        <v>127</v>
      </c>
      <c r="CX64" s="11" t="s">
        <v>128</v>
      </c>
      <c r="CY64" s="62" t="s">
        <v>127</v>
      </c>
      <c r="CZ64" s="11" t="s">
        <v>128</v>
      </c>
      <c r="DA64" s="62" t="s">
        <v>127</v>
      </c>
      <c r="DB64" s="11" t="s">
        <v>128</v>
      </c>
      <c r="DC64" s="62" t="s">
        <v>127</v>
      </c>
      <c r="DD64" s="11" t="s">
        <v>128</v>
      </c>
      <c r="DE64" s="62" t="s">
        <v>127</v>
      </c>
      <c r="DF64" s="11" t="s">
        <v>128</v>
      </c>
      <c r="DG64" s="62" t="s">
        <v>127</v>
      </c>
      <c r="DH64" s="11" t="s">
        <v>128</v>
      </c>
      <c r="DI64" s="62" t="s">
        <v>127</v>
      </c>
      <c r="DJ64" s="11" t="s">
        <v>128</v>
      </c>
      <c r="DK64" s="62" t="s">
        <v>127</v>
      </c>
      <c r="DL64" s="11" t="s">
        <v>128</v>
      </c>
      <c r="DM64" s="62" t="s">
        <v>127</v>
      </c>
      <c r="DN64" s="11" t="s">
        <v>128</v>
      </c>
      <c r="DO64" s="62" t="s">
        <v>127</v>
      </c>
      <c r="DP64" s="11" t="s">
        <v>128</v>
      </c>
      <c r="DQ64" s="62" t="s">
        <v>127</v>
      </c>
      <c r="DR64" s="11" t="s">
        <v>128</v>
      </c>
      <c r="DS64" s="62" t="s">
        <v>127</v>
      </c>
      <c r="DT64" s="11" t="s">
        <v>128</v>
      </c>
      <c r="DU64" s="62" t="s">
        <v>127</v>
      </c>
      <c r="DV64" s="11" t="s">
        <v>128</v>
      </c>
      <c r="DW64" s="62" t="s">
        <v>127</v>
      </c>
      <c r="DX64" s="11" t="s">
        <v>128</v>
      </c>
      <c r="DY64" s="62" t="s">
        <v>127</v>
      </c>
      <c r="DZ64" s="11" t="s">
        <v>128</v>
      </c>
      <c r="EA64" s="62" t="s">
        <v>127</v>
      </c>
      <c r="EB64" s="11" t="s">
        <v>128</v>
      </c>
      <c r="EC64" s="62" t="s">
        <v>127</v>
      </c>
      <c r="ED64" s="11" t="s">
        <v>128</v>
      </c>
      <c r="EE64" s="62" t="s">
        <v>127</v>
      </c>
      <c r="EF64" s="11" t="s">
        <v>128</v>
      </c>
      <c r="EG64" s="62" t="s">
        <v>127</v>
      </c>
      <c r="EH64" s="11" t="s">
        <v>128</v>
      </c>
      <c r="EI64" s="62" t="s">
        <v>127</v>
      </c>
      <c r="EJ64" s="11" t="s">
        <v>128</v>
      </c>
      <c r="EK64" s="62" t="s">
        <v>127</v>
      </c>
      <c r="EL64" s="11" t="s">
        <v>128</v>
      </c>
      <c r="EM64" s="62" t="s">
        <v>127</v>
      </c>
      <c r="EN64" s="11" t="s">
        <v>128</v>
      </c>
      <c r="EO64" s="62" t="s">
        <v>127</v>
      </c>
      <c r="EP64" s="11" t="s">
        <v>128</v>
      </c>
      <c r="EQ64" s="62" t="s">
        <v>127</v>
      </c>
      <c r="ER64" s="11" t="s">
        <v>128</v>
      </c>
      <c r="ES64" s="62" t="s">
        <v>127</v>
      </c>
      <c r="ET64" s="11" t="s">
        <v>128</v>
      </c>
      <c r="EU64" s="62" t="s">
        <v>127</v>
      </c>
      <c r="EV64" s="11" t="s">
        <v>128</v>
      </c>
      <c r="EW64" s="62" t="s">
        <v>127</v>
      </c>
      <c r="EX64" s="11" t="s">
        <v>128</v>
      </c>
      <c r="EY64" s="62" t="s">
        <v>127</v>
      </c>
      <c r="EZ64" s="11" t="s">
        <v>128</v>
      </c>
      <c r="FA64" s="62" t="s">
        <v>127</v>
      </c>
      <c r="FB64" s="11" t="s">
        <v>128</v>
      </c>
      <c r="FC64" s="62" t="s">
        <v>127</v>
      </c>
      <c r="FD64" s="11" t="s">
        <v>128</v>
      </c>
      <c r="FE64" s="62" t="s">
        <v>127</v>
      </c>
      <c r="FF64" s="11" t="s">
        <v>128</v>
      </c>
      <c r="FG64" s="62" t="s">
        <v>127</v>
      </c>
      <c r="FH64" s="11" t="s">
        <v>128</v>
      </c>
      <c r="FI64" s="62" t="s">
        <v>127</v>
      </c>
      <c r="FJ64" s="11" t="s">
        <v>128</v>
      </c>
      <c r="FK64" s="62" t="s">
        <v>127</v>
      </c>
      <c r="FL64" s="11" t="s">
        <v>128</v>
      </c>
      <c r="FM64" s="62" t="s">
        <v>127</v>
      </c>
      <c r="FN64" s="11" t="s">
        <v>128</v>
      </c>
      <c r="FO64" s="62" t="s">
        <v>127</v>
      </c>
      <c r="FP64" s="11" t="s">
        <v>128</v>
      </c>
      <c r="FQ64" s="62" t="s">
        <v>127</v>
      </c>
      <c r="FR64" s="11" t="s">
        <v>128</v>
      </c>
      <c r="FS64" s="62" t="s">
        <v>127</v>
      </c>
      <c r="FT64" s="11" t="s">
        <v>128</v>
      </c>
      <c r="FU64" s="62" t="s">
        <v>127</v>
      </c>
      <c r="FV64" s="11" t="s">
        <v>128</v>
      </c>
      <c r="FW64" s="62" t="s">
        <v>127</v>
      </c>
      <c r="FX64" s="11" t="s">
        <v>128</v>
      </c>
      <c r="FY64" s="62" t="s">
        <v>127</v>
      </c>
      <c r="FZ64" s="11" t="s">
        <v>128</v>
      </c>
      <c r="GA64" s="62" t="s">
        <v>127</v>
      </c>
      <c r="GB64" s="11" t="s">
        <v>128</v>
      </c>
      <c r="GC64" s="62" t="s">
        <v>127</v>
      </c>
      <c r="GD64" s="11" t="s">
        <v>128</v>
      </c>
      <c r="GE64" s="62" t="s">
        <v>127</v>
      </c>
      <c r="GF64" s="11" t="s">
        <v>128</v>
      </c>
      <c r="GG64" s="62" t="s">
        <v>127</v>
      </c>
      <c r="GH64" s="11" t="s">
        <v>128</v>
      </c>
      <c r="GI64" s="62" t="s">
        <v>127</v>
      </c>
      <c r="GJ64" s="11" t="s">
        <v>128</v>
      </c>
      <c r="GK64" s="62" t="s">
        <v>127</v>
      </c>
      <c r="GL64" s="11" t="s">
        <v>128</v>
      </c>
      <c r="GM64" s="62" t="s">
        <v>127</v>
      </c>
      <c r="GN64" s="11" t="s">
        <v>128</v>
      </c>
      <c r="GO64" s="62" t="s">
        <v>127</v>
      </c>
      <c r="GP64" s="11" t="s">
        <v>128</v>
      </c>
      <c r="GQ64" s="62" t="s">
        <v>127</v>
      </c>
      <c r="GR64" s="11" t="s">
        <v>128</v>
      </c>
      <c r="GS64" s="62" t="s">
        <v>127</v>
      </c>
      <c r="GT64" s="11" t="s">
        <v>128</v>
      </c>
      <c r="GU64" s="62" t="s">
        <v>127</v>
      </c>
      <c r="GV64" s="11" t="s">
        <v>128</v>
      </c>
      <c r="GW64" s="62" t="s">
        <v>127</v>
      </c>
      <c r="GX64" s="11" t="s">
        <v>128</v>
      </c>
      <c r="GY64" s="62" t="s">
        <v>127</v>
      </c>
      <c r="GZ64" s="11" t="s">
        <v>128</v>
      </c>
    </row>
    <row r="65" customFormat="false" ht="15" hidden="false" customHeight="false" outlineLevel="0" collapsed="false">
      <c r="A65" s="64"/>
      <c r="B65" s="65"/>
      <c r="C65" s="65"/>
      <c r="D65" s="66"/>
      <c r="E65" s="67"/>
      <c r="H65" s="16" t="s">
        <v>129</v>
      </c>
      <c r="I65" s="63"/>
      <c r="J65" s="51"/>
      <c r="K65" s="63"/>
      <c r="L65" s="51"/>
      <c r="M65" s="63"/>
      <c r="N65" s="51"/>
      <c r="O65" s="63"/>
      <c r="P65" s="51"/>
      <c r="Q65" s="63"/>
      <c r="R65" s="51"/>
      <c r="S65" s="63"/>
      <c r="T65" s="51"/>
      <c r="U65" s="63"/>
      <c r="V65" s="51"/>
      <c r="W65" s="63"/>
      <c r="X65" s="51"/>
      <c r="Y65" s="63"/>
      <c r="Z65" s="51"/>
      <c r="AA65" s="63"/>
      <c r="AB65" s="51"/>
      <c r="AC65" s="63"/>
      <c r="AD65" s="51"/>
      <c r="AE65" s="63"/>
      <c r="AF65" s="51"/>
      <c r="AG65" s="63"/>
      <c r="AH65" s="51"/>
      <c r="AI65" s="63"/>
      <c r="AJ65" s="51"/>
      <c r="AK65" s="63"/>
      <c r="AL65" s="51"/>
      <c r="AM65" s="63"/>
      <c r="AN65" s="51"/>
      <c r="AO65" s="63"/>
      <c r="AP65" s="51"/>
      <c r="AQ65" s="63"/>
      <c r="AR65" s="51"/>
      <c r="AS65" s="63"/>
      <c r="AT65" s="51"/>
      <c r="AU65" s="63"/>
      <c r="AV65" s="51"/>
      <c r="AW65" s="63"/>
      <c r="AX65" s="51"/>
      <c r="AY65" s="63"/>
      <c r="AZ65" s="51"/>
      <c r="BA65" s="63"/>
      <c r="BB65" s="51"/>
      <c r="BC65" s="63"/>
      <c r="BD65" s="51"/>
      <c r="BE65" s="63"/>
      <c r="BF65" s="51"/>
      <c r="BG65" s="63"/>
      <c r="BH65" s="51"/>
      <c r="BI65" s="63"/>
      <c r="BJ65" s="51"/>
      <c r="BK65" s="63"/>
      <c r="BL65" s="51"/>
      <c r="BM65" s="63"/>
      <c r="BN65" s="51"/>
      <c r="BO65" s="63"/>
      <c r="BP65" s="51"/>
      <c r="BQ65" s="63"/>
      <c r="BR65" s="51"/>
      <c r="BS65" s="63"/>
      <c r="BT65" s="51"/>
      <c r="BU65" s="63"/>
      <c r="BV65" s="51"/>
      <c r="BW65" s="63"/>
      <c r="BX65" s="51"/>
      <c r="BY65" s="63"/>
      <c r="BZ65" s="51"/>
      <c r="CA65" s="63"/>
      <c r="CB65" s="51"/>
      <c r="CC65" s="63"/>
      <c r="CD65" s="51"/>
      <c r="CE65" s="63"/>
      <c r="CF65" s="51"/>
      <c r="CG65" s="63"/>
      <c r="CH65" s="51"/>
      <c r="CI65" s="63"/>
      <c r="CJ65" s="51"/>
      <c r="CK65" s="63"/>
      <c r="CL65" s="51"/>
      <c r="CM65" s="63"/>
      <c r="CN65" s="51"/>
      <c r="CO65" s="63"/>
      <c r="CP65" s="51"/>
      <c r="CQ65" s="63"/>
      <c r="CR65" s="51"/>
      <c r="CS65" s="63"/>
      <c r="CT65" s="51"/>
      <c r="CU65" s="63"/>
      <c r="CV65" s="51"/>
      <c r="CW65" s="63"/>
      <c r="CX65" s="51"/>
      <c r="CY65" s="63"/>
      <c r="CZ65" s="51"/>
      <c r="DA65" s="63"/>
      <c r="DB65" s="51"/>
      <c r="DC65" s="63"/>
      <c r="DD65" s="51"/>
      <c r="DE65" s="63"/>
      <c r="DF65" s="51"/>
      <c r="DG65" s="63"/>
      <c r="DH65" s="51"/>
      <c r="DI65" s="63"/>
      <c r="DJ65" s="51"/>
      <c r="DK65" s="63"/>
      <c r="DL65" s="51"/>
      <c r="DM65" s="63"/>
      <c r="DN65" s="51"/>
      <c r="DO65" s="63"/>
      <c r="DP65" s="51"/>
      <c r="DQ65" s="63"/>
      <c r="DR65" s="51"/>
      <c r="DS65" s="63"/>
      <c r="DT65" s="51"/>
      <c r="DU65" s="63"/>
      <c r="DV65" s="51"/>
      <c r="DW65" s="63"/>
      <c r="DX65" s="51"/>
      <c r="DY65" s="63"/>
      <c r="DZ65" s="51"/>
      <c r="EA65" s="63"/>
      <c r="EB65" s="51"/>
      <c r="EC65" s="63"/>
      <c r="ED65" s="51"/>
      <c r="EE65" s="63"/>
      <c r="EF65" s="51"/>
      <c r="EG65" s="63"/>
      <c r="EH65" s="51"/>
      <c r="EI65" s="63"/>
      <c r="EJ65" s="51"/>
      <c r="EK65" s="63"/>
      <c r="EL65" s="51"/>
      <c r="EM65" s="63"/>
      <c r="EN65" s="51"/>
      <c r="EO65" s="63"/>
      <c r="EP65" s="51"/>
      <c r="EQ65" s="63"/>
      <c r="ER65" s="51"/>
      <c r="ES65" s="63"/>
      <c r="ET65" s="51"/>
      <c r="EU65" s="63"/>
      <c r="EV65" s="51"/>
      <c r="EW65" s="63"/>
      <c r="EX65" s="51"/>
      <c r="EY65" s="63"/>
      <c r="EZ65" s="51"/>
      <c r="FA65" s="63"/>
      <c r="FB65" s="51"/>
      <c r="FC65" s="63"/>
      <c r="FD65" s="51"/>
      <c r="FE65" s="63"/>
      <c r="FF65" s="51"/>
      <c r="FG65" s="63"/>
      <c r="FH65" s="51"/>
      <c r="FI65" s="63"/>
      <c r="FJ65" s="51"/>
      <c r="FK65" s="63"/>
      <c r="FL65" s="51"/>
      <c r="FM65" s="63"/>
      <c r="FN65" s="51"/>
      <c r="FO65" s="63"/>
      <c r="FP65" s="51"/>
      <c r="FQ65" s="63"/>
      <c r="FR65" s="51"/>
      <c r="FS65" s="63"/>
      <c r="FT65" s="51"/>
      <c r="FU65" s="63"/>
      <c r="FV65" s="51"/>
      <c r="FW65" s="63"/>
      <c r="FX65" s="51"/>
      <c r="FY65" s="63"/>
      <c r="FZ65" s="51"/>
      <c r="GA65" s="63"/>
      <c r="GB65" s="51"/>
      <c r="GC65" s="63"/>
      <c r="GD65" s="51"/>
      <c r="GE65" s="63"/>
      <c r="GF65" s="51"/>
      <c r="GG65" s="63"/>
      <c r="GH65" s="51"/>
      <c r="GI65" s="63"/>
      <c r="GJ65" s="51"/>
      <c r="GK65" s="63"/>
      <c r="GL65" s="51"/>
      <c r="GM65" s="63"/>
      <c r="GN65" s="51"/>
      <c r="GO65" s="63"/>
      <c r="GP65" s="51"/>
      <c r="GQ65" s="63"/>
      <c r="GR65" s="51"/>
      <c r="GS65" s="63"/>
      <c r="GT65" s="51"/>
      <c r="GU65" s="63"/>
      <c r="GV65" s="51"/>
      <c r="GW65" s="63"/>
      <c r="GX65" s="51"/>
      <c r="GY65" s="63"/>
      <c r="GZ65" s="51"/>
    </row>
    <row r="66" customFormat="false" ht="15" hidden="false" customHeight="false" outlineLevel="0" collapsed="false">
      <c r="A66" s="4"/>
      <c r="B66" s="36"/>
      <c r="C66" s="36"/>
      <c r="D66" s="49"/>
      <c r="E66" s="50"/>
      <c r="H66" s="16" t="s">
        <v>130</v>
      </c>
      <c r="I66" s="63"/>
      <c r="J66" s="51"/>
      <c r="K66" s="63"/>
      <c r="L66" s="51"/>
      <c r="M66" s="63"/>
      <c r="N66" s="51"/>
      <c r="O66" s="63"/>
      <c r="P66" s="51"/>
      <c r="Q66" s="63"/>
      <c r="R66" s="51"/>
      <c r="S66" s="63"/>
      <c r="T66" s="51"/>
      <c r="U66" s="63"/>
      <c r="V66" s="51"/>
      <c r="W66" s="63"/>
      <c r="X66" s="51"/>
      <c r="Y66" s="63"/>
      <c r="Z66" s="51"/>
      <c r="AA66" s="63"/>
      <c r="AB66" s="51"/>
      <c r="AC66" s="63"/>
      <c r="AD66" s="51"/>
      <c r="AE66" s="63"/>
      <c r="AF66" s="51"/>
      <c r="AG66" s="63"/>
      <c r="AH66" s="51"/>
      <c r="AI66" s="63"/>
      <c r="AJ66" s="51"/>
      <c r="AK66" s="63"/>
      <c r="AL66" s="51"/>
      <c r="AM66" s="63"/>
      <c r="AN66" s="51"/>
      <c r="AO66" s="63"/>
      <c r="AP66" s="51"/>
      <c r="AQ66" s="63"/>
      <c r="AR66" s="51"/>
      <c r="AS66" s="63"/>
      <c r="AT66" s="51"/>
      <c r="AU66" s="63"/>
      <c r="AV66" s="51"/>
      <c r="AW66" s="63"/>
      <c r="AX66" s="51"/>
      <c r="AY66" s="63"/>
      <c r="AZ66" s="51"/>
      <c r="BA66" s="63"/>
      <c r="BB66" s="51"/>
      <c r="BC66" s="63"/>
      <c r="BD66" s="51"/>
      <c r="BE66" s="63"/>
      <c r="BF66" s="51"/>
      <c r="BG66" s="63"/>
      <c r="BH66" s="51"/>
      <c r="BI66" s="63"/>
      <c r="BJ66" s="51"/>
      <c r="BK66" s="63"/>
      <c r="BL66" s="51"/>
      <c r="BM66" s="63"/>
      <c r="BN66" s="51"/>
      <c r="BO66" s="63"/>
      <c r="BP66" s="51"/>
      <c r="BQ66" s="63"/>
      <c r="BR66" s="51"/>
      <c r="BS66" s="63"/>
      <c r="BT66" s="51"/>
      <c r="BU66" s="63"/>
      <c r="BV66" s="51"/>
      <c r="BW66" s="63"/>
      <c r="BX66" s="51"/>
      <c r="BY66" s="63"/>
      <c r="BZ66" s="51"/>
      <c r="CA66" s="63"/>
      <c r="CB66" s="51"/>
      <c r="CC66" s="63"/>
      <c r="CD66" s="51"/>
      <c r="CE66" s="63"/>
      <c r="CF66" s="51"/>
      <c r="CG66" s="63"/>
      <c r="CH66" s="51"/>
      <c r="CI66" s="63"/>
      <c r="CJ66" s="51"/>
      <c r="CK66" s="63"/>
      <c r="CL66" s="51"/>
      <c r="CM66" s="63"/>
      <c r="CN66" s="51"/>
      <c r="CO66" s="63"/>
      <c r="CP66" s="51"/>
      <c r="CQ66" s="63"/>
      <c r="CR66" s="51"/>
      <c r="CS66" s="63"/>
      <c r="CT66" s="51"/>
      <c r="CU66" s="63"/>
      <c r="CV66" s="51"/>
      <c r="CW66" s="63"/>
      <c r="CX66" s="51"/>
      <c r="CY66" s="63"/>
      <c r="CZ66" s="51"/>
      <c r="DA66" s="63"/>
      <c r="DB66" s="51"/>
      <c r="DC66" s="63"/>
      <c r="DD66" s="51"/>
      <c r="DE66" s="63"/>
      <c r="DF66" s="51"/>
      <c r="DG66" s="63"/>
      <c r="DH66" s="51"/>
      <c r="DI66" s="63"/>
      <c r="DJ66" s="51"/>
      <c r="DK66" s="63"/>
      <c r="DL66" s="51"/>
      <c r="DM66" s="63"/>
      <c r="DN66" s="51"/>
      <c r="DO66" s="63"/>
      <c r="DP66" s="51"/>
      <c r="DQ66" s="63"/>
      <c r="DR66" s="51"/>
      <c r="DS66" s="63"/>
      <c r="DT66" s="51"/>
      <c r="DU66" s="63"/>
      <c r="DV66" s="51"/>
      <c r="DW66" s="63"/>
      <c r="DX66" s="51"/>
      <c r="DY66" s="63"/>
      <c r="DZ66" s="51"/>
      <c r="EA66" s="63"/>
      <c r="EB66" s="51"/>
      <c r="EC66" s="63"/>
      <c r="ED66" s="51"/>
      <c r="EE66" s="63"/>
      <c r="EF66" s="51"/>
      <c r="EG66" s="63"/>
      <c r="EH66" s="51"/>
      <c r="EI66" s="63"/>
      <c r="EJ66" s="51"/>
      <c r="EK66" s="63"/>
      <c r="EL66" s="51"/>
      <c r="EM66" s="63"/>
      <c r="EN66" s="51"/>
      <c r="EO66" s="63"/>
      <c r="EP66" s="51"/>
      <c r="EQ66" s="63"/>
      <c r="ER66" s="51"/>
      <c r="ES66" s="63"/>
      <c r="ET66" s="51"/>
      <c r="EU66" s="63"/>
      <c r="EV66" s="51"/>
      <c r="EW66" s="63"/>
      <c r="EX66" s="51"/>
      <c r="EY66" s="63"/>
      <c r="EZ66" s="51"/>
      <c r="FA66" s="63"/>
      <c r="FB66" s="51"/>
      <c r="FC66" s="63"/>
      <c r="FD66" s="51"/>
      <c r="FE66" s="63"/>
      <c r="FF66" s="51"/>
      <c r="FG66" s="63"/>
      <c r="FH66" s="51"/>
      <c r="FI66" s="63"/>
      <c r="FJ66" s="51"/>
      <c r="FK66" s="63"/>
      <c r="FL66" s="51"/>
      <c r="FM66" s="63"/>
      <c r="FN66" s="51"/>
      <c r="FO66" s="63"/>
      <c r="FP66" s="51"/>
      <c r="FQ66" s="63"/>
      <c r="FR66" s="51"/>
      <c r="FS66" s="63"/>
      <c r="FT66" s="51"/>
      <c r="FU66" s="63"/>
      <c r="FV66" s="51"/>
      <c r="FW66" s="63"/>
      <c r="FX66" s="51"/>
      <c r="FY66" s="63"/>
      <c r="FZ66" s="51"/>
      <c r="GA66" s="63"/>
      <c r="GB66" s="51"/>
      <c r="GC66" s="63"/>
      <c r="GD66" s="51"/>
      <c r="GE66" s="63"/>
      <c r="GF66" s="51"/>
      <c r="GG66" s="63"/>
      <c r="GH66" s="51"/>
      <c r="GI66" s="63"/>
      <c r="GJ66" s="51"/>
      <c r="GK66" s="63"/>
      <c r="GL66" s="51"/>
      <c r="GM66" s="63"/>
      <c r="GN66" s="51"/>
      <c r="GO66" s="63"/>
      <c r="GP66" s="51"/>
      <c r="GQ66" s="63"/>
      <c r="GR66" s="51"/>
      <c r="GS66" s="63"/>
      <c r="GT66" s="51"/>
      <c r="GU66" s="63"/>
      <c r="GV66" s="51"/>
      <c r="GW66" s="63"/>
      <c r="GX66" s="51"/>
      <c r="GY66" s="63"/>
      <c r="GZ66" s="51"/>
    </row>
    <row r="67" customFormat="false" ht="9" hidden="false" customHeight="true" outlineLevel="0" collapsed="false">
      <c r="A67" s="54"/>
      <c r="B67" s="55"/>
      <c r="C67" s="55"/>
      <c r="D67" s="56"/>
      <c r="E67" s="57"/>
      <c r="H67" s="59"/>
      <c r="I67" s="68"/>
      <c r="J67" s="59"/>
      <c r="K67" s="68"/>
      <c r="L67" s="59"/>
      <c r="M67" s="68"/>
      <c r="N67" s="59"/>
      <c r="O67" s="68"/>
      <c r="P67" s="59"/>
      <c r="Q67" s="68"/>
      <c r="R67" s="59"/>
      <c r="S67" s="68"/>
      <c r="T67" s="59"/>
      <c r="U67" s="68"/>
      <c r="V67" s="59"/>
      <c r="W67" s="68"/>
      <c r="X67" s="59"/>
      <c r="Y67" s="68"/>
      <c r="Z67" s="59"/>
      <c r="AA67" s="68"/>
      <c r="AB67" s="59"/>
      <c r="AC67" s="68"/>
      <c r="AD67" s="59"/>
      <c r="AE67" s="68"/>
      <c r="AF67" s="59"/>
      <c r="AG67" s="68"/>
      <c r="AH67" s="59"/>
      <c r="AI67" s="68"/>
      <c r="AJ67" s="59"/>
      <c r="AK67" s="68"/>
      <c r="AL67" s="59"/>
      <c r="AM67" s="68"/>
      <c r="AN67" s="59"/>
      <c r="AO67" s="68"/>
      <c r="AP67" s="59"/>
      <c r="AQ67" s="68"/>
      <c r="AR67" s="59"/>
      <c r="AS67" s="68"/>
      <c r="AT67" s="59"/>
      <c r="AU67" s="68"/>
      <c r="AV67" s="59"/>
      <c r="AW67" s="68"/>
      <c r="AX67" s="59"/>
      <c r="AY67" s="68"/>
      <c r="AZ67" s="59"/>
      <c r="BA67" s="68"/>
      <c r="BB67" s="59"/>
      <c r="BC67" s="68"/>
      <c r="BD67" s="59"/>
      <c r="BE67" s="68"/>
      <c r="BF67" s="59"/>
      <c r="BG67" s="68"/>
      <c r="BH67" s="59"/>
      <c r="BI67" s="68"/>
      <c r="BJ67" s="59"/>
      <c r="BK67" s="68"/>
      <c r="BL67" s="59"/>
      <c r="BM67" s="68"/>
      <c r="BN67" s="59"/>
      <c r="BO67" s="68"/>
      <c r="BP67" s="59"/>
      <c r="BQ67" s="68"/>
      <c r="BR67" s="59"/>
      <c r="BS67" s="68"/>
      <c r="BT67" s="59"/>
      <c r="BU67" s="68"/>
      <c r="BV67" s="59"/>
      <c r="BW67" s="68"/>
      <c r="BX67" s="59"/>
      <c r="BY67" s="68"/>
      <c r="BZ67" s="59"/>
      <c r="CA67" s="68"/>
      <c r="CB67" s="59"/>
      <c r="CC67" s="68"/>
      <c r="CD67" s="59"/>
      <c r="CE67" s="68"/>
      <c r="CF67" s="59"/>
      <c r="CG67" s="68"/>
      <c r="CH67" s="59"/>
      <c r="CI67" s="68"/>
      <c r="CJ67" s="59"/>
      <c r="CK67" s="68"/>
      <c r="CL67" s="59"/>
      <c r="CM67" s="68"/>
      <c r="CN67" s="59"/>
      <c r="CO67" s="68"/>
      <c r="CP67" s="59"/>
      <c r="CQ67" s="68"/>
      <c r="CR67" s="59"/>
      <c r="CS67" s="68"/>
      <c r="CT67" s="59"/>
      <c r="CU67" s="68"/>
      <c r="CV67" s="59"/>
      <c r="CW67" s="68"/>
      <c r="CX67" s="59"/>
      <c r="CY67" s="68"/>
      <c r="CZ67" s="59"/>
      <c r="DA67" s="68"/>
      <c r="DB67" s="59"/>
      <c r="DC67" s="68"/>
      <c r="DD67" s="59"/>
      <c r="DE67" s="68"/>
      <c r="DF67" s="59"/>
      <c r="DG67" s="68"/>
      <c r="DH67" s="59"/>
      <c r="DI67" s="68"/>
      <c r="DJ67" s="59"/>
      <c r="DK67" s="68"/>
      <c r="DL67" s="59"/>
      <c r="DM67" s="68"/>
      <c r="DN67" s="59"/>
      <c r="DO67" s="68"/>
      <c r="DP67" s="59"/>
      <c r="DQ67" s="68"/>
      <c r="DR67" s="59"/>
      <c r="DS67" s="68"/>
      <c r="DT67" s="59"/>
      <c r="DU67" s="68"/>
      <c r="DV67" s="59"/>
      <c r="DW67" s="68"/>
      <c r="DX67" s="59"/>
      <c r="DY67" s="68"/>
      <c r="DZ67" s="59"/>
      <c r="EA67" s="68"/>
      <c r="EB67" s="59"/>
      <c r="EC67" s="68"/>
      <c r="ED67" s="59"/>
      <c r="EE67" s="68"/>
      <c r="EF67" s="59"/>
      <c r="EG67" s="68"/>
      <c r="EH67" s="59"/>
      <c r="EI67" s="68"/>
      <c r="EJ67" s="59"/>
      <c r="EK67" s="68"/>
      <c r="EL67" s="59"/>
      <c r="EM67" s="68"/>
      <c r="EN67" s="59"/>
      <c r="EO67" s="68"/>
      <c r="EP67" s="59"/>
      <c r="EQ67" s="68"/>
      <c r="ER67" s="59"/>
      <c r="ES67" s="68"/>
      <c r="ET67" s="59"/>
      <c r="EU67" s="68"/>
      <c r="EV67" s="59"/>
      <c r="EW67" s="68"/>
      <c r="EX67" s="59"/>
      <c r="EY67" s="68"/>
      <c r="EZ67" s="59"/>
      <c r="FA67" s="68"/>
      <c r="FB67" s="59"/>
      <c r="FC67" s="68"/>
      <c r="FD67" s="59"/>
      <c r="FE67" s="68"/>
      <c r="FF67" s="59"/>
      <c r="FG67" s="68"/>
      <c r="FH67" s="59"/>
      <c r="FI67" s="68"/>
      <c r="FJ67" s="59"/>
      <c r="FK67" s="68"/>
      <c r="FL67" s="59"/>
      <c r="FM67" s="68"/>
      <c r="FN67" s="59"/>
      <c r="FO67" s="68"/>
      <c r="FP67" s="59"/>
      <c r="FQ67" s="68"/>
      <c r="FR67" s="59"/>
      <c r="FS67" s="68"/>
      <c r="FT67" s="59"/>
      <c r="FU67" s="68"/>
      <c r="FV67" s="59"/>
      <c r="FW67" s="68"/>
      <c r="FX67" s="59"/>
      <c r="FY67" s="68"/>
      <c r="FZ67" s="59"/>
      <c r="GA67" s="68"/>
      <c r="GB67" s="59"/>
      <c r="GC67" s="68"/>
      <c r="GD67" s="59"/>
      <c r="GE67" s="68"/>
      <c r="GF67" s="59"/>
      <c r="GG67" s="68"/>
      <c r="GH67" s="59"/>
      <c r="GI67" s="68"/>
      <c r="GJ67" s="59"/>
      <c r="GK67" s="68"/>
      <c r="GL67" s="59"/>
      <c r="GM67" s="68"/>
      <c r="GN67" s="59"/>
      <c r="GO67" s="68"/>
      <c r="GP67" s="59"/>
      <c r="GQ67" s="68"/>
      <c r="GR67" s="59"/>
      <c r="GS67" s="68"/>
      <c r="GT67" s="59"/>
      <c r="GU67" s="68"/>
      <c r="GV67" s="59"/>
      <c r="GW67" s="68"/>
      <c r="GX67" s="59"/>
      <c r="GY67" s="68"/>
      <c r="GZ67" s="59"/>
    </row>
    <row r="68" customFormat="false" ht="19.5" hidden="false" customHeight="true" outlineLevel="0" collapsed="false">
      <c r="A68" s="4"/>
      <c r="B68" s="36"/>
      <c r="C68" s="36"/>
      <c r="D68" s="49"/>
      <c r="E68" s="50"/>
      <c r="H68" s="47" t="s">
        <v>131</v>
      </c>
      <c r="I68" s="60"/>
      <c r="J68" s="61"/>
      <c r="K68" s="60"/>
      <c r="L68" s="61"/>
      <c r="M68" s="60"/>
      <c r="N68" s="61"/>
      <c r="O68" s="60"/>
      <c r="P68" s="61"/>
      <c r="Q68" s="60"/>
      <c r="R68" s="61"/>
      <c r="S68" s="60"/>
      <c r="T68" s="61"/>
      <c r="U68" s="60"/>
      <c r="V68" s="61"/>
      <c r="W68" s="60"/>
      <c r="X68" s="61"/>
      <c r="Y68" s="60"/>
      <c r="Z68" s="61"/>
      <c r="AA68" s="60"/>
      <c r="AB68" s="61"/>
      <c r="AC68" s="60"/>
      <c r="AD68" s="61"/>
      <c r="AE68" s="60"/>
      <c r="AF68" s="61"/>
      <c r="AG68" s="60"/>
      <c r="AH68" s="61"/>
      <c r="AI68" s="60"/>
      <c r="AJ68" s="61"/>
      <c r="AK68" s="60"/>
      <c r="AL68" s="61"/>
      <c r="AM68" s="60"/>
      <c r="AN68" s="61"/>
      <c r="AO68" s="60"/>
      <c r="AP68" s="61"/>
      <c r="AQ68" s="60"/>
      <c r="AR68" s="61"/>
      <c r="AS68" s="60"/>
      <c r="AT68" s="61"/>
      <c r="AU68" s="60"/>
      <c r="AV68" s="61"/>
      <c r="AW68" s="60"/>
      <c r="AX68" s="61"/>
      <c r="AY68" s="60"/>
      <c r="AZ68" s="61"/>
      <c r="BA68" s="60"/>
      <c r="BB68" s="61"/>
      <c r="BC68" s="60"/>
      <c r="BD68" s="61"/>
      <c r="BE68" s="60"/>
      <c r="BF68" s="61"/>
      <c r="BG68" s="60"/>
      <c r="BH68" s="61"/>
      <c r="BI68" s="60"/>
      <c r="BJ68" s="61"/>
      <c r="BK68" s="60"/>
      <c r="BL68" s="61"/>
      <c r="BM68" s="60"/>
      <c r="BN68" s="61"/>
      <c r="BO68" s="60"/>
      <c r="BP68" s="61"/>
      <c r="BQ68" s="60"/>
      <c r="BR68" s="61"/>
      <c r="BS68" s="60"/>
      <c r="BT68" s="61"/>
      <c r="BU68" s="60"/>
      <c r="BV68" s="61"/>
      <c r="BW68" s="60"/>
      <c r="BX68" s="61"/>
      <c r="BY68" s="60"/>
      <c r="BZ68" s="61"/>
      <c r="CA68" s="60"/>
      <c r="CB68" s="61"/>
      <c r="CC68" s="60"/>
      <c r="CD68" s="61"/>
      <c r="CE68" s="60"/>
      <c r="CF68" s="61"/>
      <c r="CG68" s="60"/>
      <c r="CH68" s="61"/>
      <c r="CI68" s="60"/>
      <c r="CJ68" s="61"/>
      <c r="CK68" s="60"/>
      <c r="CL68" s="61"/>
      <c r="CM68" s="60"/>
      <c r="CN68" s="61"/>
      <c r="CO68" s="60"/>
      <c r="CP68" s="61"/>
      <c r="CQ68" s="60"/>
      <c r="CR68" s="61"/>
      <c r="CS68" s="60"/>
      <c r="CT68" s="61"/>
      <c r="CU68" s="60"/>
      <c r="CV68" s="61"/>
      <c r="CW68" s="60"/>
      <c r="CX68" s="61"/>
      <c r="CY68" s="60"/>
      <c r="CZ68" s="61"/>
      <c r="DA68" s="60"/>
      <c r="DB68" s="61"/>
      <c r="DC68" s="60"/>
      <c r="DD68" s="61"/>
      <c r="DE68" s="60"/>
      <c r="DF68" s="61"/>
      <c r="DG68" s="60"/>
      <c r="DH68" s="61"/>
      <c r="DI68" s="60"/>
      <c r="DJ68" s="61"/>
      <c r="DK68" s="60"/>
      <c r="DL68" s="61"/>
      <c r="DM68" s="60"/>
      <c r="DN68" s="61"/>
      <c r="DO68" s="60"/>
      <c r="DP68" s="61"/>
      <c r="DQ68" s="60"/>
      <c r="DR68" s="61"/>
      <c r="DS68" s="60"/>
      <c r="DT68" s="61"/>
      <c r="DU68" s="60"/>
      <c r="DV68" s="61"/>
      <c r="DW68" s="60"/>
      <c r="DX68" s="61"/>
      <c r="DY68" s="60"/>
      <c r="DZ68" s="61"/>
      <c r="EA68" s="60"/>
      <c r="EB68" s="61"/>
      <c r="EC68" s="60"/>
      <c r="ED68" s="61"/>
      <c r="EE68" s="60"/>
      <c r="EF68" s="61"/>
      <c r="EG68" s="60"/>
      <c r="EH68" s="61"/>
      <c r="EI68" s="60"/>
      <c r="EJ68" s="61"/>
      <c r="EK68" s="60"/>
      <c r="EL68" s="61"/>
      <c r="EM68" s="60"/>
      <c r="EN68" s="61"/>
      <c r="EO68" s="60"/>
      <c r="EP68" s="61"/>
      <c r="EQ68" s="60"/>
      <c r="ER68" s="61"/>
      <c r="ES68" s="60"/>
      <c r="ET68" s="61"/>
      <c r="EU68" s="60"/>
      <c r="EV68" s="61"/>
      <c r="EW68" s="60"/>
      <c r="EX68" s="61"/>
      <c r="EY68" s="60"/>
      <c r="EZ68" s="61"/>
      <c r="FA68" s="60"/>
      <c r="FB68" s="61"/>
      <c r="FC68" s="60"/>
      <c r="FD68" s="61"/>
      <c r="FE68" s="60"/>
      <c r="FF68" s="61"/>
      <c r="FG68" s="60"/>
      <c r="FH68" s="61"/>
      <c r="FI68" s="60"/>
      <c r="FJ68" s="61"/>
      <c r="FK68" s="60"/>
      <c r="FL68" s="61"/>
      <c r="FM68" s="60"/>
      <c r="FN68" s="61"/>
      <c r="FO68" s="60"/>
      <c r="FP68" s="61"/>
      <c r="FQ68" s="60"/>
      <c r="FR68" s="61"/>
      <c r="FS68" s="60"/>
      <c r="FT68" s="61"/>
      <c r="FU68" s="60"/>
      <c r="FV68" s="61"/>
      <c r="FW68" s="60"/>
      <c r="FX68" s="61"/>
      <c r="FY68" s="60"/>
      <c r="FZ68" s="61"/>
      <c r="GA68" s="60"/>
      <c r="GB68" s="61"/>
      <c r="GC68" s="60"/>
      <c r="GD68" s="61"/>
      <c r="GE68" s="60"/>
      <c r="GF68" s="61"/>
      <c r="GG68" s="60"/>
      <c r="GH68" s="61"/>
      <c r="GI68" s="60"/>
      <c r="GJ68" s="61"/>
      <c r="GK68" s="60"/>
      <c r="GL68" s="61"/>
      <c r="GM68" s="60"/>
      <c r="GN68" s="61"/>
      <c r="GO68" s="60"/>
      <c r="GP68" s="61"/>
      <c r="GQ68" s="60"/>
      <c r="GR68" s="61"/>
      <c r="GS68" s="60"/>
      <c r="GT68" s="61"/>
      <c r="GU68" s="60"/>
      <c r="GV68" s="61"/>
      <c r="GW68" s="60"/>
      <c r="GX68" s="61"/>
      <c r="GY68" s="60"/>
      <c r="GZ68" s="61"/>
    </row>
    <row r="69" customFormat="false" ht="15" hidden="false" customHeight="false" outlineLevel="0" collapsed="false">
      <c r="A69" s="54"/>
      <c r="B69" s="55"/>
      <c r="C69" s="55"/>
      <c r="D69" s="56"/>
      <c r="E69" s="57"/>
      <c r="H69" s="11" t="s">
        <v>132</v>
      </c>
      <c r="I69" s="62" t="s">
        <v>133</v>
      </c>
      <c r="J69" s="11" t="s">
        <v>134</v>
      </c>
      <c r="K69" s="62" t="s">
        <v>133</v>
      </c>
      <c r="L69" s="11" t="s">
        <v>134</v>
      </c>
      <c r="M69" s="62" t="s">
        <v>133</v>
      </c>
      <c r="N69" s="11" t="s">
        <v>134</v>
      </c>
      <c r="O69" s="62" t="s">
        <v>133</v>
      </c>
      <c r="P69" s="11" t="s">
        <v>134</v>
      </c>
      <c r="Q69" s="62" t="s">
        <v>133</v>
      </c>
      <c r="R69" s="11" t="s">
        <v>134</v>
      </c>
      <c r="S69" s="62" t="s">
        <v>133</v>
      </c>
      <c r="T69" s="11" t="s">
        <v>134</v>
      </c>
      <c r="U69" s="62" t="s">
        <v>133</v>
      </c>
      <c r="V69" s="11" t="s">
        <v>134</v>
      </c>
      <c r="W69" s="62" t="s">
        <v>133</v>
      </c>
      <c r="X69" s="11" t="s">
        <v>134</v>
      </c>
      <c r="Y69" s="62" t="s">
        <v>133</v>
      </c>
      <c r="Z69" s="11" t="s">
        <v>134</v>
      </c>
      <c r="AA69" s="62" t="s">
        <v>133</v>
      </c>
      <c r="AB69" s="11" t="s">
        <v>134</v>
      </c>
      <c r="AC69" s="62" t="s">
        <v>133</v>
      </c>
      <c r="AD69" s="11" t="s">
        <v>134</v>
      </c>
      <c r="AE69" s="62" t="s">
        <v>133</v>
      </c>
      <c r="AF69" s="11" t="s">
        <v>134</v>
      </c>
      <c r="AG69" s="62" t="s">
        <v>133</v>
      </c>
      <c r="AH69" s="11" t="s">
        <v>134</v>
      </c>
      <c r="AI69" s="62" t="s">
        <v>133</v>
      </c>
      <c r="AJ69" s="11" t="s">
        <v>134</v>
      </c>
      <c r="AK69" s="62" t="s">
        <v>133</v>
      </c>
      <c r="AL69" s="11" t="s">
        <v>134</v>
      </c>
      <c r="AM69" s="62" t="s">
        <v>133</v>
      </c>
      <c r="AN69" s="11" t="s">
        <v>134</v>
      </c>
      <c r="AO69" s="62" t="s">
        <v>133</v>
      </c>
      <c r="AP69" s="11" t="s">
        <v>134</v>
      </c>
      <c r="AQ69" s="62" t="s">
        <v>133</v>
      </c>
      <c r="AR69" s="11" t="s">
        <v>134</v>
      </c>
      <c r="AS69" s="62" t="s">
        <v>133</v>
      </c>
      <c r="AT69" s="11" t="s">
        <v>134</v>
      </c>
      <c r="AU69" s="62" t="s">
        <v>133</v>
      </c>
      <c r="AV69" s="11" t="s">
        <v>134</v>
      </c>
      <c r="AW69" s="62" t="s">
        <v>133</v>
      </c>
      <c r="AX69" s="11" t="s">
        <v>134</v>
      </c>
      <c r="AY69" s="62" t="s">
        <v>133</v>
      </c>
      <c r="AZ69" s="11" t="s">
        <v>134</v>
      </c>
      <c r="BA69" s="62" t="s">
        <v>133</v>
      </c>
      <c r="BB69" s="11" t="s">
        <v>134</v>
      </c>
      <c r="BC69" s="62" t="s">
        <v>133</v>
      </c>
      <c r="BD69" s="11" t="s">
        <v>134</v>
      </c>
      <c r="BE69" s="62" t="s">
        <v>133</v>
      </c>
      <c r="BF69" s="11" t="s">
        <v>134</v>
      </c>
      <c r="BG69" s="62" t="s">
        <v>133</v>
      </c>
      <c r="BH69" s="11" t="s">
        <v>134</v>
      </c>
      <c r="BI69" s="62" t="s">
        <v>133</v>
      </c>
      <c r="BJ69" s="11" t="s">
        <v>134</v>
      </c>
      <c r="BK69" s="62" t="s">
        <v>133</v>
      </c>
      <c r="BL69" s="11" t="s">
        <v>134</v>
      </c>
      <c r="BM69" s="62" t="s">
        <v>133</v>
      </c>
      <c r="BN69" s="11" t="s">
        <v>134</v>
      </c>
      <c r="BO69" s="62" t="s">
        <v>133</v>
      </c>
      <c r="BP69" s="11" t="s">
        <v>134</v>
      </c>
      <c r="BQ69" s="62" t="s">
        <v>133</v>
      </c>
      <c r="BR69" s="11" t="s">
        <v>134</v>
      </c>
      <c r="BS69" s="62" t="s">
        <v>133</v>
      </c>
      <c r="BT69" s="11" t="s">
        <v>134</v>
      </c>
      <c r="BU69" s="62" t="s">
        <v>133</v>
      </c>
      <c r="BV69" s="11" t="s">
        <v>134</v>
      </c>
      <c r="BW69" s="62" t="s">
        <v>133</v>
      </c>
      <c r="BX69" s="11" t="s">
        <v>134</v>
      </c>
      <c r="BY69" s="62" t="s">
        <v>133</v>
      </c>
      <c r="BZ69" s="11" t="s">
        <v>134</v>
      </c>
      <c r="CA69" s="62" t="s">
        <v>133</v>
      </c>
      <c r="CB69" s="11" t="s">
        <v>134</v>
      </c>
      <c r="CC69" s="62" t="s">
        <v>133</v>
      </c>
      <c r="CD69" s="11" t="s">
        <v>134</v>
      </c>
      <c r="CE69" s="62" t="s">
        <v>133</v>
      </c>
      <c r="CF69" s="11" t="s">
        <v>134</v>
      </c>
      <c r="CG69" s="62" t="s">
        <v>133</v>
      </c>
      <c r="CH69" s="11" t="s">
        <v>134</v>
      </c>
      <c r="CI69" s="62" t="s">
        <v>133</v>
      </c>
      <c r="CJ69" s="11" t="s">
        <v>134</v>
      </c>
      <c r="CK69" s="62" t="s">
        <v>133</v>
      </c>
      <c r="CL69" s="11" t="s">
        <v>134</v>
      </c>
      <c r="CM69" s="62" t="s">
        <v>133</v>
      </c>
      <c r="CN69" s="11" t="s">
        <v>134</v>
      </c>
      <c r="CO69" s="62" t="s">
        <v>133</v>
      </c>
      <c r="CP69" s="11" t="s">
        <v>134</v>
      </c>
      <c r="CQ69" s="62" t="s">
        <v>133</v>
      </c>
      <c r="CR69" s="11" t="s">
        <v>134</v>
      </c>
      <c r="CS69" s="62" t="s">
        <v>133</v>
      </c>
      <c r="CT69" s="11" t="s">
        <v>134</v>
      </c>
      <c r="CU69" s="62" t="s">
        <v>133</v>
      </c>
      <c r="CV69" s="11" t="s">
        <v>134</v>
      </c>
      <c r="CW69" s="62" t="s">
        <v>133</v>
      </c>
      <c r="CX69" s="11" t="s">
        <v>134</v>
      </c>
      <c r="CY69" s="62" t="s">
        <v>133</v>
      </c>
      <c r="CZ69" s="11" t="s">
        <v>134</v>
      </c>
      <c r="DA69" s="62" t="s">
        <v>133</v>
      </c>
      <c r="DB69" s="11" t="s">
        <v>134</v>
      </c>
      <c r="DC69" s="62" t="s">
        <v>133</v>
      </c>
      <c r="DD69" s="11" t="s">
        <v>134</v>
      </c>
      <c r="DE69" s="62" t="s">
        <v>133</v>
      </c>
      <c r="DF69" s="11" t="s">
        <v>134</v>
      </c>
      <c r="DG69" s="62" t="s">
        <v>133</v>
      </c>
      <c r="DH69" s="11" t="s">
        <v>134</v>
      </c>
      <c r="DI69" s="62" t="s">
        <v>133</v>
      </c>
      <c r="DJ69" s="11" t="s">
        <v>134</v>
      </c>
      <c r="DK69" s="62" t="s">
        <v>133</v>
      </c>
      <c r="DL69" s="11" t="s">
        <v>134</v>
      </c>
      <c r="DM69" s="62" t="s">
        <v>133</v>
      </c>
      <c r="DN69" s="11" t="s">
        <v>134</v>
      </c>
      <c r="DO69" s="62" t="s">
        <v>133</v>
      </c>
      <c r="DP69" s="11" t="s">
        <v>134</v>
      </c>
      <c r="DQ69" s="62" t="s">
        <v>133</v>
      </c>
      <c r="DR69" s="11" t="s">
        <v>134</v>
      </c>
      <c r="DS69" s="62" t="s">
        <v>133</v>
      </c>
      <c r="DT69" s="11" t="s">
        <v>134</v>
      </c>
      <c r="DU69" s="62" t="s">
        <v>133</v>
      </c>
      <c r="DV69" s="11" t="s">
        <v>134</v>
      </c>
      <c r="DW69" s="62" t="s">
        <v>133</v>
      </c>
      <c r="DX69" s="11" t="s">
        <v>134</v>
      </c>
      <c r="DY69" s="62" t="s">
        <v>133</v>
      </c>
      <c r="DZ69" s="11" t="s">
        <v>134</v>
      </c>
      <c r="EA69" s="62" t="s">
        <v>133</v>
      </c>
      <c r="EB69" s="11" t="s">
        <v>134</v>
      </c>
      <c r="EC69" s="62" t="s">
        <v>133</v>
      </c>
      <c r="ED69" s="11" t="s">
        <v>134</v>
      </c>
      <c r="EE69" s="62" t="s">
        <v>133</v>
      </c>
      <c r="EF69" s="11" t="s">
        <v>134</v>
      </c>
      <c r="EG69" s="62" t="s">
        <v>133</v>
      </c>
      <c r="EH69" s="11" t="s">
        <v>134</v>
      </c>
      <c r="EI69" s="62" t="s">
        <v>133</v>
      </c>
      <c r="EJ69" s="11" t="s">
        <v>134</v>
      </c>
      <c r="EK69" s="62" t="s">
        <v>133</v>
      </c>
      <c r="EL69" s="11" t="s">
        <v>134</v>
      </c>
      <c r="EM69" s="62" t="s">
        <v>133</v>
      </c>
      <c r="EN69" s="11" t="s">
        <v>134</v>
      </c>
      <c r="EO69" s="62" t="s">
        <v>133</v>
      </c>
      <c r="EP69" s="11" t="s">
        <v>134</v>
      </c>
      <c r="EQ69" s="62" t="s">
        <v>133</v>
      </c>
      <c r="ER69" s="11" t="s">
        <v>134</v>
      </c>
      <c r="ES69" s="62" t="s">
        <v>133</v>
      </c>
      <c r="ET69" s="11" t="s">
        <v>134</v>
      </c>
      <c r="EU69" s="62" t="s">
        <v>133</v>
      </c>
      <c r="EV69" s="11" t="s">
        <v>134</v>
      </c>
      <c r="EW69" s="62" t="s">
        <v>133</v>
      </c>
      <c r="EX69" s="11" t="s">
        <v>134</v>
      </c>
      <c r="EY69" s="62" t="s">
        <v>133</v>
      </c>
      <c r="EZ69" s="11" t="s">
        <v>134</v>
      </c>
      <c r="FA69" s="62" t="s">
        <v>133</v>
      </c>
      <c r="FB69" s="11" t="s">
        <v>134</v>
      </c>
      <c r="FC69" s="62" t="s">
        <v>133</v>
      </c>
      <c r="FD69" s="11" t="s">
        <v>134</v>
      </c>
      <c r="FE69" s="62" t="s">
        <v>133</v>
      </c>
      <c r="FF69" s="11" t="s">
        <v>134</v>
      </c>
      <c r="FG69" s="62" t="s">
        <v>133</v>
      </c>
      <c r="FH69" s="11" t="s">
        <v>134</v>
      </c>
      <c r="FI69" s="62" t="s">
        <v>133</v>
      </c>
      <c r="FJ69" s="11" t="s">
        <v>134</v>
      </c>
      <c r="FK69" s="62" t="s">
        <v>133</v>
      </c>
      <c r="FL69" s="11" t="s">
        <v>134</v>
      </c>
      <c r="FM69" s="62" t="s">
        <v>133</v>
      </c>
      <c r="FN69" s="11" t="s">
        <v>134</v>
      </c>
      <c r="FO69" s="62" t="s">
        <v>133</v>
      </c>
      <c r="FP69" s="11" t="s">
        <v>134</v>
      </c>
      <c r="FQ69" s="62" t="s">
        <v>133</v>
      </c>
      <c r="FR69" s="11" t="s">
        <v>134</v>
      </c>
      <c r="FS69" s="62" t="s">
        <v>133</v>
      </c>
      <c r="FT69" s="11" t="s">
        <v>134</v>
      </c>
      <c r="FU69" s="62" t="s">
        <v>133</v>
      </c>
      <c r="FV69" s="11" t="s">
        <v>134</v>
      </c>
      <c r="FW69" s="62" t="s">
        <v>133</v>
      </c>
      <c r="FX69" s="11" t="s">
        <v>134</v>
      </c>
      <c r="FY69" s="62" t="s">
        <v>133</v>
      </c>
      <c r="FZ69" s="11" t="s">
        <v>134</v>
      </c>
      <c r="GA69" s="62" t="s">
        <v>133</v>
      </c>
      <c r="GB69" s="11" t="s">
        <v>134</v>
      </c>
      <c r="GC69" s="62" t="s">
        <v>133</v>
      </c>
      <c r="GD69" s="11" t="s">
        <v>134</v>
      </c>
      <c r="GE69" s="62" t="s">
        <v>133</v>
      </c>
      <c r="GF69" s="11" t="s">
        <v>134</v>
      </c>
      <c r="GG69" s="62" t="s">
        <v>133</v>
      </c>
      <c r="GH69" s="11" t="s">
        <v>134</v>
      </c>
      <c r="GI69" s="62" t="s">
        <v>133</v>
      </c>
      <c r="GJ69" s="11" t="s">
        <v>134</v>
      </c>
      <c r="GK69" s="62" t="s">
        <v>133</v>
      </c>
      <c r="GL69" s="11" t="s">
        <v>134</v>
      </c>
      <c r="GM69" s="62" t="s">
        <v>133</v>
      </c>
      <c r="GN69" s="11" t="s">
        <v>134</v>
      </c>
      <c r="GO69" s="62" t="s">
        <v>133</v>
      </c>
      <c r="GP69" s="11" t="s">
        <v>134</v>
      </c>
      <c r="GQ69" s="62" t="s">
        <v>133</v>
      </c>
      <c r="GR69" s="11" t="s">
        <v>134</v>
      </c>
      <c r="GS69" s="62" t="s">
        <v>133</v>
      </c>
      <c r="GT69" s="11" t="s">
        <v>134</v>
      </c>
      <c r="GU69" s="62" t="s">
        <v>133</v>
      </c>
      <c r="GV69" s="11" t="s">
        <v>134</v>
      </c>
      <c r="GW69" s="62" t="s">
        <v>133</v>
      </c>
      <c r="GX69" s="11" t="s">
        <v>134</v>
      </c>
      <c r="GY69" s="62" t="s">
        <v>133</v>
      </c>
      <c r="GZ69" s="11" t="s">
        <v>134</v>
      </c>
    </row>
    <row r="70" customFormat="false" ht="15" hidden="false" customHeight="false" outlineLevel="0" collapsed="false">
      <c r="A70" s="4"/>
      <c r="B70" s="36"/>
      <c r="C70" s="36"/>
      <c r="D70" s="49"/>
      <c r="E70" s="50"/>
      <c r="H70" s="17" t="s">
        <v>135</v>
      </c>
      <c r="I70" s="74" t="n">
        <v>0</v>
      </c>
      <c r="J70" s="75"/>
      <c r="K70" s="74" t="n">
        <v>0</v>
      </c>
      <c r="L70" s="75"/>
      <c r="M70" s="74" t="n">
        <v>0</v>
      </c>
      <c r="N70" s="75"/>
      <c r="O70" s="74" t="n">
        <v>0</v>
      </c>
      <c r="P70" s="75"/>
      <c r="Q70" s="74" t="n">
        <v>0</v>
      </c>
      <c r="R70" s="75"/>
      <c r="S70" s="74" t="n">
        <v>0</v>
      </c>
      <c r="T70" s="75"/>
      <c r="U70" s="74" t="n">
        <v>0</v>
      </c>
      <c r="V70" s="75"/>
      <c r="W70" s="74" t="n">
        <v>0</v>
      </c>
      <c r="X70" s="75"/>
      <c r="Y70" s="74" t="n">
        <v>0</v>
      </c>
      <c r="Z70" s="75"/>
      <c r="AA70" s="74" t="n">
        <v>0</v>
      </c>
      <c r="AB70" s="75"/>
      <c r="AC70" s="74" t="n">
        <v>0</v>
      </c>
      <c r="AD70" s="75"/>
      <c r="AE70" s="74" t="n">
        <v>0</v>
      </c>
      <c r="AF70" s="75"/>
      <c r="AG70" s="74"/>
      <c r="AH70" s="75"/>
      <c r="AI70" s="74"/>
      <c r="AJ70" s="75"/>
      <c r="AK70" s="74"/>
      <c r="AL70" s="75"/>
      <c r="AM70" s="74"/>
      <c r="AN70" s="75"/>
      <c r="AO70" s="74"/>
      <c r="AP70" s="75"/>
      <c r="AQ70" s="74"/>
      <c r="AR70" s="75"/>
      <c r="AS70" s="74"/>
      <c r="AT70" s="75"/>
      <c r="AU70" s="74"/>
      <c r="AV70" s="75"/>
      <c r="AW70" s="74"/>
      <c r="AX70" s="75"/>
      <c r="AY70" s="74"/>
      <c r="AZ70" s="75"/>
      <c r="BA70" s="74"/>
      <c r="BB70" s="75"/>
      <c r="BC70" s="74"/>
      <c r="BD70" s="75"/>
      <c r="BE70" s="74"/>
      <c r="BF70" s="75"/>
      <c r="BG70" s="74"/>
      <c r="BH70" s="75"/>
      <c r="BI70" s="74"/>
      <c r="BJ70" s="75"/>
      <c r="BK70" s="74"/>
      <c r="BL70" s="75"/>
      <c r="BM70" s="74"/>
      <c r="BN70" s="75"/>
      <c r="BO70" s="74"/>
      <c r="BP70" s="75"/>
      <c r="BQ70" s="74"/>
      <c r="BR70" s="75"/>
      <c r="BS70" s="74"/>
      <c r="BT70" s="75"/>
      <c r="BU70" s="74"/>
      <c r="BV70" s="75"/>
      <c r="BW70" s="74"/>
      <c r="BX70" s="75"/>
      <c r="BY70" s="74"/>
      <c r="BZ70" s="75"/>
      <c r="CA70" s="74"/>
      <c r="CB70" s="75"/>
      <c r="CC70" s="74"/>
      <c r="CD70" s="75"/>
      <c r="CE70" s="74"/>
      <c r="CF70" s="75"/>
      <c r="CG70" s="74"/>
      <c r="CH70" s="75"/>
      <c r="CI70" s="74"/>
      <c r="CJ70" s="75"/>
      <c r="CK70" s="74"/>
      <c r="CL70" s="75"/>
      <c r="CM70" s="74"/>
      <c r="CN70" s="75"/>
      <c r="CO70" s="74"/>
      <c r="CP70" s="75"/>
      <c r="CQ70" s="74"/>
      <c r="CR70" s="75"/>
      <c r="CS70" s="74"/>
      <c r="CT70" s="75"/>
      <c r="CU70" s="74"/>
      <c r="CV70" s="75"/>
      <c r="CW70" s="74"/>
      <c r="CX70" s="75"/>
      <c r="CY70" s="74"/>
      <c r="CZ70" s="75"/>
      <c r="DA70" s="74"/>
      <c r="DB70" s="75"/>
      <c r="DC70" s="74"/>
      <c r="DD70" s="75"/>
      <c r="DE70" s="74"/>
      <c r="DF70" s="75"/>
      <c r="DG70" s="74"/>
      <c r="DH70" s="75"/>
      <c r="DI70" s="74"/>
      <c r="DJ70" s="75"/>
      <c r="DK70" s="74"/>
      <c r="DL70" s="75"/>
      <c r="DM70" s="74"/>
      <c r="DN70" s="75"/>
      <c r="DO70" s="74"/>
      <c r="DP70" s="75"/>
      <c r="DQ70" s="74"/>
      <c r="DR70" s="75"/>
      <c r="DS70" s="74"/>
      <c r="DT70" s="75"/>
      <c r="DU70" s="74"/>
      <c r="DV70" s="75"/>
      <c r="DW70" s="74"/>
      <c r="DX70" s="75"/>
      <c r="DY70" s="74"/>
      <c r="DZ70" s="75"/>
      <c r="EA70" s="74"/>
      <c r="EB70" s="75"/>
      <c r="EC70" s="74"/>
      <c r="ED70" s="75"/>
      <c r="EE70" s="74"/>
      <c r="EF70" s="75"/>
      <c r="EG70" s="74"/>
      <c r="EH70" s="75"/>
      <c r="EI70" s="74"/>
      <c r="EJ70" s="75"/>
      <c r="EK70" s="74"/>
      <c r="EL70" s="75"/>
      <c r="EM70" s="74"/>
      <c r="EN70" s="75"/>
      <c r="EO70" s="74"/>
      <c r="EP70" s="75"/>
      <c r="EQ70" s="74"/>
      <c r="ER70" s="75"/>
      <c r="ES70" s="74"/>
      <c r="ET70" s="75"/>
      <c r="EU70" s="74"/>
      <c r="EV70" s="75"/>
      <c r="EW70" s="74"/>
      <c r="EX70" s="75"/>
      <c r="EY70" s="74"/>
      <c r="EZ70" s="75"/>
      <c r="FA70" s="74"/>
      <c r="FB70" s="75"/>
      <c r="FC70" s="74"/>
      <c r="FD70" s="75"/>
      <c r="FE70" s="74"/>
      <c r="FF70" s="75"/>
      <c r="FG70" s="74"/>
      <c r="FH70" s="75"/>
      <c r="FI70" s="74"/>
      <c r="FJ70" s="75"/>
      <c r="FK70" s="74"/>
      <c r="FL70" s="75"/>
      <c r="FM70" s="74"/>
      <c r="FN70" s="75"/>
      <c r="FO70" s="74"/>
      <c r="FP70" s="75"/>
      <c r="FQ70" s="74"/>
      <c r="FR70" s="75"/>
      <c r="FS70" s="74"/>
      <c r="FT70" s="75"/>
      <c r="FU70" s="74"/>
      <c r="FV70" s="75"/>
      <c r="FW70" s="74"/>
      <c r="FX70" s="75"/>
      <c r="FY70" s="74"/>
      <c r="FZ70" s="75"/>
      <c r="GA70" s="74"/>
      <c r="GB70" s="75"/>
      <c r="GC70" s="74"/>
      <c r="GD70" s="75"/>
      <c r="GE70" s="74"/>
      <c r="GF70" s="75"/>
      <c r="GG70" s="74"/>
      <c r="GH70" s="75"/>
      <c r="GI70" s="74"/>
      <c r="GJ70" s="75"/>
      <c r="GK70" s="74"/>
      <c r="GL70" s="75"/>
      <c r="GM70" s="74"/>
      <c r="GN70" s="75"/>
      <c r="GO70" s="74"/>
      <c r="GP70" s="75"/>
      <c r="GQ70" s="74"/>
      <c r="GR70" s="75"/>
      <c r="GS70" s="74"/>
      <c r="GT70" s="75"/>
      <c r="GU70" s="74"/>
      <c r="GV70" s="75"/>
      <c r="GW70" s="74"/>
      <c r="GX70" s="75"/>
      <c r="GY70" s="74"/>
      <c r="GZ70" s="75"/>
    </row>
    <row r="71" customFormat="false" ht="15" hidden="false" customHeight="false" outlineLevel="0" collapsed="false">
      <c r="A71" s="54"/>
      <c r="B71" s="55"/>
      <c r="C71" s="55"/>
      <c r="D71" s="56"/>
      <c r="E71" s="57"/>
      <c r="H71" s="17" t="s">
        <v>136</v>
      </c>
      <c r="I71" s="74" t="n">
        <v>0</v>
      </c>
      <c r="J71" s="75"/>
      <c r="K71" s="74" t="n">
        <v>0</v>
      </c>
      <c r="L71" s="75"/>
      <c r="M71" s="74" t="n">
        <v>0</v>
      </c>
      <c r="N71" s="75"/>
      <c r="O71" s="74" t="n">
        <v>0</v>
      </c>
      <c r="P71" s="75"/>
      <c r="Q71" s="74" t="n">
        <v>0</v>
      </c>
      <c r="R71" s="75"/>
      <c r="S71" s="74" t="n">
        <v>0</v>
      </c>
      <c r="T71" s="75"/>
      <c r="U71" s="74" t="n">
        <v>0</v>
      </c>
      <c r="V71" s="75"/>
      <c r="W71" s="74" t="n">
        <v>0</v>
      </c>
      <c r="X71" s="75"/>
      <c r="Y71" s="74" t="n">
        <v>0</v>
      </c>
      <c r="Z71" s="75"/>
      <c r="AA71" s="74" t="n">
        <v>0</v>
      </c>
      <c r="AB71" s="75"/>
      <c r="AC71" s="74" t="n">
        <v>0</v>
      </c>
      <c r="AD71" s="75"/>
      <c r="AE71" s="74" t="n">
        <v>0</v>
      </c>
      <c r="AF71" s="75"/>
      <c r="AG71" s="74"/>
      <c r="AH71" s="75"/>
      <c r="AI71" s="74"/>
      <c r="AJ71" s="75"/>
      <c r="AK71" s="74"/>
      <c r="AL71" s="75"/>
      <c r="AM71" s="74"/>
      <c r="AN71" s="75"/>
      <c r="AO71" s="74"/>
      <c r="AP71" s="75"/>
      <c r="AQ71" s="74"/>
      <c r="AR71" s="75"/>
      <c r="AS71" s="74"/>
      <c r="AT71" s="75"/>
      <c r="AU71" s="74"/>
      <c r="AV71" s="75"/>
      <c r="AW71" s="74"/>
      <c r="AX71" s="75"/>
      <c r="AY71" s="74"/>
      <c r="AZ71" s="75"/>
      <c r="BA71" s="74"/>
      <c r="BB71" s="75"/>
      <c r="BC71" s="74"/>
      <c r="BD71" s="75"/>
      <c r="BE71" s="74"/>
      <c r="BF71" s="75"/>
      <c r="BG71" s="74"/>
      <c r="BH71" s="75"/>
      <c r="BI71" s="74"/>
      <c r="BJ71" s="75"/>
      <c r="BK71" s="74"/>
      <c r="BL71" s="75"/>
      <c r="BM71" s="74"/>
      <c r="BN71" s="75"/>
      <c r="BO71" s="74"/>
      <c r="BP71" s="75"/>
      <c r="BQ71" s="74"/>
      <c r="BR71" s="75"/>
      <c r="BS71" s="74"/>
      <c r="BT71" s="75"/>
      <c r="BU71" s="74"/>
      <c r="BV71" s="75"/>
      <c r="BW71" s="74"/>
      <c r="BX71" s="75"/>
      <c r="BY71" s="74"/>
      <c r="BZ71" s="75"/>
      <c r="CA71" s="74"/>
      <c r="CB71" s="75"/>
      <c r="CC71" s="74"/>
      <c r="CD71" s="75"/>
      <c r="CE71" s="74"/>
      <c r="CF71" s="75"/>
      <c r="CG71" s="74"/>
      <c r="CH71" s="75"/>
      <c r="CI71" s="74"/>
      <c r="CJ71" s="75"/>
      <c r="CK71" s="74"/>
      <c r="CL71" s="75"/>
      <c r="CM71" s="74"/>
      <c r="CN71" s="75"/>
      <c r="CO71" s="74"/>
      <c r="CP71" s="75"/>
      <c r="CQ71" s="74"/>
      <c r="CR71" s="75"/>
      <c r="CS71" s="74"/>
      <c r="CT71" s="75"/>
      <c r="CU71" s="74"/>
      <c r="CV71" s="75"/>
      <c r="CW71" s="74"/>
      <c r="CX71" s="75"/>
      <c r="CY71" s="74"/>
      <c r="CZ71" s="75"/>
      <c r="DA71" s="74"/>
      <c r="DB71" s="75"/>
      <c r="DC71" s="74"/>
      <c r="DD71" s="75"/>
      <c r="DE71" s="74"/>
      <c r="DF71" s="75"/>
      <c r="DG71" s="74"/>
      <c r="DH71" s="75"/>
      <c r="DI71" s="74"/>
      <c r="DJ71" s="75"/>
      <c r="DK71" s="74"/>
      <c r="DL71" s="75"/>
      <c r="DM71" s="74"/>
      <c r="DN71" s="75"/>
      <c r="DO71" s="74"/>
      <c r="DP71" s="75"/>
      <c r="DQ71" s="74"/>
      <c r="DR71" s="75"/>
      <c r="DS71" s="74"/>
      <c r="DT71" s="75"/>
      <c r="DU71" s="74"/>
      <c r="DV71" s="75"/>
      <c r="DW71" s="74"/>
      <c r="DX71" s="75"/>
      <c r="DY71" s="74"/>
      <c r="DZ71" s="75"/>
      <c r="EA71" s="74"/>
      <c r="EB71" s="75"/>
      <c r="EC71" s="74"/>
      <c r="ED71" s="75"/>
      <c r="EE71" s="74"/>
      <c r="EF71" s="75"/>
      <c r="EG71" s="74"/>
      <c r="EH71" s="75"/>
      <c r="EI71" s="74"/>
      <c r="EJ71" s="75"/>
      <c r="EK71" s="74"/>
      <c r="EL71" s="75"/>
      <c r="EM71" s="74"/>
      <c r="EN71" s="75"/>
      <c r="EO71" s="74"/>
      <c r="EP71" s="75"/>
      <c r="EQ71" s="74"/>
      <c r="ER71" s="75"/>
      <c r="ES71" s="74"/>
      <c r="ET71" s="75"/>
      <c r="EU71" s="74"/>
      <c r="EV71" s="75"/>
      <c r="EW71" s="74"/>
      <c r="EX71" s="75"/>
      <c r="EY71" s="74"/>
      <c r="EZ71" s="75"/>
      <c r="FA71" s="74"/>
      <c r="FB71" s="75"/>
      <c r="FC71" s="74"/>
      <c r="FD71" s="75"/>
      <c r="FE71" s="74"/>
      <c r="FF71" s="75"/>
      <c r="FG71" s="74"/>
      <c r="FH71" s="75"/>
      <c r="FI71" s="74"/>
      <c r="FJ71" s="75"/>
      <c r="FK71" s="74"/>
      <c r="FL71" s="75"/>
      <c r="FM71" s="74"/>
      <c r="FN71" s="75"/>
      <c r="FO71" s="74"/>
      <c r="FP71" s="75"/>
      <c r="FQ71" s="74"/>
      <c r="FR71" s="75"/>
      <c r="FS71" s="74"/>
      <c r="FT71" s="75"/>
      <c r="FU71" s="74"/>
      <c r="FV71" s="75"/>
      <c r="FW71" s="74"/>
      <c r="FX71" s="75"/>
      <c r="FY71" s="74"/>
      <c r="FZ71" s="75"/>
      <c r="GA71" s="74"/>
      <c r="GB71" s="75"/>
      <c r="GC71" s="74"/>
      <c r="GD71" s="75"/>
      <c r="GE71" s="74"/>
      <c r="GF71" s="75"/>
      <c r="GG71" s="74"/>
      <c r="GH71" s="75"/>
      <c r="GI71" s="74"/>
      <c r="GJ71" s="75"/>
      <c r="GK71" s="74"/>
      <c r="GL71" s="75"/>
      <c r="GM71" s="74"/>
      <c r="GN71" s="75"/>
      <c r="GO71" s="74"/>
      <c r="GP71" s="75"/>
      <c r="GQ71" s="74"/>
      <c r="GR71" s="75"/>
      <c r="GS71" s="74"/>
      <c r="GT71" s="75"/>
      <c r="GU71" s="74"/>
      <c r="GV71" s="75"/>
      <c r="GW71" s="74"/>
      <c r="GX71" s="75"/>
      <c r="GY71" s="74"/>
      <c r="GZ71" s="75"/>
    </row>
    <row r="72" customFormat="false" ht="15" hidden="false" customHeight="false" outlineLevel="0" collapsed="false">
      <c r="A72" s="4"/>
      <c r="B72" s="36"/>
      <c r="C72" s="36"/>
      <c r="D72" s="49"/>
      <c r="E72" s="50"/>
      <c r="H72" s="17" t="s">
        <v>137</v>
      </c>
      <c r="I72" s="74" t="n">
        <v>0</v>
      </c>
      <c r="J72" s="75"/>
      <c r="K72" s="74" t="n">
        <v>0</v>
      </c>
      <c r="L72" s="75"/>
      <c r="M72" s="74" t="n">
        <v>0</v>
      </c>
      <c r="N72" s="75"/>
      <c r="O72" s="74" t="n">
        <v>0</v>
      </c>
      <c r="P72" s="75"/>
      <c r="Q72" s="74" t="n">
        <v>0</v>
      </c>
      <c r="R72" s="75"/>
      <c r="S72" s="74" t="n">
        <v>0</v>
      </c>
      <c r="T72" s="75"/>
      <c r="U72" s="74" t="n">
        <v>0</v>
      </c>
      <c r="V72" s="75"/>
      <c r="W72" s="74" t="n">
        <v>0</v>
      </c>
      <c r="X72" s="75"/>
      <c r="Y72" s="74" t="n">
        <v>0</v>
      </c>
      <c r="Z72" s="75"/>
      <c r="AA72" s="74" t="n">
        <v>0</v>
      </c>
      <c r="AB72" s="75"/>
      <c r="AC72" s="74" t="n">
        <v>0</v>
      </c>
      <c r="AD72" s="75"/>
      <c r="AE72" s="74" t="n">
        <v>0</v>
      </c>
      <c r="AF72" s="75"/>
      <c r="AG72" s="74"/>
      <c r="AH72" s="75"/>
      <c r="AI72" s="74"/>
      <c r="AJ72" s="75"/>
      <c r="AK72" s="74"/>
      <c r="AL72" s="75"/>
      <c r="AM72" s="74"/>
      <c r="AN72" s="75"/>
      <c r="AO72" s="74"/>
      <c r="AP72" s="75"/>
      <c r="AQ72" s="74"/>
      <c r="AR72" s="75"/>
      <c r="AS72" s="74"/>
      <c r="AT72" s="75"/>
      <c r="AU72" s="74"/>
      <c r="AV72" s="75"/>
      <c r="AW72" s="74"/>
      <c r="AX72" s="75"/>
      <c r="AY72" s="74"/>
      <c r="AZ72" s="75"/>
      <c r="BA72" s="74"/>
      <c r="BB72" s="75"/>
      <c r="BC72" s="74"/>
      <c r="BD72" s="75"/>
      <c r="BE72" s="74"/>
      <c r="BF72" s="75"/>
      <c r="BG72" s="74"/>
      <c r="BH72" s="75"/>
      <c r="BI72" s="74"/>
      <c r="BJ72" s="75"/>
      <c r="BK72" s="74"/>
      <c r="BL72" s="75"/>
      <c r="BM72" s="74"/>
      <c r="BN72" s="75"/>
      <c r="BO72" s="74"/>
      <c r="BP72" s="75"/>
      <c r="BQ72" s="74"/>
      <c r="BR72" s="75"/>
      <c r="BS72" s="74"/>
      <c r="BT72" s="75"/>
      <c r="BU72" s="74"/>
      <c r="BV72" s="75"/>
      <c r="BW72" s="74"/>
      <c r="BX72" s="75"/>
      <c r="BY72" s="74"/>
      <c r="BZ72" s="75"/>
      <c r="CA72" s="74"/>
      <c r="CB72" s="75"/>
      <c r="CC72" s="74"/>
      <c r="CD72" s="75"/>
      <c r="CE72" s="74"/>
      <c r="CF72" s="75"/>
      <c r="CG72" s="74"/>
      <c r="CH72" s="75"/>
      <c r="CI72" s="74"/>
      <c r="CJ72" s="75"/>
      <c r="CK72" s="74"/>
      <c r="CL72" s="75"/>
      <c r="CM72" s="74"/>
      <c r="CN72" s="75"/>
      <c r="CO72" s="74"/>
      <c r="CP72" s="75"/>
      <c r="CQ72" s="74"/>
      <c r="CR72" s="75"/>
      <c r="CS72" s="74"/>
      <c r="CT72" s="75"/>
      <c r="CU72" s="74"/>
      <c r="CV72" s="75"/>
      <c r="CW72" s="74"/>
      <c r="CX72" s="75"/>
      <c r="CY72" s="74"/>
      <c r="CZ72" s="75"/>
      <c r="DA72" s="74"/>
      <c r="DB72" s="75"/>
      <c r="DC72" s="74"/>
      <c r="DD72" s="75"/>
      <c r="DE72" s="74"/>
      <c r="DF72" s="75"/>
      <c r="DG72" s="74"/>
      <c r="DH72" s="75"/>
      <c r="DI72" s="74"/>
      <c r="DJ72" s="75"/>
      <c r="DK72" s="74"/>
      <c r="DL72" s="75"/>
      <c r="DM72" s="74"/>
      <c r="DN72" s="75"/>
      <c r="DO72" s="74"/>
      <c r="DP72" s="75"/>
      <c r="DQ72" s="74"/>
      <c r="DR72" s="75"/>
      <c r="DS72" s="74"/>
      <c r="DT72" s="75"/>
      <c r="DU72" s="74"/>
      <c r="DV72" s="75"/>
      <c r="DW72" s="74"/>
      <c r="DX72" s="75"/>
      <c r="DY72" s="74"/>
      <c r="DZ72" s="75"/>
      <c r="EA72" s="74"/>
      <c r="EB72" s="75"/>
      <c r="EC72" s="74"/>
      <c r="ED72" s="75"/>
      <c r="EE72" s="74"/>
      <c r="EF72" s="75"/>
      <c r="EG72" s="74"/>
      <c r="EH72" s="75"/>
      <c r="EI72" s="74"/>
      <c r="EJ72" s="75"/>
      <c r="EK72" s="74"/>
      <c r="EL72" s="75"/>
      <c r="EM72" s="74"/>
      <c r="EN72" s="75"/>
      <c r="EO72" s="74"/>
      <c r="EP72" s="75"/>
      <c r="EQ72" s="74"/>
      <c r="ER72" s="75"/>
      <c r="ES72" s="74"/>
      <c r="ET72" s="75"/>
      <c r="EU72" s="74"/>
      <c r="EV72" s="75"/>
      <c r="EW72" s="74"/>
      <c r="EX72" s="75"/>
      <c r="EY72" s="74"/>
      <c r="EZ72" s="75"/>
      <c r="FA72" s="74"/>
      <c r="FB72" s="75"/>
      <c r="FC72" s="74"/>
      <c r="FD72" s="75"/>
      <c r="FE72" s="74"/>
      <c r="FF72" s="75"/>
      <c r="FG72" s="74"/>
      <c r="FH72" s="75"/>
      <c r="FI72" s="74"/>
      <c r="FJ72" s="75"/>
      <c r="FK72" s="74"/>
      <c r="FL72" s="75"/>
      <c r="FM72" s="74"/>
      <c r="FN72" s="75"/>
      <c r="FO72" s="74"/>
      <c r="FP72" s="75"/>
      <c r="FQ72" s="74"/>
      <c r="FR72" s="75"/>
      <c r="FS72" s="74"/>
      <c r="FT72" s="75"/>
      <c r="FU72" s="74"/>
      <c r="FV72" s="75"/>
      <c r="FW72" s="74"/>
      <c r="FX72" s="75"/>
      <c r="FY72" s="74"/>
      <c r="FZ72" s="75"/>
      <c r="GA72" s="74"/>
      <c r="GB72" s="75"/>
      <c r="GC72" s="74"/>
      <c r="GD72" s="75"/>
      <c r="GE72" s="74"/>
      <c r="GF72" s="75"/>
      <c r="GG72" s="74"/>
      <c r="GH72" s="75"/>
      <c r="GI72" s="74"/>
      <c r="GJ72" s="75"/>
      <c r="GK72" s="74"/>
      <c r="GL72" s="75"/>
      <c r="GM72" s="74"/>
      <c r="GN72" s="75"/>
      <c r="GO72" s="74"/>
      <c r="GP72" s="75"/>
      <c r="GQ72" s="74"/>
      <c r="GR72" s="75"/>
      <c r="GS72" s="74"/>
      <c r="GT72" s="75"/>
      <c r="GU72" s="74"/>
      <c r="GV72" s="75"/>
      <c r="GW72" s="74"/>
      <c r="GX72" s="75"/>
      <c r="GY72" s="74"/>
      <c r="GZ72" s="75"/>
    </row>
    <row r="73" customFormat="false" ht="9" hidden="false" customHeight="true" outlineLevel="0" collapsed="false">
      <c r="A73" s="54"/>
      <c r="B73" s="55"/>
      <c r="C73" s="55"/>
      <c r="D73" s="56"/>
      <c r="E73" s="57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  <c r="BW73" s="59"/>
      <c r="BX73" s="59"/>
      <c r="BY73" s="59"/>
      <c r="BZ73" s="59"/>
      <c r="CA73" s="59"/>
      <c r="CB73" s="59"/>
      <c r="CC73" s="59"/>
      <c r="CD73" s="59"/>
      <c r="CE73" s="59"/>
      <c r="CF73" s="59"/>
      <c r="CG73" s="59"/>
      <c r="CH73" s="59"/>
      <c r="CI73" s="59"/>
      <c r="CJ73" s="59"/>
      <c r="CK73" s="59"/>
      <c r="CL73" s="59"/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  <c r="DB73" s="59"/>
      <c r="DC73" s="59"/>
      <c r="DD73" s="59"/>
      <c r="DE73" s="59"/>
      <c r="DF73" s="59"/>
      <c r="DG73" s="59"/>
      <c r="DH73" s="59"/>
      <c r="DI73" s="59"/>
      <c r="DJ73" s="59"/>
      <c r="DK73" s="59"/>
      <c r="DL73" s="59"/>
      <c r="DM73" s="59"/>
      <c r="DN73" s="59"/>
      <c r="DO73" s="59"/>
      <c r="DP73" s="59"/>
      <c r="DQ73" s="59"/>
      <c r="DR73" s="59"/>
      <c r="DS73" s="59"/>
      <c r="DT73" s="59"/>
      <c r="DU73" s="59"/>
      <c r="DV73" s="59"/>
      <c r="DW73" s="59"/>
      <c r="DX73" s="59"/>
      <c r="DY73" s="59"/>
      <c r="DZ73" s="59"/>
      <c r="EA73" s="59"/>
      <c r="EB73" s="59"/>
      <c r="EC73" s="59"/>
      <c r="ED73" s="59"/>
      <c r="EE73" s="59"/>
      <c r="EF73" s="59"/>
      <c r="EG73" s="59"/>
      <c r="EH73" s="59"/>
      <c r="EI73" s="59"/>
      <c r="EJ73" s="59"/>
      <c r="EK73" s="59"/>
      <c r="EL73" s="59"/>
      <c r="EM73" s="59"/>
      <c r="EN73" s="59"/>
      <c r="EO73" s="59"/>
      <c r="EP73" s="59"/>
      <c r="EQ73" s="59"/>
      <c r="ER73" s="59"/>
      <c r="ES73" s="59"/>
      <c r="ET73" s="59"/>
      <c r="EU73" s="59"/>
      <c r="EV73" s="59"/>
      <c r="EW73" s="59"/>
      <c r="EX73" s="59"/>
      <c r="EY73" s="59"/>
      <c r="EZ73" s="59"/>
      <c r="FA73" s="59"/>
      <c r="FB73" s="59"/>
      <c r="FC73" s="59"/>
      <c r="FD73" s="59"/>
      <c r="FE73" s="59"/>
      <c r="FF73" s="59"/>
      <c r="FG73" s="59"/>
      <c r="FH73" s="59"/>
      <c r="FI73" s="59"/>
      <c r="FJ73" s="59"/>
      <c r="FK73" s="59"/>
      <c r="FL73" s="59"/>
      <c r="FM73" s="59"/>
      <c r="FN73" s="59"/>
      <c r="FO73" s="59"/>
      <c r="FP73" s="59"/>
      <c r="FQ73" s="59"/>
      <c r="FR73" s="59"/>
      <c r="FS73" s="59"/>
      <c r="FT73" s="59"/>
      <c r="FU73" s="59"/>
      <c r="FV73" s="59"/>
      <c r="FW73" s="59"/>
      <c r="FX73" s="59"/>
      <c r="FY73" s="59"/>
      <c r="FZ73" s="59"/>
      <c r="GA73" s="59"/>
      <c r="GB73" s="59"/>
      <c r="GC73" s="59"/>
      <c r="GD73" s="59"/>
      <c r="GE73" s="59"/>
      <c r="GF73" s="59"/>
      <c r="GG73" s="59"/>
      <c r="GH73" s="59"/>
      <c r="GI73" s="59"/>
      <c r="GJ73" s="59"/>
      <c r="GK73" s="59"/>
      <c r="GL73" s="59"/>
      <c r="GM73" s="59"/>
      <c r="GN73" s="59"/>
      <c r="GO73" s="59"/>
      <c r="GP73" s="59"/>
      <c r="GQ73" s="59"/>
      <c r="GR73" s="59"/>
      <c r="GS73" s="59"/>
      <c r="GT73" s="59"/>
      <c r="GU73" s="59"/>
      <c r="GV73" s="59"/>
      <c r="GW73" s="59"/>
      <c r="GX73" s="59"/>
      <c r="GY73" s="59"/>
      <c r="GZ73" s="59"/>
    </row>
    <row r="74" customFormat="false" ht="57.75" hidden="false" customHeight="true" outlineLevel="0" collapsed="false">
      <c r="A74" s="4"/>
      <c r="B74" s="36"/>
      <c r="C74" s="36"/>
      <c r="D74" s="49"/>
      <c r="E74" s="50"/>
      <c r="H74" s="76" t="s">
        <v>138</v>
      </c>
      <c r="I74" s="76"/>
      <c r="J74" s="76"/>
      <c r="K74" s="76"/>
      <c r="L74" s="76"/>
      <c r="M74" s="76"/>
      <c r="N74" s="76"/>
    </row>
    <row r="75" customFormat="false" ht="15" hidden="false" customHeight="false" outlineLevel="0" collapsed="false">
      <c r="A75" s="64"/>
      <c r="B75" s="65"/>
      <c r="C75" s="65"/>
      <c r="D75" s="66"/>
      <c r="E75" s="67"/>
    </row>
    <row r="76" customFormat="false" ht="15" hidden="false" customHeight="false" outlineLevel="0" collapsed="false">
      <c r="A76" s="4"/>
      <c r="B76" s="36"/>
      <c r="C76" s="36"/>
      <c r="D76" s="49"/>
      <c r="E76" s="50"/>
    </row>
    <row r="77" customFormat="false" ht="15" hidden="false" customHeight="false" outlineLevel="0" collapsed="false">
      <c r="A77" s="54"/>
      <c r="B77" s="55"/>
      <c r="C77" s="55"/>
      <c r="D77" s="56"/>
      <c r="E77" s="57"/>
    </row>
    <row r="78" customFormat="false" ht="15" hidden="false" customHeight="false" outlineLevel="0" collapsed="false">
      <c r="A78" s="4"/>
      <c r="B78" s="36"/>
      <c r="C78" s="36"/>
      <c r="D78" s="49"/>
      <c r="E78" s="50"/>
    </row>
    <row r="79" customFormat="false" ht="15" hidden="false" customHeight="false" outlineLevel="0" collapsed="false">
      <c r="A79" s="54"/>
      <c r="B79" s="55"/>
      <c r="C79" s="55"/>
      <c r="D79" s="56"/>
      <c r="E79" s="57"/>
    </row>
    <row r="80" customFormat="false" ht="15" hidden="false" customHeight="false" outlineLevel="0" collapsed="false">
      <c r="A80" s="4"/>
      <c r="B80" s="36"/>
      <c r="C80" s="36"/>
      <c r="D80" s="49"/>
      <c r="E80" s="50"/>
    </row>
    <row r="81" customFormat="false" ht="15" hidden="false" customHeight="false" outlineLevel="0" collapsed="false">
      <c r="A81" s="54"/>
      <c r="B81" s="55"/>
      <c r="C81" s="55"/>
      <c r="D81" s="56"/>
      <c r="E81" s="57"/>
    </row>
    <row r="82" customFormat="false" ht="15" hidden="false" customHeight="false" outlineLevel="0" collapsed="false">
      <c r="A82" s="4"/>
      <c r="B82" s="36"/>
      <c r="C82" s="36"/>
      <c r="D82" s="49"/>
      <c r="E82" s="50"/>
    </row>
    <row r="83" customFormat="false" ht="15" hidden="false" customHeight="false" outlineLevel="0" collapsed="false">
      <c r="A83" s="54"/>
      <c r="B83" s="55"/>
      <c r="C83" s="55"/>
      <c r="D83" s="56"/>
      <c r="E83" s="57"/>
    </row>
    <row r="84" customFormat="false" ht="15" hidden="false" customHeight="false" outlineLevel="0" collapsed="false">
      <c r="A84" s="4"/>
      <c r="B84" s="36"/>
      <c r="C84" s="36"/>
      <c r="D84" s="49"/>
      <c r="E84" s="50"/>
    </row>
    <row r="85" customFormat="false" ht="15" hidden="false" customHeight="false" outlineLevel="0" collapsed="false">
      <c r="A85" s="64"/>
      <c r="B85" s="65"/>
      <c r="C85" s="65"/>
      <c r="D85" s="66"/>
      <c r="E85" s="67"/>
    </row>
    <row r="86" customFormat="false" ht="15" hidden="false" customHeight="false" outlineLevel="0" collapsed="false">
      <c r="A86" s="4"/>
      <c r="B86" s="36"/>
      <c r="C86" s="36"/>
      <c r="D86" s="49"/>
      <c r="E86" s="50"/>
    </row>
    <row r="87" customFormat="false" ht="15" hidden="false" customHeight="false" outlineLevel="0" collapsed="false">
      <c r="A87" s="54"/>
      <c r="B87" s="55"/>
      <c r="C87" s="55"/>
      <c r="D87" s="56"/>
      <c r="E87" s="57"/>
    </row>
    <row r="88" customFormat="false" ht="15" hidden="false" customHeight="false" outlineLevel="0" collapsed="false">
      <c r="A88" s="4"/>
      <c r="B88" s="36"/>
      <c r="C88" s="36"/>
      <c r="D88" s="49"/>
      <c r="E88" s="50"/>
    </row>
    <row r="89" customFormat="false" ht="15" hidden="false" customHeight="false" outlineLevel="0" collapsed="false">
      <c r="A89" s="54"/>
      <c r="B89" s="55"/>
      <c r="C89" s="55"/>
      <c r="D89" s="56"/>
      <c r="E89" s="57"/>
    </row>
    <row r="90" customFormat="false" ht="15" hidden="false" customHeight="false" outlineLevel="0" collapsed="false">
      <c r="A90" s="4"/>
      <c r="B90" s="36"/>
      <c r="C90" s="36"/>
      <c r="D90" s="49"/>
      <c r="E90" s="50"/>
    </row>
    <row r="91" customFormat="false" ht="15" hidden="false" customHeight="false" outlineLevel="0" collapsed="false">
      <c r="A91" s="54"/>
      <c r="B91" s="55"/>
      <c r="C91" s="55"/>
      <c r="D91" s="56"/>
      <c r="E91" s="57"/>
    </row>
    <row r="92" customFormat="false" ht="15" hidden="false" customHeight="false" outlineLevel="0" collapsed="false">
      <c r="A92" s="4"/>
      <c r="B92" s="36"/>
      <c r="C92" s="36"/>
      <c r="D92" s="49"/>
      <c r="E92" s="50"/>
    </row>
    <row r="93" customFormat="false" ht="15" hidden="false" customHeight="false" outlineLevel="0" collapsed="false">
      <c r="A93" s="54"/>
      <c r="B93" s="55"/>
      <c r="C93" s="55"/>
      <c r="D93" s="56"/>
      <c r="E93" s="57"/>
    </row>
    <row r="94" customFormat="false" ht="15" hidden="false" customHeight="false" outlineLevel="0" collapsed="false">
      <c r="A94" s="4"/>
      <c r="B94" s="36"/>
      <c r="C94" s="36"/>
      <c r="D94" s="49"/>
      <c r="E94" s="50"/>
    </row>
    <row r="95" customFormat="false" ht="15" hidden="false" customHeight="false" outlineLevel="0" collapsed="false">
      <c r="A95" s="64"/>
      <c r="B95" s="65"/>
      <c r="C95" s="65"/>
      <c r="D95" s="66"/>
      <c r="E95" s="67"/>
    </row>
    <row r="96" customFormat="false" ht="15" hidden="false" customHeight="false" outlineLevel="0" collapsed="false">
      <c r="A96" s="4"/>
      <c r="B96" s="36"/>
      <c r="C96" s="36"/>
      <c r="D96" s="49"/>
      <c r="E96" s="50"/>
    </row>
    <row r="97" customFormat="false" ht="15" hidden="false" customHeight="false" outlineLevel="0" collapsed="false">
      <c r="A97" s="54"/>
      <c r="B97" s="55"/>
      <c r="C97" s="55"/>
      <c r="D97" s="56"/>
      <c r="E97" s="57"/>
    </row>
    <row r="98" customFormat="false" ht="15" hidden="false" customHeight="false" outlineLevel="0" collapsed="false">
      <c r="A98" s="4"/>
      <c r="B98" s="36"/>
      <c r="C98" s="36"/>
      <c r="D98" s="49"/>
      <c r="E98" s="50"/>
    </row>
    <row r="99" customFormat="false" ht="15" hidden="false" customHeight="false" outlineLevel="0" collapsed="false">
      <c r="A99" s="54"/>
      <c r="B99" s="55"/>
      <c r="C99" s="55"/>
      <c r="D99" s="56"/>
      <c r="E99" s="57"/>
    </row>
    <row r="100" customFormat="false" ht="15" hidden="false" customHeight="false" outlineLevel="0" collapsed="false">
      <c r="A100" s="4"/>
      <c r="B100" s="36"/>
      <c r="C100" s="36"/>
      <c r="D100" s="49"/>
      <c r="E100" s="50"/>
    </row>
    <row r="101" customFormat="false" ht="15" hidden="false" customHeight="false" outlineLevel="0" collapsed="false">
      <c r="A101" s="54"/>
      <c r="B101" s="55"/>
      <c r="C101" s="55"/>
      <c r="D101" s="56"/>
      <c r="E101" s="57"/>
    </row>
    <row r="102" customFormat="false" ht="15" hidden="false" customHeight="false" outlineLevel="0" collapsed="false">
      <c r="A102" s="4"/>
      <c r="B102" s="36"/>
      <c r="C102" s="36"/>
      <c r="D102" s="49"/>
      <c r="E102" s="50"/>
    </row>
    <row r="103" customFormat="false" ht="15" hidden="false" customHeight="false" outlineLevel="0" collapsed="false">
      <c r="A103" s="54"/>
      <c r="B103" s="55"/>
      <c r="C103" s="55"/>
      <c r="D103" s="56"/>
      <c r="E103" s="57"/>
    </row>
    <row r="104" customFormat="false" ht="15" hidden="false" customHeight="false" outlineLevel="0" collapsed="false">
      <c r="A104" s="4"/>
      <c r="B104" s="36"/>
      <c r="C104" s="36"/>
      <c r="D104" s="49"/>
      <c r="E104" s="50"/>
    </row>
    <row r="105" customFormat="false" ht="15" hidden="false" customHeight="false" outlineLevel="0" collapsed="false">
      <c r="A105" s="64"/>
      <c r="B105" s="65"/>
      <c r="C105" s="65"/>
      <c r="D105" s="66"/>
      <c r="E105" s="67"/>
    </row>
  </sheetData>
  <sheetProtection sheet="true"/>
  <mergeCells count="404">
    <mergeCell ref="A1:G1"/>
    <mergeCell ref="A2:G2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CM5:CN5"/>
    <mergeCell ref="CO5:CP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I5:DJ5"/>
    <mergeCell ref="DK5:DL5"/>
    <mergeCell ref="DM5:DN5"/>
    <mergeCell ref="DO5:DP5"/>
    <mergeCell ref="DQ5:DR5"/>
    <mergeCell ref="DS5:DT5"/>
    <mergeCell ref="DU5:DV5"/>
    <mergeCell ref="DW5:DX5"/>
    <mergeCell ref="DY5:DZ5"/>
    <mergeCell ref="EA5:EB5"/>
    <mergeCell ref="EC5:ED5"/>
    <mergeCell ref="EE5:EF5"/>
    <mergeCell ref="EG5:EH5"/>
    <mergeCell ref="EI5:EJ5"/>
    <mergeCell ref="EK5:EL5"/>
    <mergeCell ref="EM5:EN5"/>
    <mergeCell ref="EO5:EP5"/>
    <mergeCell ref="EQ5:ER5"/>
    <mergeCell ref="ES5:ET5"/>
    <mergeCell ref="EU5:EV5"/>
    <mergeCell ref="EW5:EX5"/>
    <mergeCell ref="EY5:EZ5"/>
    <mergeCell ref="FA5:FB5"/>
    <mergeCell ref="FC5:FD5"/>
    <mergeCell ref="FE5:FF5"/>
    <mergeCell ref="FG5:FH5"/>
    <mergeCell ref="FI5:FJ5"/>
    <mergeCell ref="FK5:FL5"/>
    <mergeCell ref="FM5:FN5"/>
    <mergeCell ref="FO5:FP5"/>
    <mergeCell ref="FQ5:FR5"/>
    <mergeCell ref="FS5:FT5"/>
    <mergeCell ref="FU5:FV5"/>
    <mergeCell ref="FW5:FX5"/>
    <mergeCell ref="FY5:FZ5"/>
    <mergeCell ref="GA5:GB5"/>
    <mergeCell ref="GC5:GD5"/>
    <mergeCell ref="GE5:GF5"/>
    <mergeCell ref="GG5:GH5"/>
    <mergeCell ref="GI5:GJ5"/>
    <mergeCell ref="GK5:GL5"/>
    <mergeCell ref="GM5:GN5"/>
    <mergeCell ref="GO5:GP5"/>
    <mergeCell ref="GQ5:GR5"/>
    <mergeCell ref="GS5:GT5"/>
    <mergeCell ref="GU5:GV5"/>
    <mergeCell ref="GW5:GX5"/>
    <mergeCell ref="GY5:GZ5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DS6:DT6"/>
    <mergeCell ref="DU6:DV6"/>
    <mergeCell ref="DW6:DX6"/>
    <mergeCell ref="DY6:DZ6"/>
    <mergeCell ref="EA6:EB6"/>
    <mergeCell ref="EC6:ED6"/>
    <mergeCell ref="EE6:EF6"/>
    <mergeCell ref="EG6:EH6"/>
    <mergeCell ref="EI6:EJ6"/>
    <mergeCell ref="EK6:EL6"/>
    <mergeCell ref="EM6:EN6"/>
    <mergeCell ref="EO6:EP6"/>
    <mergeCell ref="EQ6:ER6"/>
    <mergeCell ref="ES6:ET6"/>
    <mergeCell ref="EU6:EV6"/>
    <mergeCell ref="EW6:EX6"/>
    <mergeCell ref="EY6:EZ6"/>
    <mergeCell ref="FA6:FB6"/>
    <mergeCell ref="FC6:FD6"/>
    <mergeCell ref="FE6:FF6"/>
    <mergeCell ref="FG6:FH6"/>
    <mergeCell ref="FI6:FJ6"/>
    <mergeCell ref="FK6:FL6"/>
    <mergeCell ref="FM6:FN6"/>
    <mergeCell ref="FO6:FP6"/>
    <mergeCell ref="FQ6:FR6"/>
    <mergeCell ref="FS6:FT6"/>
    <mergeCell ref="FU6:FV6"/>
    <mergeCell ref="FW6:FX6"/>
    <mergeCell ref="FY6:FZ6"/>
    <mergeCell ref="GA6:GB6"/>
    <mergeCell ref="GC6:GD6"/>
    <mergeCell ref="GE6:GF6"/>
    <mergeCell ref="GG6:GH6"/>
    <mergeCell ref="GI6:GJ6"/>
    <mergeCell ref="GK6:GL6"/>
    <mergeCell ref="GM6:GN6"/>
    <mergeCell ref="GO6:GP6"/>
    <mergeCell ref="GQ6:GR6"/>
    <mergeCell ref="GS6:GT6"/>
    <mergeCell ref="GU6:GV6"/>
    <mergeCell ref="GW6:GX6"/>
    <mergeCell ref="GY6:GZ6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BS7:BT7"/>
    <mergeCell ref="BU7:BV7"/>
    <mergeCell ref="BW7:BX7"/>
    <mergeCell ref="BY7:BZ7"/>
    <mergeCell ref="CA7:CB7"/>
    <mergeCell ref="CC7:CD7"/>
    <mergeCell ref="CE7:CF7"/>
    <mergeCell ref="CG7:CH7"/>
    <mergeCell ref="CI7:CJ7"/>
    <mergeCell ref="CK7:CL7"/>
    <mergeCell ref="CM7:CN7"/>
    <mergeCell ref="CO7:CP7"/>
    <mergeCell ref="CQ7:CR7"/>
    <mergeCell ref="CS7:CT7"/>
    <mergeCell ref="CU7:CV7"/>
    <mergeCell ref="CW7:CX7"/>
    <mergeCell ref="CY7:CZ7"/>
    <mergeCell ref="DA7:DB7"/>
    <mergeCell ref="DC7:DD7"/>
    <mergeCell ref="DE7:DF7"/>
    <mergeCell ref="DG7:DH7"/>
    <mergeCell ref="DI7:DJ7"/>
    <mergeCell ref="DK7:DL7"/>
    <mergeCell ref="DM7:DN7"/>
    <mergeCell ref="DO7:DP7"/>
    <mergeCell ref="DQ7:DR7"/>
    <mergeCell ref="DS7:DT7"/>
    <mergeCell ref="DU7:DV7"/>
    <mergeCell ref="DW7:DX7"/>
    <mergeCell ref="DY7:DZ7"/>
    <mergeCell ref="EA7:EB7"/>
    <mergeCell ref="EC7:ED7"/>
    <mergeCell ref="EE7:EF7"/>
    <mergeCell ref="EG7:EH7"/>
    <mergeCell ref="EI7:EJ7"/>
    <mergeCell ref="EK7:EL7"/>
    <mergeCell ref="EM7:EN7"/>
    <mergeCell ref="EO7:EP7"/>
    <mergeCell ref="EQ7:ER7"/>
    <mergeCell ref="ES7:ET7"/>
    <mergeCell ref="EU7:EV7"/>
    <mergeCell ref="EW7:EX7"/>
    <mergeCell ref="EY7:EZ7"/>
    <mergeCell ref="FA7:FB7"/>
    <mergeCell ref="FC7:FD7"/>
    <mergeCell ref="FE7:FF7"/>
    <mergeCell ref="FG7:FH7"/>
    <mergeCell ref="FI7:FJ7"/>
    <mergeCell ref="FK7:FL7"/>
    <mergeCell ref="FM7:FN7"/>
    <mergeCell ref="FO7:FP7"/>
    <mergeCell ref="FQ7:FR7"/>
    <mergeCell ref="FS7:FT7"/>
    <mergeCell ref="FU7:FV7"/>
    <mergeCell ref="FW7:FX7"/>
    <mergeCell ref="FY7:FZ7"/>
    <mergeCell ref="GA7:GB7"/>
    <mergeCell ref="GC7:GD7"/>
    <mergeCell ref="GE7:GF7"/>
    <mergeCell ref="GG7:GH7"/>
    <mergeCell ref="GI7:GJ7"/>
    <mergeCell ref="GK7:GL7"/>
    <mergeCell ref="GM7:GN7"/>
    <mergeCell ref="GO7:GP7"/>
    <mergeCell ref="GQ7:GR7"/>
    <mergeCell ref="GS7:GT7"/>
    <mergeCell ref="GU7:GV7"/>
    <mergeCell ref="GW7:GX7"/>
    <mergeCell ref="GY7:GZ7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BO8:BP8"/>
    <mergeCell ref="BQ8:BR8"/>
    <mergeCell ref="BS8:BT8"/>
    <mergeCell ref="BU8:BV8"/>
    <mergeCell ref="BW8:BX8"/>
    <mergeCell ref="BY8:BZ8"/>
    <mergeCell ref="CA8:CB8"/>
    <mergeCell ref="CC8:CD8"/>
    <mergeCell ref="CE8:CF8"/>
    <mergeCell ref="CG8:CH8"/>
    <mergeCell ref="CI8:CJ8"/>
    <mergeCell ref="CK8:CL8"/>
    <mergeCell ref="CM8:CN8"/>
    <mergeCell ref="CO8:CP8"/>
    <mergeCell ref="CQ8:CR8"/>
    <mergeCell ref="CS8:CT8"/>
    <mergeCell ref="CU8:CV8"/>
    <mergeCell ref="CW8:CX8"/>
    <mergeCell ref="CY8:CZ8"/>
    <mergeCell ref="DA8:DB8"/>
    <mergeCell ref="DC8:DD8"/>
    <mergeCell ref="DE8:DF8"/>
    <mergeCell ref="DG8:DH8"/>
    <mergeCell ref="DI8:DJ8"/>
    <mergeCell ref="DK8:DL8"/>
    <mergeCell ref="DM8:DN8"/>
    <mergeCell ref="DO8:DP8"/>
    <mergeCell ref="DQ8:DR8"/>
    <mergeCell ref="DS8:DT8"/>
    <mergeCell ref="DU8:DV8"/>
    <mergeCell ref="DW8:DX8"/>
    <mergeCell ref="DY8:DZ8"/>
    <mergeCell ref="EA8:EB8"/>
    <mergeCell ref="EC8:ED8"/>
    <mergeCell ref="EE8:EF8"/>
    <mergeCell ref="EG8:EH8"/>
    <mergeCell ref="EI8:EJ8"/>
    <mergeCell ref="EK8:EL8"/>
    <mergeCell ref="EM8:EN8"/>
    <mergeCell ref="EO8:EP8"/>
    <mergeCell ref="EQ8:ER8"/>
    <mergeCell ref="ES8:ET8"/>
    <mergeCell ref="EU8:EV8"/>
    <mergeCell ref="EW8:EX8"/>
    <mergeCell ref="EY8:EZ8"/>
    <mergeCell ref="FA8:FB8"/>
    <mergeCell ref="FC8:FD8"/>
    <mergeCell ref="FE8:FF8"/>
    <mergeCell ref="FG8:FH8"/>
    <mergeCell ref="FI8:FJ8"/>
    <mergeCell ref="FK8:FL8"/>
    <mergeCell ref="FM8:FN8"/>
    <mergeCell ref="FO8:FP8"/>
    <mergeCell ref="FQ8:FR8"/>
    <mergeCell ref="FS8:FT8"/>
    <mergeCell ref="FU8:FV8"/>
    <mergeCell ref="FW8:FX8"/>
    <mergeCell ref="FY8:FZ8"/>
    <mergeCell ref="GA8:GB8"/>
    <mergeCell ref="GC8:GD8"/>
    <mergeCell ref="GE8:GF8"/>
    <mergeCell ref="GG8:GH8"/>
    <mergeCell ref="GI8:GJ8"/>
    <mergeCell ref="GK8:GL8"/>
    <mergeCell ref="GM8:GN8"/>
    <mergeCell ref="GO8:GP8"/>
    <mergeCell ref="GQ8:GR8"/>
    <mergeCell ref="GS8:GT8"/>
    <mergeCell ref="GU8:GV8"/>
    <mergeCell ref="GW8:GX8"/>
    <mergeCell ref="GY8:GZ8"/>
    <mergeCell ref="F11:G11"/>
    <mergeCell ref="H74:N74"/>
  </mergeCells>
  <dataValidations count="7">
    <dataValidation allowBlank="true" errorStyle="stop" operator="between" showDropDown="false" showErrorMessage="false" showInputMessage="false" sqref="D6:D105" type="list">
      <formula1>СПИСОК_СТАТУСІВ</formula1>
      <formula2>0</formula2>
    </dataValidation>
    <dataValidation allowBlank="true" error="Введіть справжню дату у діапазоні 2020–2040." errorStyle="stop" errorTitle="Некоректна дата" operator="between" showDropDown="false" showErrorMessage="true" showInputMessage="false" sqref="B6:C105" type="date">
      <formula1>DATE(2020,1,1)</formula1>
      <formula2>DATE(2040,12,31)</formula2>
    </dataValidation>
    <dataValidation allowBlank="true" errorStyle="stop" operator="between" showDropDown="false" showErrorMessage="false" showInputMessage="false" sqref="G9" type="list">
      <formula1>ПРАЙС_ЛИСТИ</formula1>
      <formula2>0</formula2>
    </dataValidation>
    <dataValidation allowBlank="false" error="Крок округлення має бути не менший за 0,01 грн." errorStyle="stop" errorTitle="Крок округлення" operator="greaterThanOrEqual" showDropDown="false" showErrorMessage="true" showInputMessage="false" sqref="G6" type="decimal">
      <formula1>0.01</formula1>
      <formula2>0</formula2>
    </dataValidation>
    <dataValidation allowBlank="false" error="Введіть число від 1 (понеділок) до 7 (неділя)." errorStyle="stop" errorTitle="День тижня" operator="between" showDropDown="false" showErrorMessage="true" showInputMessage="false" sqref="G10" type="whole">
      <formula1>1</formula1>
      <formula2>7</formula2>
    </dataValidation>
    <dataValidation allowBlank="true" error="Допустимі значення: 0 або 1." errorStyle="stop" errorTitle="Перемикач знижки" operator="between" showDropDown="false" showErrorMessage="true" showInputMessage="false" sqref="I70:GZ72" type="list">
      <formula1>"0,1"</formula1>
      <formula2>0</formula2>
    </dataValidation>
    <dataValidation allowBlank="true" error="Ціни не можуть бути відʼємними." errorStyle="stop" errorTitle="Некоректне значення" operator="greaterThanOrEqual" showDropDown="false" showErrorMessage="true" showInputMessage="false" sqref="I12:GZ23 I58:GZ61 I65:GZ66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V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3"/>
    <col collapsed="false" customWidth="true" hidden="false" outlineLevel="0" max="7" min="6" style="0" width="12"/>
    <col collapsed="false" customWidth="true" hidden="false" outlineLevel="0" max="9" min="8" style="0" width="11"/>
    <col collapsed="false" customWidth="true" hidden="false" outlineLevel="0" max="11" min="11" style="0" width="46"/>
    <col collapsed="false" customWidth="true" hidden="false" outlineLevel="0" max="12" min="12" style="0" width="15"/>
    <col collapsed="false" customWidth="true" hidden="false" outlineLevel="0" max="13" min="13" style="0" width="3"/>
    <col collapsed="false" customWidth="true" hidden="true" outlineLevel="0" max="48" min="14" style="0" width="13"/>
  </cols>
  <sheetData>
    <row r="1" customFormat="false" ht="27.75" hidden="false" customHeight="true" outlineLevel="0" collapsed="false">
      <c r="A1" s="1" t="s">
        <v>139</v>
      </c>
      <c r="B1" s="1"/>
      <c r="C1" s="1"/>
      <c r="D1" s="1"/>
      <c r="E1" s="1"/>
      <c r="F1" s="1"/>
      <c r="G1" s="1"/>
      <c r="H1" s="1"/>
      <c r="I1" s="1"/>
      <c r="N1" s="2" t="s">
        <v>140</v>
      </c>
    </row>
    <row r="2" customFormat="false" ht="15" hidden="false" customHeight="false" outlineLevel="0" collapsed="false">
      <c r="P2" s="6" t="n">
        <f aca="false">IFERROR(MATCH($B$3,ПЛ_РЯДОК,0),0)</f>
        <v>5</v>
      </c>
      <c r="AH2" s="6" t="n">
        <f aca="false">IFERROR(MATCH($F$3,ПЛ_РЯДОК,0),0)</f>
        <v>13</v>
      </c>
    </row>
    <row r="3" customFormat="false" ht="15" hidden="false" customHeight="false" outlineLevel="0" collapsed="false">
      <c r="A3" s="3" t="s">
        <v>141</v>
      </c>
      <c r="B3" s="4" t="s">
        <v>2</v>
      </c>
      <c r="C3" s="3" t="s">
        <v>142</v>
      </c>
      <c r="D3" s="4" t="s">
        <v>5</v>
      </c>
      <c r="E3" s="3" t="s">
        <v>143</v>
      </c>
      <c r="F3" s="4" t="s">
        <v>88</v>
      </c>
      <c r="G3" s="3" t="s">
        <v>144</v>
      </c>
      <c r="H3" s="4" t="s">
        <v>5</v>
      </c>
      <c r="K3" s="29" t="s">
        <v>145</v>
      </c>
      <c r="L3" s="29"/>
      <c r="M3" s="29"/>
      <c r="N3" s="6" t="n">
        <f aca="false">IFERROR(MATCH(Прайс!$B$3,ПЛ_РЯДОК,0),0)</f>
        <v>5</v>
      </c>
      <c r="P3" s="6" t="n">
        <f aca="false">IF($B$4="BBSPA",ЗНИЖКА_BBSPA,IFERROR(SUMIFS(ТАРИФИ_ЗНИЖКИ,ТАРИФИ_НАЗВИ,$D$3),0))</f>
        <v>0</v>
      </c>
      <c r="AH3" s="6" t="n">
        <f aca="false">IF($B$4="BBSPA",ЗНИЖКА_BBSPA,IFERROR(SUMIFS(ТАРИФИ_ЗНИЖКИ,ТАРИФИ_НАЗВИ,$H$3),0))</f>
        <v>0</v>
      </c>
    </row>
    <row r="4" customFormat="false" ht="15" hidden="false" customHeight="false" outlineLevel="0" collapsed="false">
      <c r="A4" s="3" t="s">
        <v>7</v>
      </c>
      <c r="B4" s="4" t="s">
        <v>8</v>
      </c>
      <c r="C4" s="3" t="s">
        <v>34</v>
      </c>
      <c r="D4" s="34" t="n">
        <v>2</v>
      </c>
      <c r="E4" s="3" t="s">
        <v>36</v>
      </c>
      <c r="F4" s="34" t="n">
        <v>0</v>
      </c>
      <c r="K4" s="52" t="s">
        <v>146</v>
      </c>
      <c r="L4" s="33" t="n">
        <f aca="false">COUNTIF(КАТЕГОРІЇ,"&lt;&gt;")*2-COUNT(INDEX(БАЗА_ЦІНИ,0,$N$3))-COUNT(INDEX(БАЗА_ЦІНИ,0,$N$3+1))</f>
        <v>0</v>
      </c>
      <c r="P4" s="9" t="n">
        <f aca="false">IF(P$2=0,0,IFERROR(INDEX(ПЕРЕМИКАЧІ,IF($B$4="BBSPA",2,1),P$2),0))</f>
        <v>0</v>
      </c>
      <c r="AH4" s="9" t="n">
        <f aca="false">IF(AH$2=0,0,IFERROR(INDEX(ПЕРЕМИКАЧІ,IF($B$4="BBSPA",2,1),AH$2),0))</f>
        <v>0</v>
      </c>
    </row>
    <row r="5" customFormat="false" ht="27.75" hidden="false" customHeight="true" outlineLevel="0" collapsed="false">
      <c r="A5" s="8" t="s">
        <v>147</v>
      </c>
      <c r="B5" s="8"/>
      <c r="C5" s="8"/>
      <c r="D5" s="8"/>
      <c r="E5" s="8"/>
      <c r="F5" s="8"/>
      <c r="G5" s="8"/>
      <c r="H5" s="8"/>
      <c r="I5" s="8"/>
      <c r="K5" s="52" t="s">
        <v>148</v>
      </c>
      <c r="L5" s="33" t="n">
        <f aca="false">4-COUNT(INDEX(ПАКЕТИ_ЦІНИ,1,$N$3),INDEX(ПАКЕТИ_ЦІНИ,1,$N$3+1),INDEX(ПАКЕТИ_ЦІНИ,2,$N$3),INDEX(ПАКЕТИ_ЦІНИ,2,$N$3+1))</f>
        <v>0</v>
      </c>
      <c r="N5" s="6" t="n">
        <f aca="false">IF(OR($B$4="BB",$B$4="BBSPA",$B$4="ROSPABB"),1,0)</f>
        <v>0</v>
      </c>
      <c r="P5" s="9" t="n">
        <f aca="false">IF(P$2=0,0,IFERROR(INDEX(ПЕРЕМИКАЧІ,3,P$2),0))</f>
        <v>0</v>
      </c>
      <c r="AH5" s="9" t="n">
        <f aca="false">IF(AH$2=0,0,IFERROR(INDEX(ПЕРЕМИКАЧІ,3,AH$2),0))</f>
        <v>0</v>
      </c>
    </row>
    <row r="6" customFormat="false" ht="33.75" hidden="false" customHeight="true" outlineLevel="0" collapsed="false">
      <c r="A6" s="11" t="s">
        <v>14</v>
      </c>
      <c r="B6" s="11" t="s">
        <v>149</v>
      </c>
      <c r="C6" s="11" t="s">
        <v>150</v>
      </c>
      <c r="D6" s="11" t="s">
        <v>151</v>
      </c>
      <c r="E6" s="11" t="s">
        <v>152</v>
      </c>
      <c r="F6" s="11" t="s">
        <v>153</v>
      </c>
      <c r="G6" s="11" t="s">
        <v>154</v>
      </c>
      <c r="H6" s="11" t="s">
        <v>155</v>
      </c>
      <c r="I6" s="11" t="s">
        <v>156</v>
      </c>
      <c r="K6" s="52" t="s">
        <v>157</v>
      </c>
      <c r="L6" s="33" t="n">
        <f aca="false">SUMPRODUCT((ПРАЙС_ЛИСТИ&lt;&gt;"")*(COUNTIF(ПРАЙС_ЛИСТИ,ПРАЙС_ЛИСТИ&amp;"")&gt;1))</f>
        <v>0</v>
      </c>
      <c r="N6" s="6" t="str">
        <f aca="false">IF($N$5=0,"",IF($B$4="ROSPABB","BB",$B$4))</f>
        <v/>
      </c>
    </row>
    <row r="7" customFormat="false" ht="15" hidden="false" customHeight="false" outlineLevel="0" collapsed="false">
      <c r="A7" s="16" t="str">
        <f aca="false">IF('Довідник категорій'!B5="","",'Довідник категорій'!B5)</f>
        <v>Classic Chalet</v>
      </c>
      <c r="B7" s="35" t="n">
        <f aca="false">IF(OR(AC7=0,($D$4+$F$4)=0,($D$4+$F$4)&gt;R7,($D$4+$F$4)&lt;T7),"",ROUND(P7*(1-P$3)/ОКРУГЛЕННЯ,0)*ОКРУГЛЕННЯ+(MAX(0,$D$4-S7)*U7+(MAX(0,($D$4+$F$4)-S7)-MAX(0,$D$4-S7))*V7)*(1-P$3)+($D$4*W7+$F$4*X7)*(1-P$3*P$4)+AA7*(1-P$3*P$5))</f>
        <v>4200</v>
      </c>
      <c r="C7" s="35" t="n">
        <f aca="false">IF(OR(AD7=0,($D$4+$F$4)=0,($D$4+$F$4)&gt;R7,($D$4+$F$4)&lt;T7),"",ROUND(Q7*(1-P$3)/ОКРУГЛЕННЯ,0)*ОКРУГЛЕННЯ+(MAX(0,$D$4-S7)*U7+(MAX(0,($D$4+$F$4)-S7)-MAX(0,$D$4-S7))*V7)*(1-P$3)+($D$4*Y7+$F$4*Z7)*(1-P$3*P$4)+AB7*(1-P$3*P$5))</f>
        <v>4700</v>
      </c>
      <c r="D7" s="35" t="n">
        <f aca="false">IF(OR(AU7=0,($D$4+$F$4)=0,($D$4+$F$4)&gt;AJ7,($D$4+$F$4)&lt;AL7),"",ROUND(AH7*(1-AH$3)/ОКРУГЛЕННЯ,0)*ОКРУГЛЕННЯ+(MAX(0,$D$4-AK7)*AM7+(MAX(0,($D$4+$F$4)-AK7)-MAX(0,$D$4-AK7))*AN7)*(1-AH$3)+($D$4*AO7+$F$4*AP7)*(1-AH$3*AH$4)+AS7*(1-AH$3*AH$5))</f>
        <v>4800</v>
      </c>
      <c r="E7" s="35" t="n">
        <f aca="false">IF(OR(AV7=0,($D$4+$F$4)=0,($D$4+$F$4)&gt;AJ7,($D$4+$F$4)&lt;AL7),"",ROUND(AI7*(1-AH$3)/ОКРУГЛЕННЯ,0)*ОКРУГЛЕННЯ+(MAX(0,$D$4-AK7)*AM7+(MAX(0,($D$4+$F$4)-AK7)-MAX(0,$D$4-AK7))*AN7)*(1-AH$3)+($D$4*AQ7+$F$4*AR7)*(1-AH$3*AH$4)+AT7*(1-AH$3*AH$5))</f>
        <v>5300</v>
      </c>
      <c r="F7" s="35" t="n">
        <f aca="false">IF(OR(B7="",D7=""),"",D7-B7)</f>
        <v>600</v>
      </c>
      <c r="G7" s="35" t="n">
        <f aca="false">IF(OR(C7="",E7=""),"",E7-C7)</f>
        <v>600</v>
      </c>
      <c r="H7" s="77" t="n">
        <f aca="false">IF(OR(B7="",D7="",B7=0),"",D7/B7-1)</f>
        <v>0.142857142857143</v>
      </c>
      <c r="I7" s="77" t="n">
        <f aca="false">IF(OR(C7="",E7="",C7=0),"",E7/C7-1)</f>
        <v>0.127659574468085</v>
      </c>
      <c r="N7" s="6" t="n">
        <f aca="false">IF(OR($B$4="ROSPA",$B$4="ROSPABB"),1,0)</f>
        <v>0</v>
      </c>
      <c r="P7" s="22" t="n">
        <f aca="false">IF(OR(P$2=0,$A7=""),0,IFERROR(INDEX(БАЗА_ЦІНИ,MATCH($A7,БАЗА_КАТ,0),P$2),0))</f>
        <v>4200</v>
      </c>
      <c r="Q7" s="22" t="n">
        <f aca="false">IF(OR(P$2=0,$A7=""),0,IFERROR(INDEX(БАЗА_ЦІНИ,MATCH($A7,БАЗА_КАТ,0),P$2+1),0))</f>
        <v>4700</v>
      </c>
      <c r="R7" s="9" t="n">
        <f aca="false">IF($A7="",0,IFERROR(INDEX(ДОВ_МАКС,MATCH($A7,КАТЕГОРІЇ,0)),0))</f>
        <v>3</v>
      </c>
      <c r="S7" s="9" t="n">
        <f aca="false">IF($A7="",0,IFERROR(INDEX(ДОВ_ВКЛ,MATCH($A7,КАТЕГОРІЇ,0)),0))</f>
        <v>2</v>
      </c>
      <c r="T7" s="9" t="n">
        <f aca="false">IF($A7="",0,IFERROR(INDEX(ДОВ_МІН,MATCH($A7,КАТЕГОРІЇ,0)),0))</f>
        <v>2</v>
      </c>
      <c r="U7" s="22" t="n">
        <f aca="false">IF($A7="",0,IFERROR(INDEX(ДОВ_ДОПЛ_ДОР,MATCH($A7,КАТЕГОРІЇ,0)),0))</f>
        <v>1000</v>
      </c>
      <c r="V7" s="22" t="n">
        <f aca="false">IF($A7="",0,IFERROR(INDEX(ДОВ_ДОПЛ_ДІТ,MATCH($A7,КАТЕГОРІЇ,0)),0))</f>
        <v>500</v>
      </c>
      <c r="W7" s="6" t="n">
        <f aca="false">IF(OR(P$2=0,$N$5=0),0,IFERROR(INDEX(ПАКЕТИ_ЦІНИ,MATCH($N$6&amp;"|Будні",ПАКЕТИ_КЛЮЧ,0),P$2+0),0))</f>
        <v>0</v>
      </c>
      <c r="X7" s="6" t="n">
        <f aca="false">IF(OR(P$2=0,$N$5=0),0,IFERROR(INDEX(ПАКЕТИ_ЦІНИ,MATCH($N$6&amp;"|Будні",ПАКЕТИ_КЛЮЧ,0),P$2+1),0))</f>
        <v>0</v>
      </c>
      <c r="Y7" s="6" t="n">
        <f aca="false">IF(OR(P$2=0,$N$5=0),0,IFERROR(INDEX(ПАКЕТИ_ЦІНИ,MATCH($N$6&amp;"|Вихідні",ПАКЕТИ_КЛЮЧ,0),P$2+0),0))</f>
        <v>0</v>
      </c>
      <c r="Z7" s="6" t="n">
        <f aca="false">IF(OR(P$2=0,$N$5=0),0,IFERROR(INDEX(ПАКЕТИ_ЦІНИ,MATCH($N$6&amp;"|Вихідні",ПАКЕТИ_КЛЮЧ,0),P$2+1),0))</f>
        <v>0</v>
      </c>
      <c r="AA7" s="6" t="n">
        <f aca="false">IF(OR(P$2=0,$N$7=0,$A7=""),0,IFERROR(INDEX(SPA_ЦІНИ,MATCH(INDEX(ДОВ_SPA,MATCH($A7,КАТЕГОРІЇ,0)),SPA_РІВЕНЬ,0),P$2+0),0))</f>
        <v>0</v>
      </c>
      <c r="AB7" s="6" t="n">
        <f aca="false">IF(OR(P$2=0,$N$7=0,$A7=""),0,IFERROR(INDEX(SPA_ЦІНИ,MATCH(INDEX(ДОВ_SPA,MATCH($A7,КАТЕГОРІЇ,0)),SPA_РІВЕНЬ,0),P$2+1),0))</f>
        <v>0</v>
      </c>
      <c r="AC7" s="6" t="n">
        <f aca="false">IF(OR($A7="",P7=0,AND($N$5=1,$D$4&gt;0,W7=0),AND($N$5=1,$F$4&gt;0,X7=0),AND($N$7=1,AA7=0)),0,1)</f>
        <v>1</v>
      </c>
      <c r="AD7" s="6" t="n">
        <f aca="false">IF(OR($A7="",Q7=0,AND($N$5=1,$D$4&gt;0,Y7=0),AND($N$5=1,$F$4&gt;0,Z7=0),AND($N$7=1,AB7=0)),0,1)</f>
        <v>1</v>
      </c>
      <c r="AH7" s="22" t="n">
        <f aca="false">IF(OR(AH$2=0,$A7=""),0,IFERROR(INDEX(БАЗА_ЦІНИ,MATCH($A7,БАЗА_КАТ,0),AH$2),0))</f>
        <v>4821.171432</v>
      </c>
      <c r="AI7" s="22" t="n">
        <f aca="false">IF(OR(AH$2=0,$A7=""),0,IFERROR(INDEX(БАЗА_ЦІНИ,MATCH($A7,БАЗА_КАТ,0),AH$2+1),0))</f>
        <v>5321.171432</v>
      </c>
      <c r="AJ7" s="9" t="n">
        <f aca="false">IF($A7="",0,IFERROR(INDEX(ДОВ_МАКС,MATCH($A7,КАТЕГОРІЇ,0)),0))</f>
        <v>3</v>
      </c>
      <c r="AK7" s="9" t="n">
        <f aca="false">IF($A7="",0,IFERROR(INDEX(ДОВ_ВКЛ,MATCH($A7,КАТЕГОРІЇ,0)),0))</f>
        <v>2</v>
      </c>
      <c r="AL7" s="9" t="n">
        <f aca="false">IF($A7="",0,IFERROR(INDEX(ДОВ_МІН,MATCH($A7,КАТЕГОРІЇ,0)),0))</f>
        <v>2</v>
      </c>
      <c r="AM7" s="22" t="n">
        <f aca="false">IF($A7="",0,IFERROR(INDEX(ДОВ_ДОПЛ_ДОР,MATCH($A7,КАТЕГОРІЇ,0)),0))</f>
        <v>1000</v>
      </c>
      <c r="AN7" s="22" t="n">
        <f aca="false">IF($A7="",0,IFERROR(INDEX(ДОВ_ДОПЛ_ДІТ,MATCH($A7,КАТЕГОРІЇ,0)),0))</f>
        <v>500</v>
      </c>
      <c r="AO7" s="6" t="n">
        <f aca="false">IF(OR(AH$2=0,$N$5=0),0,IFERROR(INDEX(ПАКЕТИ_ЦІНИ,MATCH($N$6&amp;"|Будні",ПАКЕТИ_КЛЮЧ,0),AH$2+0),0))</f>
        <v>0</v>
      </c>
      <c r="AP7" s="6" t="n">
        <f aca="false">IF(OR(AH$2=0,$N$5=0),0,IFERROR(INDEX(ПАКЕТИ_ЦІНИ,MATCH($N$6&amp;"|Будні",ПАКЕТИ_КЛЮЧ,0),AH$2+1),0))</f>
        <v>0</v>
      </c>
      <c r="AQ7" s="6" t="n">
        <f aca="false">IF(OR(AH$2=0,$N$5=0),0,IFERROR(INDEX(ПАКЕТИ_ЦІНИ,MATCH($N$6&amp;"|Вихідні",ПАКЕТИ_КЛЮЧ,0),AH$2+0),0))</f>
        <v>0</v>
      </c>
      <c r="AR7" s="6" t="n">
        <f aca="false">IF(OR(AH$2=0,$N$5=0),0,IFERROR(INDEX(ПАКЕТИ_ЦІНИ,MATCH($N$6&amp;"|Вихідні",ПАКЕТИ_КЛЮЧ,0),AH$2+1),0))</f>
        <v>0</v>
      </c>
      <c r="AS7" s="6" t="n">
        <f aca="false">IF(OR(AH$2=0,$N$7=0,$A7=""),0,IFERROR(INDEX(SPA_ЦІНИ,MATCH(INDEX(ДОВ_SPA,MATCH($A7,КАТЕГОРІЇ,0)),SPA_РІВЕНЬ,0),AH$2+0),0))</f>
        <v>0</v>
      </c>
      <c r="AT7" s="6" t="n">
        <f aca="false">IF(OR(AH$2=0,$N$7=0,$A7=""),0,IFERROR(INDEX(SPA_ЦІНИ,MATCH(INDEX(ДОВ_SPA,MATCH($A7,КАТЕГОРІЇ,0)),SPA_РІВЕНЬ,0),AH$2+1),0))</f>
        <v>0</v>
      </c>
      <c r="AU7" s="6" t="n">
        <f aca="false">IF(OR($A7="",AH7=0,AND($N$5=1,$D$4&gt;0,AO7=0),AND($N$5=1,$F$4&gt;0,AP7=0),AND($N$7=1,AS7=0)),0,1)</f>
        <v>1</v>
      </c>
      <c r="AV7" s="6" t="n">
        <f aca="false">IF(OR($A7="",AI7=0,AND($N$5=1,$D$4&gt;0,AQ7=0),AND($N$5=1,$F$4&gt;0,AR7=0),AND($N$7=1,AT7=0)),0,1)</f>
        <v>1</v>
      </c>
    </row>
    <row r="8" customFormat="false" ht="25.5" hidden="false" customHeight="true" outlineLevel="0" collapsed="false">
      <c r="A8" s="23" t="str">
        <f aca="false">IF('Довідник категорій'!B6="","",'Довідник категорій'!B6)</f>
        <v>Forest View Chalet</v>
      </c>
      <c r="B8" s="78" t="n">
        <f aca="false">IF(OR(AC8=0,($D$4+$F$4)=0,($D$4+$F$4)&gt;R8,($D$4+$F$4)&lt;T8),"",ROUND(P8*(1-P$3)/ОКРУГЛЕННЯ,0)*ОКРУГЛЕННЯ+(MAX(0,$D$4-S8)*U8+(MAX(0,($D$4+$F$4)-S8)-MAX(0,$D$4-S8))*V8)*(1-P$3)+($D$4*W8+$F$4*X8)*(1-P$3*P$4)+AA8*(1-P$3*P$5))</f>
        <v>4600</v>
      </c>
      <c r="C8" s="78" t="n">
        <f aca="false">IF(OR(AD8=0,($D$4+$F$4)=0,($D$4+$F$4)&gt;R8,($D$4+$F$4)&lt;T8),"",ROUND(Q8*(1-P$3)/ОКРУГЛЕННЯ,0)*ОКРУГЛЕННЯ+(MAX(0,$D$4-S8)*U8+(MAX(0,($D$4+$F$4)-S8)-MAX(0,$D$4-S8))*V8)*(1-P$3)+($D$4*Y8+$F$4*Z8)*(1-P$3*P$4)+AB8*(1-P$3*P$5))</f>
        <v>5200</v>
      </c>
      <c r="D8" s="78" t="n">
        <f aca="false">IF(OR(AU8=0,($D$4+$F$4)=0,($D$4+$F$4)&gt;AJ8,($D$4+$F$4)&lt;AL8),"",ROUND(AH8*(1-AH$3)/ОКРУГЛЕННЯ,0)*ОКРУГЛЕННЯ+(MAX(0,$D$4-AK8)*AM8+(MAX(0,($D$4+$F$4)-AK8)-MAX(0,$D$4-AK8))*AN8)*(1-AH$3)+($D$4*AO8+$F$4*AP8)*(1-AH$3*AH$4)+AS8*(1-AH$3*AH$5))</f>
        <v>5200</v>
      </c>
      <c r="E8" s="78" t="n">
        <f aca="false">IF(OR(AV8=0,($D$4+$F$4)=0,($D$4+$F$4)&gt;AJ8,($D$4+$F$4)&lt;AL8),"",ROUND(AI8*(1-AH$3)/ОКРУГЛЕННЯ,0)*ОКРУГЛЕННЯ+(MAX(0,$D$4-AK8)*AM8+(MAX(0,($D$4+$F$4)-AK8)-MAX(0,$D$4-AK8))*AN8)*(1-AH$3)+($D$4*AQ8+$F$4*AR8)*(1-AH$3*AH$4)+AT8*(1-AH$3*AH$5))</f>
        <v>5800</v>
      </c>
      <c r="F8" s="78" t="n">
        <f aca="false">IF(OR(B8="",D8=""),"",D8-B8)</f>
        <v>600</v>
      </c>
      <c r="G8" s="78" t="n">
        <f aca="false">IF(OR(C8="",E8=""),"",E8-C8)</f>
        <v>600</v>
      </c>
      <c r="H8" s="71" t="n">
        <f aca="false">IF(OR(B8="",D8="",B8=0),"",D8/B8-1)</f>
        <v>0.130434782608696</v>
      </c>
      <c r="I8" s="71" t="n">
        <f aca="false">IF(OR(C8="",E8="",C8=0),"",E8/C8-1)</f>
        <v>0.115384615384615</v>
      </c>
      <c r="K8" s="79" t="str">
        <f aca="false">IF(SUM($L$4:$L$6)=0,"ГОТОВО ДО ПУБЛІКАЦІЇ","ПОТРІБНЕ ЗАПОВНЕННЯ")</f>
        <v>ГОТОВО ДО ПУБЛІКАЦІЇ</v>
      </c>
      <c r="L8" s="79"/>
      <c r="P8" s="22" t="n">
        <f aca="false">IF(OR(P$2=0,$A8=""),0,IFERROR(INDEX(БАЗА_ЦІНИ,MATCH($A8,БАЗА_КАТ,0),P$2),0))</f>
        <v>4550</v>
      </c>
      <c r="Q8" s="22" t="n">
        <f aca="false">IF(OR(P$2=0,$A8=""),0,IFERROR(INDEX(БАЗА_ЦІНИ,MATCH($A8,БАЗА_КАТ,0),P$2+1),0))</f>
        <v>5150</v>
      </c>
      <c r="R8" s="9" t="n">
        <f aca="false">IF($A8="",0,IFERROR(INDEX(ДОВ_МАКС,MATCH($A8,КАТЕГОРІЇ,0)),0))</f>
        <v>3</v>
      </c>
      <c r="S8" s="9" t="n">
        <f aca="false">IF($A8="",0,IFERROR(INDEX(ДОВ_ВКЛ,MATCH($A8,КАТЕГОРІЇ,0)),0))</f>
        <v>2</v>
      </c>
      <c r="T8" s="9" t="n">
        <f aca="false">IF($A8="",0,IFERROR(INDEX(ДОВ_МІН,MATCH($A8,КАТЕГОРІЇ,0)),0))</f>
        <v>2</v>
      </c>
      <c r="U8" s="22" t="n">
        <f aca="false">IF($A8="",0,IFERROR(INDEX(ДОВ_ДОПЛ_ДОР,MATCH($A8,КАТЕГОРІЇ,0)),0))</f>
        <v>1000</v>
      </c>
      <c r="V8" s="22" t="n">
        <f aca="false">IF($A8="",0,IFERROR(INDEX(ДОВ_ДОПЛ_ДІТ,MATCH($A8,КАТЕГОРІЇ,0)),0))</f>
        <v>500</v>
      </c>
      <c r="W8" s="6" t="n">
        <f aca="false">IF(OR(P$2=0,$N$5=0),0,IFERROR(INDEX(ПАКЕТИ_ЦІНИ,MATCH($N$6&amp;"|Будні",ПАКЕТИ_КЛЮЧ,0),P$2+0),0))</f>
        <v>0</v>
      </c>
      <c r="X8" s="6" t="n">
        <f aca="false">IF(OR(P$2=0,$N$5=0),0,IFERROR(INDEX(ПАКЕТИ_ЦІНИ,MATCH($N$6&amp;"|Будні",ПАКЕТИ_КЛЮЧ,0),P$2+1),0))</f>
        <v>0</v>
      </c>
      <c r="Y8" s="6" t="n">
        <f aca="false">IF(OR(P$2=0,$N$5=0),0,IFERROR(INDEX(ПАКЕТИ_ЦІНИ,MATCH($N$6&amp;"|Вихідні",ПАКЕТИ_КЛЮЧ,0),P$2+0),0))</f>
        <v>0</v>
      </c>
      <c r="Z8" s="6" t="n">
        <f aca="false">IF(OR(P$2=0,$N$5=0),0,IFERROR(INDEX(ПАКЕТИ_ЦІНИ,MATCH($N$6&amp;"|Вихідні",ПАКЕТИ_КЛЮЧ,0),P$2+1),0))</f>
        <v>0</v>
      </c>
      <c r="AA8" s="6" t="n">
        <f aca="false">IF(OR(P$2=0,$N$7=0,$A8=""),0,IFERROR(INDEX(SPA_ЦІНИ,MATCH(INDEX(ДОВ_SPA,MATCH($A8,КАТЕГОРІЇ,0)),SPA_РІВЕНЬ,0),P$2+0),0))</f>
        <v>0</v>
      </c>
      <c r="AB8" s="6" t="n">
        <f aca="false">IF(OR(P$2=0,$N$7=0,$A8=""),0,IFERROR(INDEX(SPA_ЦІНИ,MATCH(INDEX(ДОВ_SPA,MATCH($A8,КАТЕГОРІЇ,0)),SPA_РІВЕНЬ,0),P$2+1),0))</f>
        <v>0</v>
      </c>
      <c r="AC8" s="6" t="n">
        <f aca="false">IF(OR($A8="",P8=0,AND($N$5=1,$D$4&gt;0,W8=0),AND($N$5=1,$F$4&gt;0,X8=0),AND($N$7=1,AA8=0)),0,1)</f>
        <v>1</v>
      </c>
      <c r="AD8" s="6" t="n">
        <f aca="false">IF(OR($A8="",Q8=0,AND($N$5=1,$D$4&gt;0,Y8=0),AND($N$5=1,$F$4&gt;0,Z8=0),AND($N$7=1,AB8=0)),0,1)</f>
        <v>1</v>
      </c>
      <c r="AH8" s="22" t="n">
        <f aca="false">IF(OR(AH$2=0,$A8=""),0,IFERROR(INDEX(БАЗА_ЦІНИ,MATCH($A8,БАЗА_КАТ,0),AH$2),0))</f>
        <v>5222.935718</v>
      </c>
      <c r="AI8" s="22" t="n">
        <f aca="false">IF(OR(AH$2=0,$A8=""),0,IFERROR(INDEX(БАЗА_ЦІНИ,MATCH($A8,БАЗА_КАТ,0),AH$2+1),0))</f>
        <v>5822.935718</v>
      </c>
      <c r="AJ8" s="9" t="n">
        <f aca="false">IF($A8="",0,IFERROR(INDEX(ДОВ_МАКС,MATCH($A8,КАТЕГОРІЇ,0)),0))</f>
        <v>3</v>
      </c>
      <c r="AK8" s="9" t="n">
        <f aca="false">IF($A8="",0,IFERROR(INDEX(ДОВ_ВКЛ,MATCH($A8,КАТЕГОРІЇ,0)),0))</f>
        <v>2</v>
      </c>
      <c r="AL8" s="9" t="n">
        <f aca="false">IF($A8="",0,IFERROR(INDEX(ДОВ_МІН,MATCH($A8,КАТЕГОРІЇ,0)),0))</f>
        <v>2</v>
      </c>
      <c r="AM8" s="22" t="n">
        <f aca="false">IF($A8="",0,IFERROR(INDEX(ДОВ_ДОПЛ_ДОР,MATCH($A8,КАТЕГОРІЇ,0)),0))</f>
        <v>1000</v>
      </c>
      <c r="AN8" s="22" t="n">
        <f aca="false">IF($A8="",0,IFERROR(INDEX(ДОВ_ДОПЛ_ДІТ,MATCH($A8,КАТЕГОРІЇ,0)),0))</f>
        <v>500</v>
      </c>
      <c r="AO8" s="6" t="n">
        <f aca="false">IF(OR(AH$2=0,$N$5=0),0,IFERROR(INDEX(ПАКЕТИ_ЦІНИ,MATCH($N$6&amp;"|Будні",ПАКЕТИ_КЛЮЧ,0),AH$2+0),0))</f>
        <v>0</v>
      </c>
      <c r="AP8" s="6" t="n">
        <f aca="false">IF(OR(AH$2=0,$N$5=0),0,IFERROR(INDEX(ПАКЕТИ_ЦІНИ,MATCH($N$6&amp;"|Будні",ПАКЕТИ_КЛЮЧ,0),AH$2+1),0))</f>
        <v>0</v>
      </c>
      <c r="AQ8" s="6" t="n">
        <f aca="false">IF(OR(AH$2=0,$N$5=0),0,IFERROR(INDEX(ПАКЕТИ_ЦІНИ,MATCH($N$6&amp;"|Вихідні",ПАКЕТИ_КЛЮЧ,0),AH$2+0),0))</f>
        <v>0</v>
      </c>
      <c r="AR8" s="6" t="n">
        <f aca="false">IF(OR(AH$2=0,$N$5=0),0,IFERROR(INDEX(ПАКЕТИ_ЦІНИ,MATCH($N$6&amp;"|Вихідні",ПАКЕТИ_КЛЮЧ,0),AH$2+1),0))</f>
        <v>0</v>
      </c>
      <c r="AS8" s="6" t="n">
        <f aca="false">IF(OR(AH$2=0,$N$7=0,$A8=""),0,IFERROR(INDEX(SPA_ЦІНИ,MATCH(INDEX(ДОВ_SPA,MATCH($A8,КАТЕГОРІЇ,0)),SPA_РІВЕНЬ,0),AH$2+0),0))</f>
        <v>0</v>
      </c>
      <c r="AT8" s="6" t="n">
        <f aca="false">IF(OR(AH$2=0,$N$7=0,$A8=""),0,IFERROR(INDEX(SPA_ЦІНИ,MATCH(INDEX(ДОВ_SPA,MATCH($A8,КАТЕГОРІЇ,0)),SPA_РІВЕНЬ,0),AH$2+1),0))</f>
        <v>0</v>
      </c>
      <c r="AU8" s="6" t="n">
        <f aca="false">IF(OR($A8="",AH8=0,AND($N$5=1,$D$4&gt;0,AO8=0),AND($N$5=1,$F$4&gt;0,AP8=0),AND($N$7=1,AS8=0)),0,1)</f>
        <v>1</v>
      </c>
      <c r="AV8" s="6" t="n">
        <f aca="false">IF(OR($A8="",AI8=0,AND($N$5=1,$D$4&gt;0,AQ8=0),AND($N$5=1,$F$4&gt;0,AR8=0),AND($N$7=1,AT8=0)),0,1)</f>
        <v>1</v>
      </c>
    </row>
    <row r="9" customFormat="false" ht="15" hidden="false" customHeight="false" outlineLevel="0" collapsed="false">
      <c r="A9" s="16" t="str">
        <f aca="false">IF('Довідник категорій'!B7="","",'Довідник категорій'!B7)</f>
        <v>Premium Chalet</v>
      </c>
      <c r="B9" s="35" t="n">
        <f aca="false">IF(OR(AC9=0,($D$4+$F$4)=0,($D$4+$F$4)&gt;R9,($D$4+$F$4)&lt;T9),"",ROUND(P9*(1-P$3)/ОКРУГЛЕННЯ,0)*ОКРУГЛЕННЯ+(MAX(0,$D$4-S9)*U9+(MAX(0,($D$4+$F$4)-S9)-MAX(0,$D$4-S9))*V9)*(1-P$3)+($D$4*W9+$F$4*X9)*(1-P$3*P$4)+AA9*(1-P$3*P$5))</f>
        <v>7800</v>
      </c>
      <c r="C9" s="35" t="n">
        <f aca="false">IF(OR(AD9=0,($D$4+$F$4)=0,($D$4+$F$4)&gt;R9,($D$4+$F$4)&lt;T9),"",ROUND(Q9*(1-P$3)/ОКРУГЛЕННЯ,0)*ОКРУГЛЕННЯ+(MAX(0,$D$4-S9)*U9+(MAX(0,($D$4+$F$4)-S9)-MAX(0,$D$4-S9))*V9)*(1-P$3)+($D$4*Y9+$F$4*Z9)*(1-P$3*P$4)+AB9*(1-P$3*P$5))</f>
        <v>9800</v>
      </c>
      <c r="D9" s="35" t="n">
        <f aca="false">IF(OR(AU9=0,($D$4+$F$4)=0,($D$4+$F$4)&gt;AJ9,($D$4+$F$4)&lt;AL9),"",ROUND(AH9*(1-AH$3)/ОКРУГЛЕННЯ,0)*ОКРУГЛЕННЯ+(MAX(0,$D$4-AK9)*AM9+(MAX(0,($D$4+$F$4)-AK9)-MAX(0,$D$4-AK9))*AN9)*(1-AH$3)+($D$4*AO9+$F$4*AP9)*(1-AH$3*AH$4)+AS9*(1-AH$3*AH$5))</f>
        <v>8900</v>
      </c>
      <c r="E9" s="35" t="n">
        <f aca="false">IF(OR(AV9=0,($D$4+$F$4)=0,($D$4+$F$4)&gt;AJ9,($D$4+$F$4)&lt;AL9),"",ROUND(AI9*(1-AH$3)/ОКРУГЛЕННЯ,0)*ОКРУГЛЕННЯ+(MAX(0,$D$4-AK9)*AM9+(MAX(0,($D$4+$F$4)-AK9)-MAX(0,$D$4-AK9))*AN9)*(1-AH$3)+($D$4*AQ9+$F$4*AR9)*(1-AH$3*AH$4)+AT9*(1-AH$3*AH$5))</f>
        <v>10900</v>
      </c>
      <c r="F9" s="35" t="n">
        <f aca="false">IF(OR(B9="",D9=""),"",D9-B9)</f>
        <v>1100</v>
      </c>
      <c r="G9" s="35" t="n">
        <f aca="false">IF(OR(C9="",E9=""),"",E9-C9)</f>
        <v>1100</v>
      </c>
      <c r="H9" s="77" t="n">
        <f aca="false">IF(OR(B9="",D9="",B9=0),"",D9/B9-1)</f>
        <v>0.141025641025641</v>
      </c>
      <c r="I9" s="77" t="n">
        <f aca="false">IF(OR(C9="",E9="",C9=0),"",E9/C9-1)</f>
        <v>0.112244897959184</v>
      </c>
      <c r="P9" s="22" t="n">
        <f aca="false">IF(OR(P$2=0,$A9=""),0,IFERROR(INDEX(БАЗА_ЦІНИ,MATCH($A9,БАЗА_КАТ,0),P$2),0))</f>
        <v>7770</v>
      </c>
      <c r="Q9" s="22" t="n">
        <f aca="false">IF(OR(P$2=0,$A9=""),0,IFERROR(INDEX(БАЗА_ЦІНИ,MATCH($A9,БАЗА_КАТ,0),P$2+1),0))</f>
        <v>9770</v>
      </c>
      <c r="R9" s="9" t="n">
        <f aca="false">IF($A9="",0,IFERROR(INDEX(ДОВ_МАКС,MATCH($A9,КАТЕГОРІЇ,0)),0))</f>
        <v>8</v>
      </c>
      <c r="S9" s="9" t="n">
        <f aca="false">IF($A9="",0,IFERROR(INDEX(ДОВ_ВКЛ,MATCH($A9,КАТЕГОРІЇ,0)),0))</f>
        <v>6</v>
      </c>
      <c r="T9" s="9" t="n">
        <f aca="false">IF($A9="",0,IFERROR(INDEX(ДОВ_МІН,MATCH($A9,КАТЕГОРІЇ,0)),0))</f>
        <v>2</v>
      </c>
      <c r="U9" s="22" t="n">
        <f aca="false">IF($A9="",0,IFERROR(INDEX(ДОВ_ДОПЛ_ДОР,MATCH($A9,КАТЕГОРІЇ,0)),0))</f>
        <v>1000</v>
      </c>
      <c r="V9" s="22" t="n">
        <f aca="false">IF($A9="",0,IFERROR(INDEX(ДОВ_ДОПЛ_ДІТ,MATCH($A9,КАТЕГОРІЇ,0)),0))</f>
        <v>500</v>
      </c>
      <c r="W9" s="6" t="n">
        <f aca="false">IF(OR(P$2=0,$N$5=0),0,IFERROR(INDEX(ПАКЕТИ_ЦІНИ,MATCH($N$6&amp;"|Будні",ПАКЕТИ_КЛЮЧ,0),P$2+0),0))</f>
        <v>0</v>
      </c>
      <c r="X9" s="6" t="n">
        <f aca="false">IF(OR(P$2=0,$N$5=0),0,IFERROR(INDEX(ПАКЕТИ_ЦІНИ,MATCH($N$6&amp;"|Будні",ПАКЕТИ_КЛЮЧ,0),P$2+1),0))</f>
        <v>0</v>
      </c>
      <c r="Y9" s="6" t="n">
        <f aca="false">IF(OR(P$2=0,$N$5=0),0,IFERROR(INDEX(ПАКЕТИ_ЦІНИ,MATCH($N$6&amp;"|Вихідні",ПАКЕТИ_КЛЮЧ,0),P$2+0),0))</f>
        <v>0</v>
      </c>
      <c r="Z9" s="6" t="n">
        <f aca="false">IF(OR(P$2=0,$N$5=0),0,IFERROR(INDEX(ПАКЕТИ_ЦІНИ,MATCH($N$6&amp;"|Вихідні",ПАКЕТИ_КЛЮЧ,0),P$2+1),0))</f>
        <v>0</v>
      </c>
      <c r="AA9" s="6" t="n">
        <f aca="false">IF(OR(P$2=0,$N$7=0,$A9=""),0,IFERROR(INDEX(SPA_ЦІНИ,MATCH(INDEX(ДОВ_SPA,MATCH($A9,КАТЕГОРІЇ,0)),SPA_РІВЕНЬ,0),P$2+0),0))</f>
        <v>0</v>
      </c>
      <c r="AB9" s="6" t="n">
        <f aca="false">IF(OR(P$2=0,$N$7=0,$A9=""),0,IFERROR(INDEX(SPA_ЦІНИ,MATCH(INDEX(ДОВ_SPA,MATCH($A9,КАТЕГОРІЇ,0)),SPA_РІВЕНЬ,0),P$2+1),0))</f>
        <v>0</v>
      </c>
      <c r="AC9" s="6" t="n">
        <f aca="false">IF(OR($A9="",P9=0,AND($N$5=1,$D$4&gt;0,W9=0),AND($N$5=1,$F$4&gt;0,X9=0),AND($N$7=1,AA9=0)),0,1)</f>
        <v>1</v>
      </c>
      <c r="AD9" s="6" t="n">
        <f aca="false">IF(OR($A9="",Q9=0,AND($N$5=1,$D$4&gt;0,Y9=0),AND($N$5=1,$F$4&gt;0,Z9=0),AND($N$7=1,AB9=0)),0,1)</f>
        <v>1</v>
      </c>
      <c r="AH9" s="22" t="n">
        <f aca="false">IF(OR(AH$2=0,$A9=""),0,IFERROR(INDEX(БАЗА_ЦІНИ,MATCH($A9,БАЗА_КАТ,0),AH$2),0))</f>
        <v>8919.167149</v>
      </c>
      <c r="AI9" s="22" t="n">
        <f aca="false">IF(OR(AH$2=0,$A9=""),0,IFERROR(INDEX(БАЗА_ЦІНИ,MATCH($A9,БАЗА_КАТ,0),AH$2+1),0))</f>
        <v>10919.16715</v>
      </c>
      <c r="AJ9" s="9" t="n">
        <f aca="false">IF($A9="",0,IFERROR(INDEX(ДОВ_МАКС,MATCH($A9,КАТЕГОРІЇ,0)),0))</f>
        <v>8</v>
      </c>
      <c r="AK9" s="9" t="n">
        <f aca="false">IF($A9="",0,IFERROR(INDEX(ДОВ_ВКЛ,MATCH($A9,КАТЕГОРІЇ,0)),0))</f>
        <v>6</v>
      </c>
      <c r="AL9" s="9" t="n">
        <f aca="false">IF($A9="",0,IFERROR(INDEX(ДОВ_МІН,MATCH($A9,КАТЕГОРІЇ,0)),0))</f>
        <v>2</v>
      </c>
      <c r="AM9" s="22" t="n">
        <f aca="false">IF($A9="",0,IFERROR(INDEX(ДОВ_ДОПЛ_ДОР,MATCH($A9,КАТЕГОРІЇ,0)),0))</f>
        <v>1000</v>
      </c>
      <c r="AN9" s="22" t="n">
        <f aca="false">IF($A9="",0,IFERROR(INDEX(ДОВ_ДОПЛ_ДІТ,MATCH($A9,КАТЕГОРІЇ,0)),0))</f>
        <v>500</v>
      </c>
      <c r="AO9" s="6" t="n">
        <f aca="false">IF(OR(AH$2=0,$N$5=0),0,IFERROR(INDEX(ПАКЕТИ_ЦІНИ,MATCH($N$6&amp;"|Будні",ПАКЕТИ_КЛЮЧ,0),AH$2+0),0))</f>
        <v>0</v>
      </c>
      <c r="AP9" s="6" t="n">
        <f aca="false">IF(OR(AH$2=0,$N$5=0),0,IFERROR(INDEX(ПАКЕТИ_ЦІНИ,MATCH($N$6&amp;"|Будні",ПАКЕТИ_КЛЮЧ,0),AH$2+1),0))</f>
        <v>0</v>
      </c>
      <c r="AQ9" s="6" t="n">
        <f aca="false">IF(OR(AH$2=0,$N$5=0),0,IFERROR(INDEX(ПАКЕТИ_ЦІНИ,MATCH($N$6&amp;"|Вихідні",ПАКЕТИ_КЛЮЧ,0),AH$2+0),0))</f>
        <v>0</v>
      </c>
      <c r="AR9" s="6" t="n">
        <f aca="false">IF(OR(AH$2=0,$N$5=0),0,IFERROR(INDEX(ПАКЕТИ_ЦІНИ,MATCH($N$6&amp;"|Вихідні",ПАКЕТИ_КЛЮЧ,0),AH$2+1),0))</f>
        <v>0</v>
      </c>
      <c r="AS9" s="6" t="n">
        <f aca="false">IF(OR(AH$2=0,$N$7=0,$A9=""),0,IFERROR(INDEX(SPA_ЦІНИ,MATCH(INDEX(ДОВ_SPA,MATCH($A9,КАТЕГОРІЇ,0)),SPA_РІВЕНЬ,0),AH$2+0),0))</f>
        <v>0</v>
      </c>
      <c r="AT9" s="6" t="n">
        <f aca="false">IF(OR(AH$2=0,$N$7=0,$A9=""),0,IFERROR(INDEX(SPA_ЦІНИ,MATCH(INDEX(ДОВ_SPA,MATCH($A9,КАТЕГОРІЇ,0)),SPA_РІВЕНЬ,0),AH$2+1),0))</f>
        <v>0</v>
      </c>
      <c r="AU9" s="6" t="n">
        <f aca="false">IF(OR($A9="",AH9=0,AND($N$5=1,$D$4&gt;0,AO9=0),AND($N$5=1,$F$4&gt;0,AP9=0),AND($N$7=1,AS9=0)),0,1)</f>
        <v>1</v>
      </c>
      <c r="AV9" s="6" t="n">
        <f aca="false">IF(OR($A9="",AI9=0,AND($N$5=1,$D$4&gt;0,AQ9=0),AND($N$5=1,$F$4&gt;0,AR9=0),AND($N$7=1,AT9=0)),0,1)</f>
        <v>1</v>
      </c>
    </row>
    <row r="10" customFormat="false" ht="15" hidden="false" customHeight="false" outlineLevel="0" collapsed="false">
      <c r="A10" s="23" t="str">
        <f aca="false">IF('Довідник категорій'!B8="","",'Довідник категорій'!B8)</f>
        <v/>
      </c>
      <c r="B10" s="78" t="str">
        <f aca="false">IF(OR(AC10=0,($D$4+$F$4)=0,($D$4+$F$4)&gt;R10,($D$4+$F$4)&lt;T10),"",ROUND(P10*(1-P$3)/ОКРУГЛЕННЯ,0)*ОКРУГЛЕННЯ+(MAX(0,$D$4-S10)*U10+(MAX(0,($D$4+$F$4)-S10)-MAX(0,$D$4-S10))*V10)*(1-P$3)+($D$4*W10+$F$4*X10)*(1-P$3*P$4)+AA10*(1-P$3*P$5))</f>
        <v/>
      </c>
      <c r="C10" s="78" t="str">
        <f aca="false">IF(OR(AD10=0,($D$4+$F$4)=0,($D$4+$F$4)&gt;R10,($D$4+$F$4)&lt;T10),"",ROUND(Q10*(1-P$3)/ОКРУГЛЕННЯ,0)*ОКРУГЛЕННЯ+(MAX(0,$D$4-S10)*U10+(MAX(0,($D$4+$F$4)-S10)-MAX(0,$D$4-S10))*V10)*(1-P$3)+($D$4*Y10+$F$4*Z10)*(1-P$3*P$4)+AB10*(1-P$3*P$5))</f>
        <v/>
      </c>
      <c r="D10" s="78" t="str">
        <f aca="false">IF(OR(AU10=0,($D$4+$F$4)=0,($D$4+$F$4)&gt;AJ10,($D$4+$F$4)&lt;AL10),"",ROUND(AH10*(1-AH$3)/ОКРУГЛЕННЯ,0)*ОКРУГЛЕННЯ+(MAX(0,$D$4-AK10)*AM10+(MAX(0,($D$4+$F$4)-AK10)-MAX(0,$D$4-AK10))*AN10)*(1-AH$3)+($D$4*AO10+$F$4*AP10)*(1-AH$3*AH$4)+AS10*(1-AH$3*AH$5))</f>
        <v/>
      </c>
      <c r="E10" s="78" t="str">
        <f aca="false">IF(OR(AV10=0,($D$4+$F$4)=0,($D$4+$F$4)&gt;AJ10,($D$4+$F$4)&lt;AL10),"",ROUND(AI10*(1-AH$3)/ОКРУГЛЕННЯ,0)*ОКРУГЛЕННЯ+(MAX(0,$D$4-AK10)*AM10+(MAX(0,($D$4+$F$4)-AK10)-MAX(0,$D$4-AK10))*AN10)*(1-AH$3)+($D$4*AQ10+$F$4*AR10)*(1-AH$3*AH$4)+AT10*(1-AH$3*AH$5))</f>
        <v/>
      </c>
      <c r="F10" s="78" t="str">
        <f aca="false">IF(OR(B10="",D10=""),"",D10-B10)</f>
        <v/>
      </c>
      <c r="G10" s="78" t="str">
        <f aca="false">IF(OR(C10="",E10=""),"",E10-C10)</f>
        <v/>
      </c>
      <c r="H10" s="71" t="str">
        <f aca="false">IF(OR(B10="",D10="",B10=0),"",D10/B10-1)</f>
        <v/>
      </c>
      <c r="I10" s="71" t="str">
        <f aca="false">IF(OR(C10="",E10="",C10=0),"",E10/C10-1)</f>
        <v/>
      </c>
      <c r="K10" s="52" t="s">
        <v>158</v>
      </c>
      <c r="L10" s="24" t="str">
        <f aca="false">IF(COUNT(INDEX(ПАКЕТИ_ЦІНИ,3,$N$3),INDEX(ПАКЕТИ_ЦІНИ,3,$N$3+1),INDEX(ПАКЕТИ_ЦІНИ,4,$N$3),INDEX(ПАКЕТИ_ЦІНИ,4,$N$3+1))=4,"так","ні — пакет недоступний")</f>
        <v>так</v>
      </c>
      <c r="P10" s="6" t="n">
        <f aca="false">IF(OR(P$2=0,$A10=""),0,IFERROR(INDEX(БАЗА_ЦІНИ,MATCH($A10,БАЗА_КАТ,0),P$2),0))</f>
        <v>0</v>
      </c>
      <c r="Q10" s="6" t="n">
        <f aca="false">IF(OR(P$2=0,$A10=""),0,IFERROR(INDEX(БАЗА_ЦІНИ,MATCH($A10,БАЗА_КАТ,0),P$2+1),0))</f>
        <v>0</v>
      </c>
      <c r="R10" s="6" t="n">
        <f aca="false">IF($A10="",0,IFERROR(INDEX(ДОВ_МАКС,MATCH($A10,КАТЕГОРІЇ,0)),0))</f>
        <v>0</v>
      </c>
      <c r="S10" s="6" t="n">
        <f aca="false">IF($A10="",0,IFERROR(INDEX(ДОВ_ВКЛ,MATCH($A10,КАТЕГОРІЇ,0)),0))</f>
        <v>0</v>
      </c>
      <c r="T10" s="6" t="n">
        <f aca="false">IF($A10="",0,IFERROR(INDEX(ДОВ_МІН,MATCH($A10,КАТЕГОРІЇ,0)),0))</f>
        <v>0</v>
      </c>
      <c r="U10" s="6" t="n">
        <f aca="false">IF($A10="",0,IFERROR(INDEX(ДОВ_ДОПЛ_ДОР,MATCH($A10,КАТЕГОРІЇ,0)),0))</f>
        <v>0</v>
      </c>
      <c r="V10" s="6" t="n">
        <f aca="false">IF($A10="",0,IFERROR(INDEX(ДОВ_ДОПЛ_ДІТ,MATCH($A10,КАТЕГОРІЇ,0)),0))</f>
        <v>0</v>
      </c>
      <c r="W10" s="6" t="n">
        <f aca="false">IF(OR(P$2=0,$N$5=0),0,IFERROR(INDEX(ПАКЕТИ_ЦІНИ,MATCH($N$6&amp;"|Будні",ПАКЕТИ_КЛЮЧ,0),P$2+0),0))</f>
        <v>0</v>
      </c>
      <c r="X10" s="6" t="n">
        <f aca="false">IF(OR(P$2=0,$N$5=0),0,IFERROR(INDEX(ПАКЕТИ_ЦІНИ,MATCH($N$6&amp;"|Будні",ПАКЕТИ_КЛЮЧ,0),P$2+1),0))</f>
        <v>0</v>
      </c>
      <c r="Y10" s="6" t="n">
        <f aca="false">IF(OR(P$2=0,$N$5=0),0,IFERROR(INDEX(ПАКЕТИ_ЦІНИ,MATCH($N$6&amp;"|Вихідні",ПАКЕТИ_КЛЮЧ,0),P$2+0),0))</f>
        <v>0</v>
      </c>
      <c r="Z10" s="6" t="n">
        <f aca="false">IF(OR(P$2=0,$N$5=0),0,IFERROR(INDEX(ПАКЕТИ_ЦІНИ,MATCH($N$6&amp;"|Вихідні",ПАКЕТИ_КЛЮЧ,0),P$2+1),0))</f>
        <v>0</v>
      </c>
      <c r="AA10" s="6" t="n">
        <f aca="false">IF(OR(P$2=0,$N$7=0,$A10=""),0,IFERROR(INDEX(SPA_ЦІНИ,MATCH(INDEX(ДОВ_SPA,MATCH($A10,КАТЕГОРІЇ,0)),SPA_РІВЕНЬ,0),P$2+0),0))</f>
        <v>0</v>
      </c>
      <c r="AB10" s="6" t="n">
        <f aca="false">IF(OR(P$2=0,$N$7=0,$A10=""),0,IFERROR(INDEX(SPA_ЦІНИ,MATCH(INDEX(ДОВ_SPA,MATCH($A10,КАТЕГОРІЇ,0)),SPA_РІВЕНЬ,0),P$2+1),0))</f>
        <v>0</v>
      </c>
      <c r="AC10" s="6" t="n">
        <f aca="false">IF(OR($A10="",P10=0,AND($N$5=1,$D$4&gt;0,W10=0),AND($N$5=1,$F$4&gt;0,X10=0),AND($N$7=1,AA10=0)),0,1)</f>
        <v>0</v>
      </c>
      <c r="AD10" s="6" t="n">
        <f aca="false">IF(OR($A10="",Q10=0,AND($N$5=1,$D$4&gt;0,Y10=0),AND($N$5=1,$F$4&gt;0,Z10=0),AND($N$7=1,AB10=0)),0,1)</f>
        <v>0</v>
      </c>
      <c r="AH10" s="6" t="n">
        <f aca="false">IF(OR(AH$2=0,$A10=""),0,IFERROR(INDEX(БАЗА_ЦІНИ,MATCH($A10,БАЗА_КАТ,0),AH$2),0))</f>
        <v>0</v>
      </c>
      <c r="AI10" s="6" t="n">
        <f aca="false">IF(OR(AH$2=0,$A10=""),0,IFERROR(INDEX(БАЗА_ЦІНИ,MATCH($A10,БАЗА_КАТ,0),AH$2+1),0))</f>
        <v>0</v>
      </c>
      <c r="AJ10" s="6" t="n">
        <f aca="false">IF($A10="",0,IFERROR(INDEX(ДОВ_МАКС,MATCH($A10,КАТЕГОРІЇ,0)),0))</f>
        <v>0</v>
      </c>
      <c r="AK10" s="6" t="n">
        <f aca="false">IF($A10="",0,IFERROR(INDEX(ДОВ_ВКЛ,MATCH($A10,КАТЕГОРІЇ,0)),0))</f>
        <v>0</v>
      </c>
      <c r="AL10" s="6" t="n">
        <f aca="false">IF($A10="",0,IFERROR(INDEX(ДОВ_МІН,MATCH($A10,КАТЕГОРІЇ,0)),0))</f>
        <v>0</v>
      </c>
      <c r="AM10" s="6" t="n">
        <f aca="false">IF($A10="",0,IFERROR(INDEX(ДОВ_ДОПЛ_ДОР,MATCH($A10,КАТЕГОРІЇ,0)),0))</f>
        <v>0</v>
      </c>
      <c r="AN10" s="6" t="n">
        <f aca="false">IF($A10="",0,IFERROR(INDEX(ДОВ_ДОПЛ_ДІТ,MATCH($A10,КАТЕГОРІЇ,0)),0))</f>
        <v>0</v>
      </c>
      <c r="AO10" s="6" t="n">
        <f aca="false">IF(OR(AH$2=0,$N$5=0),0,IFERROR(INDEX(ПАКЕТИ_ЦІНИ,MATCH($N$6&amp;"|Будні",ПАКЕТИ_КЛЮЧ,0),AH$2+0),0))</f>
        <v>0</v>
      </c>
      <c r="AP10" s="6" t="n">
        <f aca="false">IF(OR(AH$2=0,$N$5=0),0,IFERROR(INDEX(ПАКЕТИ_ЦІНИ,MATCH($N$6&amp;"|Будні",ПАКЕТИ_КЛЮЧ,0),AH$2+1),0))</f>
        <v>0</v>
      </c>
      <c r="AQ10" s="6" t="n">
        <f aca="false">IF(OR(AH$2=0,$N$5=0),0,IFERROR(INDEX(ПАКЕТИ_ЦІНИ,MATCH($N$6&amp;"|Вихідні",ПАКЕТИ_КЛЮЧ,0),AH$2+0),0))</f>
        <v>0</v>
      </c>
      <c r="AR10" s="6" t="n">
        <f aca="false">IF(OR(AH$2=0,$N$5=0),0,IFERROR(INDEX(ПАКЕТИ_ЦІНИ,MATCH($N$6&amp;"|Вихідні",ПАКЕТИ_КЛЮЧ,0),AH$2+1),0))</f>
        <v>0</v>
      </c>
      <c r="AS10" s="6" t="n">
        <f aca="false">IF(OR(AH$2=0,$N$7=0,$A10=""),0,IFERROR(INDEX(SPA_ЦІНИ,MATCH(INDEX(ДОВ_SPA,MATCH($A10,КАТЕГОРІЇ,0)),SPA_РІВЕНЬ,0),AH$2+0),0))</f>
        <v>0</v>
      </c>
      <c r="AT10" s="6" t="n">
        <f aca="false">IF(OR(AH$2=0,$N$7=0,$A10=""),0,IFERROR(INDEX(SPA_ЦІНИ,MATCH(INDEX(ДОВ_SPA,MATCH($A10,КАТЕГОРІЇ,0)),SPA_РІВЕНЬ,0),AH$2+1),0))</f>
        <v>0</v>
      </c>
      <c r="AU10" s="6" t="n">
        <f aca="false">IF(OR($A10="",AH10=0,AND($N$5=1,$D$4&gt;0,AO10=0),AND($N$5=1,$F$4&gt;0,AP10=0),AND($N$7=1,AS10=0)),0,1)</f>
        <v>0</v>
      </c>
      <c r="AV10" s="6" t="n">
        <f aca="false">IF(OR($A10="",AI10=0,AND($N$5=1,$D$4&gt;0,AQ10=0),AND($N$5=1,$F$4&gt;0,AR10=0),AND($N$7=1,AT10=0)),0,1)</f>
        <v>0</v>
      </c>
    </row>
    <row r="11" customFormat="false" ht="15" hidden="false" customHeight="false" outlineLevel="0" collapsed="false">
      <c r="A11" s="16" t="str">
        <f aca="false">IF('Довідник категорій'!B9="","",'Довідник категорій'!B9)</f>
        <v/>
      </c>
      <c r="B11" s="35" t="str">
        <f aca="false">IF(OR(AC11=0,($D$4+$F$4)=0,($D$4+$F$4)&gt;R11,($D$4+$F$4)&lt;T11),"",ROUND(P11*(1-P$3)/ОКРУГЛЕННЯ,0)*ОКРУГЛЕННЯ+(MAX(0,$D$4-S11)*U11+(MAX(0,($D$4+$F$4)-S11)-MAX(0,$D$4-S11))*V11)*(1-P$3)+($D$4*W11+$F$4*X11)*(1-P$3*P$4)+AA11*(1-P$3*P$5))</f>
        <v/>
      </c>
      <c r="C11" s="35" t="str">
        <f aca="false">IF(OR(AD11=0,($D$4+$F$4)=0,($D$4+$F$4)&gt;R11,($D$4+$F$4)&lt;T11),"",ROUND(Q11*(1-P$3)/ОКРУГЛЕННЯ,0)*ОКРУГЛЕННЯ+(MAX(0,$D$4-S11)*U11+(MAX(0,($D$4+$F$4)-S11)-MAX(0,$D$4-S11))*V11)*(1-P$3)+($D$4*Y11+$F$4*Z11)*(1-P$3*P$4)+AB11*(1-P$3*P$5))</f>
        <v/>
      </c>
      <c r="D11" s="35" t="str">
        <f aca="false">IF(OR(AU11=0,($D$4+$F$4)=0,($D$4+$F$4)&gt;AJ11,($D$4+$F$4)&lt;AL11),"",ROUND(AH11*(1-AH$3)/ОКРУГЛЕННЯ,0)*ОКРУГЛЕННЯ+(MAX(0,$D$4-AK11)*AM11+(MAX(0,($D$4+$F$4)-AK11)-MAX(0,$D$4-AK11))*AN11)*(1-AH$3)+($D$4*AO11+$F$4*AP11)*(1-AH$3*AH$4)+AS11*(1-AH$3*AH$5))</f>
        <v/>
      </c>
      <c r="E11" s="35" t="str">
        <f aca="false">IF(OR(AV11=0,($D$4+$F$4)=0,($D$4+$F$4)&gt;AJ11,($D$4+$F$4)&lt;AL11),"",ROUND(AI11*(1-AH$3)/ОКРУГЛЕННЯ,0)*ОКРУГЛЕННЯ+(MAX(0,$D$4-AK11)*AM11+(MAX(0,($D$4+$F$4)-AK11)-MAX(0,$D$4-AK11))*AN11)*(1-AH$3)+($D$4*AQ11+$F$4*AR11)*(1-AH$3*AH$4)+AT11*(1-AH$3*AH$5))</f>
        <v/>
      </c>
      <c r="F11" s="35" t="str">
        <f aca="false">IF(OR(B11="",D11=""),"",D11-B11)</f>
        <v/>
      </c>
      <c r="G11" s="35" t="str">
        <f aca="false">IF(OR(C11="",E11=""),"",E11-C11)</f>
        <v/>
      </c>
      <c r="H11" s="77" t="str">
        <f aca="false">IF(OR(B11="",D11="",B11=0),"",D11/B11-1)</f>
        <v/>
      </c>
      <c r="I11" s="77" t="str">
        <f aca="false">IF(OR(C11="",E11="",C11=0),"",E11/C11-1)</f>
        <v/>
      </c>
      <c r="K11" s="52" t="s">
        <v>159</v>
      </c>
      <c r="L11" s="24" t="str">
        <f aca="false">IF(COUNT(INDEX(SPA_ЦІНИ,1,$N$3),INDEX(SPA_ЦІНИ,1,$N$3+1),INDEX(SPA_ЦІНИ,2,$N$3),INDEX(SPA_ЦІНИ,2,$N$3+1))=4,"так","ні — пакети недоступні")</f>
        <v>ні — пакети недоступні</v>
      </c>
      <c r="P11" s="6" t="n">
        <f aca="false">IF(OR(P$2=0,$A11=""),0,IFERROR(INDEX(БАЗА_ЦІНИ,MATCH($A11,БАЗА_КАТ,0),P$2),0))</f>
        <v>0</v>
      </c>
      <c r="Q11" s="6" t="n">
        <f aca="false">IF(OR(P$2=0,$A11=""),0,IFERROR(INDEX(БАЗА_ЦІНИ,MATCH($A11,БАЗА_КАТ,0),P$2+1),0))</f>
        <v>0</v>
      </c>
      <c r="R11" s="6" t="n">
        <f aca="false">IF($A11="",0,IFERROR(INDEX(ДОВ_МАКС,MATCH($A11,КАТЕГОРІЇ,0)),0))</f>
        <v>0</v>
      </c>
      <c r="S11" s="6" t="n">
        <f aca="false">IF($A11="",0,IFERROR(INDEX(ДОВ_ВКЛ,MATCH($A11,КАТЕГОРІЇ,0)),0))</f>
        <v>0</v>
      </c>
      <c r="T11" s="6" t="n">
        <f aca="false">IF($A11="",0,IFERROR(INDEX(ДОВ_МІН,MATCH($A11,КАТЕГОРІЇ,0)),0))</f>
        <v>0</v>
      </c>
      <c r="U11" s="6" t="n">
        <f aca="false">IF($A11="",0,IFERROR(INDEX(ДОВ_ДОПЛ_ДОР,MATCH($A11,КАТЕГОРІЇ,0)),0))</f>
        <v>0</v>
      </c>
      <c r="V11" s="6" t="n">
        <f aca="false">IF($A11="",0,IFERROR(INDEX(ДОВ_ДОПЛ_ДІТ,MATCH($A11,КАТЕГОРІЇ,0)),0))</f>
        <v>0</v>
      </c>
      <c r="W11" s="6" t="n">
        <f aca="false">IF(OR(P$2=0,$N$5=0),0,IFERROR(INDEX(ПАКЕТИ_ЦІНИ,MATCH($N$6&amp;"|Будні",ПАКЕТИ_КЛЮЧ,0),P$2+0),0))</f>
        <v>0</v>
      </c>
      <c r="X11" s="6" t="n">
        <f aca="false">IF(OR(P$2=0,$N$5=0),0,IFERROR(INDEX(ПАКЕТИ_ЦІНИ,MATCH($N$6&amp;"|Будні",ПАКЕТИ_КЛЮЧ,0),P$2+1),0))</f>
        <v>0</v>
      </c>
      <c r="Y11" s="6" t="n">
        <f aca="false">IF(OR(P$2=0,$N$5=0),0,IFERROR(INDEX(ПАКЕТИ_ЦІНИ,MATCH($N$6&amp;"|Вихідні",ПАКЕТИ_КЛЮЧ,0),P$2+0),0))</f>
        <v>0</v>
      </c>
      <c r="Z11" s="6" t="n">
        <f aca="false">IF(OR(P$2=0,$N$5=0),0,IFERROR(INDEX(ПАКЕТИ_ЦІНИ,MATCH($N$6&amp;"|Вихідні",ПАКЕТИ_КЛЮЧ,0),P$2+1),0))</f>
        <v>0</v>
      </c>
      <c r="AA11" s="6" t="n">
        <f aca="false">IF(OR(P$2=0,$N$7=0,$A11=""),0,IFERROR(INDEX(SPA_ЦІНИ,MATCH(INDEX(ДОВ_SPA,MATCH($A11,КАТЕГОРІЇ,0)),SPA_РІВЕНЬ,0),P$2+0),0))</f>
        <v>0</v>
      </c>
      <c r="AB11" s="6" t="n">
        <f aca="false">IF(OR(P$2=0,$N$7=0,$A11=""),0,IFERROR(INDEX(SPA_ЦІНИ,MATCH(INDEX(ДОВ_SPA,MATCH($A11,КАТЕГОРІЇ,0)),SPA_РІВЕНЬ,0),P$2+1),0))</f>
        <v>0</v>
      </c>
      <c r="AC11" s="6" t="n">
        <f aca="false">IF(OR($A11="",P11=0,AND($N$5=1,$D$4&gt;0,W11=0),AND($N$5=1,$F$4&gt;0,X11=0),AND($N$7=1,AA11=0)),0,1)</f>
        <v>0</v>
      </c>
      <c r="AD11" s="6" t="n">
        <f aca="false">IF(OR($A11="",Q11=0,AND($N$5=1,$D$4&gt;0,Y11=0),AND($N$5=1,$F$4&gt;0,Z11=0),AND($N$7=1,AB11=0)),0,1)</f>
        <v>0</v>
      </c>
      <c r="AH11" s="6" t="n">
        <f aca="false">IF(OR(AH$2=0,$A11=""),0,IFERROR(INDEX(БАЗА_ЦІНИ,MATCH($A11,БАЗА_КАТ,0),AH$2),0))</f>
        <v>0</v>
      </c>
      <c r="AI11" s="6" t="n">
        <f aca="false">IF(OR(AH$2=0,$A11=""),0,IFERROR(INDEX(БАЗА_ЦІНИ,MATCH($A11,БАЗА_КАТ,0),AH$2+1),0))</f>
        <v>0</v>
      </c>
      <c r="AJ11" s="6" t="n">
        <f aca="false">IF($A11="",0,IFERROR(INDEX(ДОВ_МАКС,MATCH($A11,КАТЕГОРІЇ,0)),0))</f>
        <v>0</v>
      </c>
      <c r="AK11" s="6" t="n">
        <f aca="false">IF($A11="",0,IFERROR(INDEX(ДОВ_ВКЛ,MATCH($A11,КАТЕГОРІЇ,0)),0))</f>
        <v>0</v>
      </c>
      <c r="AL11" s="6" t="n">
        <f aca="false">IF($A11="",0,IFERROR(INDEX(ДОВ_МІН,MATCH($A11,КАТЕГОРІЇ,0)),0))</f>
        <v>0</v>
      </c>
      <c r="AM11" s="6" t="n">
        <f aca="false">IF($A11="",0,IFERROR(INDEX(ДОВ_ДОПЛ_ДОР,MATCH($A11,КАТЕГОРІЇ,0)),0))</f>
        <v>0</v>
      </c>
      <c r="AN11" s="6" t="n">
        <f aca="false">IF($A11="",0,IFERROR(INDEX(ДОВ_ДОПЛ_ДІТ,MATCH($A11,КАТЕГОРІЇ,0)),0))</f>
        <v>0</v>
      </c>
      <c r="AO11" s="6" t="n">
        <f aca="false">IF(OR(AH$2=0,$N$5=0),0,IFERROR(INDEX(ПАКЕТИ_ЦІНИ,MATCH($N$6&amp;"|Будні",ПАКЕТИ_КЛЮЧ,0),AH$2+0),0))</f>
        <v>0</v>
      </c>
      <c r="AP11" s="6" t="n">
        <f aca="false">IF(OR(AH$2=0,$N$5=0),0,IFERROR(INDEX(ПАКЕТИ_ЦІНИ,MATCH($N$6&amp;"|Будні",ПАКЕТИ_КЛЮЧ,0),AH$2+1),0))</f>
        <v>0</v>
      </c>
      <c r="AQ11" s="6" t="n">
        <f aca="false">IF(OR(AH$2=0,$N$5=0),0,IFERROR(INDEX(ПАКЕТИ_ЦІНИ,MATCH($N$6&amp;"|Вихідні",ПАКЕТИ_КЛЮЧ,0),AH$2+0),0))</f>
        <v>0</v>
      </c>
      <c r="AR11" s="6" t="n">
        <f aca="false">IF(OR(AH$2=0,$N$5=0),0,IFERROR(INDEX(ПАКЕТИ_ЦІНИ,MATCH($N$6&amp;"|Вихідні",ПАКЕТИ_КЛЮЧ,0),AH$2+1),0))</f>
        <v>0</v>
      </c>
      <c r="AS11" s="6" t="n">
        <f aca="false">IF(OR(AH$2=0,$N$7=0,$A11=""),0,IFERROR(INDEX(SPA_ЦІНИ,MATCH(INDEX(ДОВ_SPA,MATCH($A11,КАТЕГОРІЇ,0)),SPA_РІВЕНЬ,0),AH$2+0),0))</f>
        <v>0</v>
      </c>
      <c r="AT11" s="6" t="n">
        <f aca="false">IF(OR(AH$2=0,$N$7=0,$A11=""),0,IFERROR(INDEX(SPA_ЦІНИ,MATCH(INDEX(ДОВ_SPA,MATCH($A11,КАТЕГОРІЇ,0)),SPA_РІВЕНЬ,0),AH$2+1),0))</f>
        <v>0</v>
      </c>
      <c r="AU11" s="6" t="n">
        <f aca="false">IF(OR($A11="",AH11=0,AND($N$5=1,$D$4&gt;0,AO11=0),AND($N$5=1,$F$4&gt;0,AP11=0),AND($N$7=1,AS11=0)),0,1)</f>
        <v>0</v>
      </c>
      <c r="AV11" s="6" t="n">
        <f aca="false">IF(OR($A11="",AI11=0,AND($N$5=1,$D$4&gt;0,AQ11=0),AND($N$5=1,$F$4&gt;0,AR11=0),AND($N$7=1,AT11=0)),0,1)</f>
        <v>0</v>
      </c>
    </row>
    <row r="12" customFormat="false" ht="15" hidden="false" customHeight="false" outlineLevel="0" collapsed="false">
      <c r="A12" s="23" t="str">
        <f aca="false">IF('Довідник категорій'!B10="","",'Довідник категорій'!B10)</f>
        <v/>
      </c>
      <c r="B12" s="78" t="str">
        <f aca="false">IF(OR(AC12=0,($D$4+$F$4)=0,($D$4+$F$4)&gt;R12,($D$4+$F$4)&lt;T12),"",ROUND(P12*(1-P$3)/ОКРУГЛЕННЯ,0)*ОКРУГЛЕННЯ+(MAX(0,$D$4-S12)*U12+(MAX(0,($D$4+$F$4)-S12)-MAX(0,$D$4-S12))*V12)*(1-P$3)+($D$4*W12+$F$4*X12)*(1-P$3*P$4)+AA12*(1-P$3*P$5))</f>
        <v/>
      </c>
      <c r="C12" s="78" t="str">
        <f aca="false">IF(OR(AD12=0,($D$4+$F$4)=0,($D$4+$F$4)&gt;R12,($D$4+$F$4)&lt;T12),"",ROUND(Q12*(1-P$3)/ОКРУГЛЕННЯ,0)*ОКРУГЛЕННЯ+(MAX(0,$D$4-S12)*U12+(MAX(0,($D$4+$F$4)-S12)-MAX(0,$D$4-S12))*V12)*(1-P$3)+($D$4*Y12+$F$4*Z12)*(1-P$3*P$4)+AB12*(1-P$3*P$5))</f>
        <v/>
      </c>
      <c r="D12" s="78" t="str">
        <f aca="false">IF(OR(AU12=0,($D$4+$F$4)=0,($D$4+$F$4)&gt;AJ12,($D$4+$F$4)&lt;AL12),"",ROUND(AH12*(1-AH$3)/ОКРУГЛЕННЯ,0)*ОКРУГЛЕННЯ+(MAX(0,$D$4-AK12)*AM12+(MAX(0,($D$4+$F$4)-AK12)-MAX(0,$D$4-AK12))*AN12)*(1-AH$3)+($D$4*AO12+$F$4*AP12)*(1-AH$3*AH$4)+AS12*(1-AH$3*AH$5))</f>
        <v/>
      </c>
      <c r="E12" s="78" t="str">
        <f aca="false">IF(OR(AV12=0,($D$4+$F$4)=0,($D$4+$F$4)&gt;AJ12,($D$4+$F$4)&lt;AL12),"",ROUND(AI12*(1-AH$3)/ОКРУГЛЕННЯ,0)*ОКРУГЛЕННЯ+(MAX(0,$D$4-AK12)*AM12+(MAX(0,($D$4+$F$4)-AK12)-MAX(0,$D$4-AK12))*AN12)*(1-AH$3)+($D$4*AQ12+$F$4*AR12)*(1-AH$3*AH$4)+AT12*(1-AH$3*AH$5))</f>
        <v/>
      </c>
      <c r="F12" s="78" t="str">
        <f aca="false">IF(OR(B12="",D12=""),"",D12-B12)</f>
        <v/>
      </c>
      <c r="G12" s="78" t="str">
        <f aca="false">IF(OR(C12="",E12=""),"",E12-C12)</f>
        <v/>
      </c>
      <c r="H12" s="71" t="str">
        <f aca="false">IF(OR(B12="",D12="",B12=0),"",D12/B12-1)</f>
        <v/>
      </c>
      <c r="I12" s="71" t="str">
        <f aca="false">IF(OR(C12="",E12="",C12=0),"",E12/C12-1)</f>
        <v/>
      </c>
      <c r="K12" s="52" t="s">
        <v>160</v>
      </c>
      <c r="L12" s="80" t="n">
        <f aca="false">COUNTIF(ПРАЙС_ЛИСТИ,"&lt;&gt;")</f>
        <v>12</v>
      </c>
      <c r="P12" s="6" t="n">
        <f aca="false">IF(OR(P$2=0,$A12=""),0,IFERROR(INDEX(БАЗА_ЦІНИ,MATCH($A12,БАЗА_КАТ,0),P$2),0))</f>
        <v>0</v>
      </c>
      <c r="Q12" s="6" t="n">
        <f aca="false">IF(OR(P$2=0,$A12=""),0,IFERROR(INDEX(БАЗА_ЦІНИ,MATCH($A12,БАЗА_КАТ,0),P$2+1),0))</f>
        <v>0</v>
      </c>
      <c r="R12" s="6" t="n">
        <f aca="false">IF($A12="",0,IFERROR(INDEX(ДОВ_МАКС,MATCH($A12,КАТЕГОРІЇ,0)),0))</f>
        <v>0</v>
      </c>
      <c r="S12" s="6" t="n">
        <f aca="false">IF($A12="",0,IFERROR(INDEX(ДОВ_ВКЛ,MATCH($A12,КАТЕГОРІЇ,0)),0))</f>
        <v>0</v>
      </c>
      <c r="T12" s="6" t="n">
        <f aca="false">IF($A12="",0,IFERROR(INDEX(ДОВ_МІН,MATCH($A12,КАТЕГОРІЇ,0)),0))</f>
        <v>0</v>
      </c>
      <c r="U12" s="6" t="n">
        <f aca="false">IF($A12="",0,IFERROR(INDEX(ДОВ_ДОПЛ_ДОР,MATCH($A12,КАТЕГОРІЇ,0)),0))</f>
        <v>0</v>
      </c>
      <c r="V12" s="6" t="n">
        <f aca="false">IF($A12="",0,IFERROR(INDEX(ДОВ_ДОПЛ_ДІТ,MATCH($A12,КАТЕГОРІЇ,0)),0))</f>
        <v>0</v>
      </c>
      <c r="W12" s="6" t="n">
        <f aca="false">IF(OR(P$2=0,$N$5=0),0,IFERROR(INDEX(ПАКЕТИ_ЦІНИ,MATCH($N$6&amp;"|Будні",ПАКЕТИ_КЛЮЧ,0),P$2+0),0))</f>
        <v>0</v>
      </c>
      <c r="X12" s="6" t="n">
        <f aca="false">IF(OR(P$2=0,$N$5=0),0,IFERROR(INDEX(ПАКЕТИ_ЦІНИ,MATCH($N$6&amp;"|Будні",ПАКЕТИ_КЛЮЧ,0),P$2+1),0))</f>
        <v>0</v>
      </c>
      <c r="Y12" s="6" t="n">
        <f aca="false">IF(OR(P$2=0,$N$5=0),0,IFERROR(INDEX(ПАКЕТИ_ЦІНИ,MATCH($N$6&amp;"|Вихідні",ПАКЕТИ_КЛЮЧ,0),P$2+0),0))</f>
        <v>0</v>
      </c>
      <c r="Z12" s="6" t="n">
        <f aca="false">IF(OR(P$2=0,$N$5=0),0,IFERROR(INDEX(ПАКЕТИ_ЦІНИ,MATCH($N$6&amp;"|Вихідні",ПАКЕТИ_КЛЮЧ,0),P$2+1),0))</f>
        <v>0</v>
      </c>
      <c r="AA12" s="6" t="n">
        <f aca="false">IF(OR(P$2=0,$N$7=0,$A12=""),0,IFERROR(INDEX(SPA_ЦІНИ,MATCH(INDEX(ДОВ_SPA,MATCH($A12,КАТЕГОРІЇ,0)),SPA_РІВЕНЬ,0),P$2+0),0))</f>
        <v>0</v>
      </c>
      <c r="AB12" s="6" t="n">
        <f aca="false">IF(OR(P$2=0,$N$7=0,$A12=""),0,IFERROR(INDEX(SPA_ЦІНИ,MATCH(INDEX(ДОВ_SPA,MATCH($A12,КАТЕГОРІЇ,0)),SPA_РІВЕНЬ,0),P$2+1),0))</f>
        <v>0</v>
      </c>
      <c r="AC12" s="6" t="n">
        <f aca="false">IF(OR($A12="",P12=0,AND($N$5=1,$D$4&gt;0,W12=0),AND($N$5=1,$F$4&gt;0,X12=0),AND($N$7=1,AA12=0)),0,1)</f>
        <v>0</v>
      </c>
      <c r="AD12" s="6" t="n">
        <f aca="false">IF(OR($A12="",Q12=0,AND($N$5=1,$D$4&gt;0,Y12=0),AND($N$5=1,$F$4&gt;0,Z12=0),AND($N$7=1,AB12=0)),0,1)</f>
        <v>0</v>
      </c>
      <c r="AH12" s="6" t="n">
        <f aca="false">IF(OR(AH$2=0,$A12=""),0,IFERROR(INDEX(БАЗА_ЦІНИ,MATCH($A12,БАЗА_КАТ,0),AH$2),0))</f>
        <v>0</v>
      </c>
      <c r="AI12" s="6" t="n">
        <f aca="false">IF(OR(AH$2=0,$A12=""),0,IFERROR(INDEX(БАЗА_ЦІНИ,MATCH($A12,БАЗА_КАТ,0),AH$2+1),0))</f>
        <v>0</v>
      </c>
      <c r="AJ12" s="6" t="n">
        <f aca="false">IF($A12="",0,IFERROR(INDEX(ДОВ_МАКС,MATCH($A12,КАТЕГОРІЇ,0)),0))</f>
        <v>0</v>
      </c>
      <c r="AK12" s="6" t="n">
        <f aca="false">IF($A12="",0,IFERROR(INDEX(ДОВ_ВКЛ,MATCH($A12,КАТЕГОРІЇ,0)),0))</f>
        <v>0</v>
      </c>
      <c r="AL12" s="6" t="n">
        <f aca="false">IF($A12="",0,IFERROR(INDEX(ДОВ_МІН,MATCH($A12,КАТЕГОРІЇ,0)),0))</f>
        <v>0</v>
      </c>
      <c r="AM12" s="6" t="n">
        <f aca="false">IF($A12="",0,IFERROR(INDEX(ДОВ_ДОПЛ_ДОР,MATCH($A12,КАТЕГОРІЇ,0)),0))</f>
        <v>0</v>
      </c>
      <c r="AN12" s="6" t="n">
        <f aca="false">IF($A12="",0,IFERROR(INDEX(ДОВ_ДОПЛ_ДІТ,MATCH($A12,КАТЕГОРІЇ,0)),0))</f>
        <v>0</v>
      </c>
      <c r="AO12" s="6" t="n">
        <f aca="false">IF(OR(AH$2=0,$N$5=0),0,IFERROR(INDEX(ПАКЕТИ_ЦІНИ,MATCH($N$6&amp;"|Будні",ПАКЕТИ_КЛЮЧ,0),AH$2+0),0))</f>
        <v>0</v>
      </c>
      <c r="AP12" s="6" t="n">
        <f aca="false">IF(OR(AH$2=0,$N$5=0),0,IFERROR(INDEX(ПАКЕТИ_ЦІНИ,MATCH($N$6&amp;"|Будні",ПАКЕТИ_КЛЮЧ,0),AH$2+1),0))</f>
        <v>0</v>
      </c>
      <c r="AQ12" s="6" t="n">
        <f aca="false">IF(OR(AH$2=0,$N$5=0),0,IFERROR(INDEX(ПАКЕТИ_ЦІНИ,MATCH($N$6&amp;"|Вихідні",ПАКЕТИ_КЛЮЧ,0),AH$2+0),0))</f>
        <v>0</v>
      </c>
      <c r="AR12" s="6" t="n">
        <f aca="false">IF(OR(AH$2=0,$N$5=0),0,IFERROR(INDEX(ПАКЕТИ_ЦІНИ,MATCH($N$6&amp;"|Вихідні",ПАКЕТИ_КЛЮЧ,0),AH$2+1),0))</f>
        <v>0</v>
      </c>
      <c r="AS12" s="6" t="n">
        <f aca="false">IF(OR(AH$2=0,$N$7=0,$A12=""),0,IFERROR(INDEX(SPA_ЦІНИ,MATCH(INDEX(ДОВ_SPA,MATCH($A12,КАТЕГОРІЇ,0)),SPA_РІВЕНЬ,0),AH$2+0),0))</f>
        <v>0</v>
      </c>
      <c r="AT12" s="6" t="n">
        <f aca="false">IF(OR(AH$2=0,$N$7=0,$A12=""),0,IFERROR(INDEX(SPA_ЦІНИ,MATCH(INDEX(ДОВ_SPA,MATCH($A12,КАТЕГОРІЇ,0)),SPA_РІВЕНЬ,0),AH$2+1),0))</f>
        <v>0</v>
      </c>
      <c r="AU12" s="6" t="n">
        <f aca="false">IF(OR($A12="",AH12=0,AND($N$5=1,$D$4&gt;0,AO12=0),AND($N$5=1,$F$4&gt;0,AP12=0),AND($N$7=1,AS12=0)),0,1)</f>
        <v>0</v>
      </c>
      <c r="AV12" s="6" t="n">
        <f aca="false">IF(OR($A12="",AI12=0,AND($N$5=1,$D$4&gt;0,AQ12=0),AND($N$5=1,$F$4&gt;0,AR12=0),AND($N$7=1,AT12=0)),0,1)</f>
        <v>0</v>
      </c>
    </row>
    <row r="13" customFormat="false" ht="15" hidden="false" customHeight="false" outlineLevel="0" collapsed="false">
      <c r="A13" s="16" t="str">
        <f aca="false">IF('Довідник категорій'!B11="","",'Довідник категорій'!B11)</f>
        <v/>
      </c>
      <c r="B13" s="35" t="str">
        <f aca="false">IF(OR(AC13=0,($D$4+$F$4)=0,($D$4+$F$4)&gt;R13,($D$4+$F$4)&lt;T13),"",ROUND(P13*(1-P$3)/ОКРУГЛЕННЯ,0)*ОКРУГЛЕННЯ+(MAX(0,$D$4-S13)*U13+(MAX(0,($D$4+$F$4)-S13)-MAX(0,$D$4-S13))*V13)*(1-P$3)+($D$4*W13+$F$4*X13)*(1-P$3*P$4)+AA13*(1-P$3*P$5))</f>
        <v/>
      </c>
      <c r="C13" s="35" t="str">
        <f aca="false">IF(OR(AD13=0,($D$4+$F$4)=0,($D$4+$F$4)&gt;R13,($D$4+$F$4)&lt;T13),"",ROUND(Q13*(1-P$3)/ОКРУГЛЕННЯ,0)*ОКРУГЛЕННЯ+(MAX(0,$D$4-S13)*U13+(MAX(0,($D$4+$F$4)-S13)-MAX(0,$D$4-S13))*V13)*(1-P$3)+($D$4*Y13+$F$4*Z13)*(1-P$3*P$4)+AB13*(1-P$3*P$5))</f>
        <v/>
      </c>
      <c r="D13" s="35" t="str">
        <f aca="false">IF(OR(AU13=0,($D$4+$F$4)=0,($D$4+$F$4)&gt;AJ13,($D$4+$F$4)&lt;AL13),"",ROUND(AH13*(1-AH$3)/ОКРУГЛЕННЯ,0)*ОКРУГЛЕННЯ+(MAX(0,$D$4-AK13)*AM13+(MAX(0,($D$4+$F$4)-AK13)-MAX(0,$D$4-AK13))*AN13)*(1-AH$3)+($D$4*AO13+$F$4*AP13)*(1-AH$3*AH$4)+AS13*(1-AH$3*AH$5))</f>
        <v/>
      </c>
      <c r="E13" s="35" t="str">
        <f aca="false">IF(OR(AV13=0,($D$4+$F$4)=0,($D$4+$F$4)&gt;AJ13,($D$4+$F$4)&lt;AL13),"",ROUND(AI13*(1-AH$3)/ОКРУГЛЕННЯ,0)*ОКРУГЛЕННЯ+(MAX(0,$D$4-AK13)*AM13+(MAX(0,($D$4+$F$4)-AK13)-MAX(0,$D$4-AK13))*AN13)*(1-AH$3)+($D$4*AQ13+$F$4*AR13)*(1-AH$3*AH$4)+AT13*(1-AH$3*AH$5))</f>
        <v/>
      </c>
      <c r="F13" s="35" t="str">
        <f aca="false">IF(OR(B13="",D13=""),"",D13-B13)</f>
        <v/>
      </c>
      <c r="G13" s="35" t="str">
        <f aca="false">IF(OR(C13="",E13=""),"",E13-C13)</f>
        <v/>
      </c>
      <c r="H13" s="77" t="str">
        <f aca="false">IF(OR(B13="",D13="",B13=0),"",D13/B13-1)</f>
        <v/>
      </c>
      <c r="I13" s="77" t="str">
        <f aca="false">IF(OR(C13="",E13="",C13=0),"",E13/C13-1)</f>
        <v/>
      </c>
      <c r="K13" s="52" t="s">
        <v>161</v>
      </c>
      <c r="L13" s="80" t="n">
        <f aca="false">COUNTIF(КАТЕГОРІЇ,"&lt;&gt;")</f>
        <v>3</v>
      </c>
      <c r="P13" s="6" t="n">
        <f aca="false">IF(OR(P$2=0,$A13=""),0,IFERROR(INDEX(БАЗА_ЦІНИ,MATCH($A13,БАЗА_КАТ,0),P$2),0))</f>
        <v>0</v>
      </c>
      <c r="Q13" s="6" t="n">
        <f aca="false">IF(OR(P$2=0,$A13=""),0,IFERROR(INDEX(БАЗА_ЦІНИ,MATCH($A13,БАЗА_КАТ,0),P$2+1),0))</f>
        <v>0</v>
      </c>
      <c r="R13" s="6" t="n">
        <f aca="false">IF($A13="",0,IFERROR(INDEX(ДОВ_МАКС,MATCH($A13,КАТЕГОРІЇ,0)),0))</f>
        <v>0</v>
      </c>
      <c r="S13" s="6" t="n">
        <f aca="false">IF($A13="",0,IFERROR(INDEX(ДОВ_ВКЛ,MATCH($A13,КАТЕГОРІЇ,0)),0))</f>
        <v>0</v>
      </c>
      <c r="T13" s="6" t="n">
        <f aca="false">IF($A13="",0,IFERROR(INDEX(ДОВ_МІН,MATCH($A13,КАТЕГОРІЇ,0)),0))</f>
        <v>0</v>
      </c>
      <c r="U13" s="6" t="n">
        <f aca="false">IF($A13="",0,IFERROR(INDEX(ДОВ_ДОПЛ_ДОР,MATCH($A13,КАТЕГОРІЇ,0)),0))</f>
        <v>0</v>
      </c>
      <c r="V13" s="6" t="n">
        <f aca="false">IF($A13="",0,IFERROR(INDEX(ДОВ_ДОПЛ_ДІТ,MATCH($A13,КАТЕГОРІЇ,0)),0))</f>
        <v>0</v>
      </c>
      <c r="W13" s="6" t="n">
        <f aca="false">IF(OR(P$2=0,$N$5=0),0,IFERROR(INDEX(ПАКЕТИ_ЦІНИ,MATCH($N$6&amp;"|Будні",ПАКЕТИ_КЛЮЧ,0),P$2+0),0))</f>
        <v>0</v>
      </c>
      <c r="X13" s="6" t="n">
        <f aca="false">IF(OR(P$2=0,$N$5=0),0,IFERROR(INDEX(ПАКЕТИ_ЦІНИ,MATCH($N$6&amp;"|Будні",ПАКЕТИ_КЛЮЧ,0),P$2+1),0))</f>
        <v>0</v>
      </c>
      <c r="Y13" s="6" t="n">
        <f aca="false">IF(OR(P$2=0,$N$5=0),0,IFERROR(INDEX(ПАКЕТИ_ЦІНИ,MATCH($N$6&amp;"|Вихідні",ПАКЕТИ_КЛЮЧ,0),P$2+0),0))</f>
        <v>0</v>
      </c>
      <c r="Z13" s="6" t="n">
        <f aca="false">IF(OR(P$2=0,$N$5=0),0,IFERROR(INDEX(ПАКЕТИ_ЦІНИ,MATCH($N$6&amp;"|Вихідні",ПАКЕТИ_КЛЮЧ,0),P$2+1),0))</f>
        <v>0</v>
      </c>
      <c r="AA13" s="6" t="n">
        <f aca="false">IF(OR(P$2=0,$N$7=0,$A13=""),0,IFERROR(INDEX(SPA_ЦІНИ,MATCH(INDEX(ДОВ_SPA,MATCH($A13,КАТЕГОРІЇ,0)),SPA_РІВЕНЬ,0),P$2+0),0))</f>
        <v>0</v>
      </c>
      <c r="AB13" s="6" t="n">
        <f aca="false">IF(OR(P$2=0,$N$7=0,$A13=""),0,IFERROR(INDEX(SPA_ЦІНИ,MATCH(INDEX(ДОВ_SPA,MATCH($A13,КАТЕГОРІЇ,0)),SPA_РІВЕНЬ,0),P$2+1),0))</f>
        <v>0</v>
      </c>
      <c r="AC13" s="6" t="n">
        <f aca="false">IF(OR($A13="",P13=0,AND($N$5=1,$D$4&gt;0,W13=0),AND($N$5=1,$F$4&gt;0,X13=0),AND($N$7=1,AA13=0)),0,1)</f>
        <v>0</v>
      </c>
      <c r="AD13" s="6" t="n">
        <f aca="false">IF(OR($A13="",Q13=0,AND($N$5=1,$D$4&gt;0,Y13=0),AND($N$5=1,$F$4&gt;0,Z13=0),AND($N$7=1,AB13=0)),0,1)</f>
        <v>0</v>
      </c>
      <c r="AH13" s="6" t="n">
        <f aca="false">IF(OR(AH$2=0,$A13=""),0,IFERROR(INDEX(БАЗА_ЦІНИ,MATCH($A13,БАЗА_КАТ,0),AH$2),0))</f>
        <v>0</v>
      </c>
      <c r="AI13" s="6" t="n">
        <f aca="false">IF(OR(AH$2=0,$A13=""),0,IFERROR(INDEX(БАЗА_ЦІНИ,MATCH($A13,БАЗА_КАТ,0),AH$2+1),0))</f>
        <v>0</v>
      </c>
      <c r="AJ13" s="6" t="n">
        <f aca="false">IF($A13="",0,IFERROR(INDEX(ДОВ_МАКС,MATCH($A13,КАТЕГОРІЇ,0)),0))</f>
        <v>0</v>
      </c>
      <c r="AK13" s="6" t="n">
        <f aca="false">IF($A13="",0,IFERROR(INDEX(ДОВ_ВКЛ,MATCH($A13,КАТЕГОРІЇ,0)),0))</f>
        <v>0</v>
      </c>
      <c r="AL13" s="6" t="n">
        <f aca="false">IF($A13="",0,IFERROR(INDEX(ДОВ_МІН,MATCH($A13,КАТЕГОРІЇ,0)),0))</f>
        <v>0</v>
      </c>
      <c r="AM13" s="6" t="n">
        <f aca="false">IF($A13="",0,IFERROR(INDEX(ДОВ_ДОПЛ_ДОР,MATCH($A13,КАТЕГОРІЇ,0)),0))</f>
        <v>0</v>
      </c>
      <c r="AN13" s="6" t="n">
        <f aca="false">IF($A13="",0,IFERROR(INDEX(ДОВ_ДОПЛ_ДІТ,MATCH($A13,КАТЕГОРІЇ,0)),0))</f>
        <v>0</v>
      </c>
      <c r="AO13" s="6" t="n">
        <f aca="false">IF(OR(AH$2=0,$N$5=0),0,IFERROR(INDEX(ПАКЕТИ_ЦІНИ,MATCH($N$6&amp;"|Будні",ПАКЕТИ_КЛЮЧ,0),AH$2+0),0))</f>
        <v>0</v>
      </c>
      <c r="AP13" s="6" t="n">
        <f aca="false">IF(OR(AH$2=0,$N$5=0),0,IFERROR(INDEX(ПАКЕТИ_ЦІНИ,MATCH($N$6&amp;"|Будні",ПАКЕТИ_КЛЮЧ,0),AH$2+1),0))</f>
        <v>0</v>
      </c>
      <c r="AQ13" s="6" t="n">
        <f aca="false">IF(OR(AH$2=0,$N$5=0),0,IFERROR(INDEX(ПАКЕТИ_ЦІНИ,MATCH($N$6&amp;"|Вихідні",ПАКЕТИ_КЛЮЧ,0),AH$2+0),0))</f>
        <v>0</v>
      </c>
      <c r="AR13" s="6" t="n">
        <f aca="false">IF(OR(AH$2=0,$N$5=0),0,IFERROR(INDEX(ПАКЕТИ_ЦІНИ,MATCH($N$6&amp;"|Вихідні",ПАКЕТИ_КЛЮЧ,0),AH$2+1),0))</f>
        <v>0</v>
      </c>
      <c r="AS13" s="6" t="n">
        <f aca="false">IF(OR(AH$2=0,$N$7=0,$A13=""),0,IFERROR(INDEX(SPA_ЦІНИ,MATCH(INDEX(ДОВ_SPA,MATCH($A13,КАТЕГОРІЇ,0)),SPA_РІВЕНЬ,0),AH$2+0),0))</f>
        <v>0</v>
      </c>
      <c r="AT13" s="6" t="n">
        <f aca="false">IF(OR(AH$2=0,$N$7=0,$A13=""),0,IFERROR(INDEX(SPA_ЦІНИ,MATCH(INDEX(ДОВ_SPA,MATCH($A13,КАТЕГОРІЇ,0)),SPA_РІВЕНЬ,0),AH$2+1),0))</f>
        <v>0</v>
      </c>
      <c r="AU13" s="6" t="n">
        <f aca="false">IF(OR($A13="",AH13=0,AND($N$5=1,$D$4&gt;0,AO13=0),AND($N$5=1,$F$4&gt;0,AP13=0),AND($N$7=1,AS13=0)),0,1)</f>
        <v>0</v>
      </c>
      <c r="AV13" s="6" t="n">
        <f aca="false">IF(OR($A13="",AI13=0,AND($N$5=1,$D$4&gt;0,AQ13=0),AND($N$5=1,$F$4&gt;0,AR13=0),AND($N$7=1,AT13=0)),0,1)</f>
        <v>0</v>
      </c>
    </row>
    <row r="14" customFormat="false" ht="15" hidden="false" customHeight="false" outlineLevel="0" collapsed="false">
      <c r="A14" s="23" t="str">
        <f aca="false">IF('Довідник категорій'!B12="","",'Довідник категорій'!B12)</f>
        <v/>
      </c>
      <c r="B14" s="78" t="str">
        <f aca="false">IF(OR(AC14=0,($D$4+$F$4)=0,($D$4+$F$4)&gt;R14,($D$4+$F$4)&lt;T14),"",ROUND(P14*(1-P$3)/ОКРУГЛЕННЯ,0)*ОКРУГЛЕННЯ+(MAX(0,$D$4-S14)*U14+(MAX(0,($D$4+$F$4)-S14)-MAX(0,$D$4-S14))*V14)*(1-P$3)+($D$4*W14+$F$4*X14)*(1-P$3*P$4)+AA14*(1-P$3*P$5))</f>
        <v/>
      </c>
      <c r="C14" s="78" t="str">
        <f aca="false">IF(OR(AD14=0,($D$4+$F$4)=0,($D$4+$F$4)&gt;R14,($D$4+$F$4)&lt;T14),"",ROUND(Q14*(1-P$3)/ОКРУГЛЕННЯ,0)*ОКРУГЛЕННЯ+(MAX(0,$D$4-S14)*U14+(MAX(0,($D$4+$F$4)-S14)-MAX(0,$D$4-S14))*V14)*(1-P$3)+($D$4*Y14+$F$4*Z14)*(1-P$3*P$4)+AB14*(1-P$3*P$5))</f>
        <v/>
      </c>
      <c r="D14" s="78" t="str">
        <f aca="false">IF(OR(AU14=0,($D$4+$F$4)=0,($D$4+$F$4)&gt;AJ14,($D$4+$F$4)&lt;AL14),"",ROUND(AH14*(1-AH$3)/ОКРУГЛЕННЯ,0)*ОКРУГЛЕННЯ+(MAX(0,$D$4-AK14)*AM14+(MAX(0,($D$4+$F$4)-AK14)-MAX(0,$D$4-AK14))*AN14)*(1-AH$3)+($D$4*AO14+$F$4*AP14)*(1-AH$3*AH$4)+AS14*(1-AH$3*AH$5))</f>
        <v/>
      </c>
      <c r="E14" s="78" t="str">
        <f aca="false">IF(OR(AV14=0,($D$4+$F$4)=0,($D$4+$F$4)&gt;AJ14,($D$4+$F$4)&lt;AL14),"",ROUND(AI14*(1-AH$3)/ОКРУГЛЕННЯ,0)*ОКРУГЛЕННЯ+(MAX(0,$D$4-AK14)*AM14+(MAX(0,($D$4+$F$4)-AK14)-MAX(0,$D$4-AK14))*AN14)*(1-AH$3)+($D$4*AQ14+$F$4*AR14)*(1-AH$3*AH$4)+AT14*(1-AH$3*AH$5))</f>
        <v/>
      </c>
      <c r="F14" s="78" t="str">
        <f aca="false">IF(OR(B14="",D14=""),"",D14-B14)</f>
        <v/>
      </c>
      <c r="G14" s="78" t="str">
        <f aca="false">IF(OR(C14="",E14=""),"",E14-C14)</f>
        <v/>
      </c>
      <c r="H14" s="71" t="str">
        <f aca="false">IF(OR(B14="",D14="",B14=0),"",D14/B14-1)</f>
        <v/>
      </c>
      <c r="I14" s="71" t="str">
        <f aca="false">IF(OR(C14="",E14="",C14=0),"",E14/C14-1)</f>
        <v/>
      </c>
      <c r="K14" s="52" t="s">
        <v>71</v>
      </c>
      <c r="L14" s="78" t="n">
        <f aca="false">ОКРУГЛЕННЯ</f>
        <v>100</v>
      </c>
      <c r="P14" s="6" t="n">
        <f aca="false">IF(OR(P$2=0,$A14=""),0,IFERROR(INDEX(БАЗА_ЦІНИ,MATCH($A14,БАЗА_КАТ,0),P$2),0))</f>
        <v>0</v>
      </c>
      <c r="Q14" s="6" t="n">
        <f aca="false">IF(OR(P$2=0,$A14=""),0,IFERROR(INDEX(БАЗА_ЦІНИ,MATCH($A14,БАЗА_КАТ,0),P$2+1),0))</f>
        <v>0</v>
      </c>
      <c r="R14" s="6" t="n">
        <f aca="false">IF($A14="",0,IFERROR(INDEX(ДОВ_МАКС,MATCH($A14,КАТЕГОРІЇ,0)),0))</f>
        <v>0</v>
      </c>
      <c r="S14" s="6" t="n">
        <f aca="false">IF($A14="",0,IFERROR(INDEX(ДОВ_ВКЛ,MATCH($A14,КАТЕГОРІЇ,0)),0))</f>
        <v>0</v>
      </c>
      <c r="T14" s="6" t="n">
        <f aca="false">IF($A14="",0,IFERROR(INDEX(ДОВ_МІН,MATCH($A14,КАТЕГОРІЇ,0)),0))</f>
        <v>0</v>
      </c>
      <c r="U14" s="6" t="n">
        <f aca="false">IF($A14="",0,IFERROR(INDEX(ДОВ_ДОПЛ_ДОР,MATCH($A14,КАТЕГОРІЇ,0)),0))</f>
        <v>0</v>
      </c>
      <c r="V14" s="6" t="n">
        <f aca="false">IF($A14="",0,IFERROR(INDEX(ДОВ_ДОПЛ_ДІТ,MATCH($A14,КАТЕГОРІЇ,0)),0))</f>
        <v>0</v>
      </c>
      <c r="W14" s="6" t="n">
        <f aca="false">IF(OR(P$2=0,$N$5=0),0,IFERROR(INDEX(ПАКЕТИ_ЦІНИ,MATCH($N$6&amp;"|Будні",ПАКЕТИ_КЛЮЧ,0),P$2+0),0))</f>
        <v>0</v>
      </c>
      <c r="X14" s="6" t="n">
        <f aca="false">IF(OR(P$2=0,$N$5=0),0,IFERROR(INDEX(ПАКЕТИ_ЦІНИ,MATCH($N$6&amp;"|Будні",ПАКЕТИ_КЛЮЧ,0),P$2+1),0))</f>
        <v>0</v>
      </c>
      <c r="Y14" s="6" t="n">
        <f aca="false">IF(OR(P$2=0,$N$5=0),0,IFERROR(INDEX(ПАКЕТИ_ЦІНИ,MATCH($N$6&amp;"|Вихідні",ПАКЕТИ_КЛЮЧ,0),P$2+0),0))</f>
        <v>0</v>
      </c>
      <c r="Z14" s="6" t="n">
        <f aca="false">IF(OR(P$2=0,$N$5=0),0,IFERROR(INDEX(ПАКЕТИ_ЦІНИ,MATCH($N$6&amp;"|Вихідні",ПАКЕТИ_КЛЮЧ,0),P$2+1),0))</f>
        <v>0</v>
      </c>
      <c r="AA14" s="6" t="n">
        <f aca="false">IF(OR(P$2=0,$N$7=0,$A14=""),0,IFERROR(INDEX(SPA_ЦІНИ,MATCH(INDEX(ДОВ_SPA,MATCH($A14,КАТЕГОРІЇ,0)),SPA_РІВЕНЬ,0),P$2+0),0))</f>
        <v>0</v>
      </c>
      <c r="AB14" s="6" t="n">
        <f aca="false">IF(OR(P$2=0,$N$7=0,$A14=""),0,IFERROR(INDEX(SPA_ЦІНИ,MATCH(INDEX(ДОВ_SPA,MATCH($A14,КАТЕГОРІЇ,0)),SPA_РІВЕНЬ,0),P$2+1),0))</f>
        <v>0</v>
      </c>
      <c r="AC14" s="6" t="n">
        <f aca="false">IF(OR($A14="",P14=0,AND($N$5=1,$D$4&gt;0,W14=0),AND($N$5=1,$F$4&gt;0,X14=0),AND($N$7=1,AA14=0)),0,1)</f>
        <v>0</v>
      </c>
      <c r="AD14" s="6" t="n">
        <f aca="false">IF(OR($A14="",Q14=0,AND($N$5=1,$D$4&gt;0,Y14=0),AND($N$5=1,$F$4&gt;0,Z14=0),AND($N$7=1,AB14=0)),0,1)</f>
        <v>0</v>
      </c>
      <c r="AH14" s="6" t="n">
        <f aca="false">IF(OR(AH$2=0,$A14=""),0,IFERROR(INDEX(БАЗА_ЦІНИ,MATCH($A14,БАЗА_КАТ,0),AH$2),0))</f>
        <v>0</v>
      </c>
      <c r="AI14" s="6" t="n">
        <f aca="false">IF(OR(AH$2=0,$A14=""),0,IFERROR(INDEX(БАЗА_ЦІНИ,MATCH($A14,БАЗА_КАТ,0),AH$2+1),0))</f>
        <v>0</v>
      </c>
      <c r="AJ14" s="6" t="n">
        <f aca="false">IF($A14="",0,IFERROR(INDEX(ДОВ_МАКС,MATCH($A14,КАТЕГОРІЇ,0)),0))</f>
        <v>0</v>
      </c>
      <c r="AK14" s="6" t="n">
        <f aca="false">IF($A14="",0,IFERROR(INDEX(ДОВ_ВКЛ,MATCH($A14,КАТЕГОРІЇ,0)),0))</f>
        <v>0</v>
      </c>
      <c r="AL14" s="6" t="n">
        <f aca="false">IF($A14="",0,IFERROR(INDEX(ДОВ_МІН,MATCH($A14,КАТЕГОРІЇ,0)),0))</f>
        <v>0</v>
      </c>
      <c r="AM14" s="6" t="n">
        <f aca="false">IF($A14="",0,IFERROR(INDEX(ДОВ_ДОПЛ_ДОР,MATCH($A14,КАТЕГОРІЇ,0)),0))</f>
        <v>0</v>
      </c>
      <c r="AN14" s="6" t="n">
        <f aca="false">IF($A14="",0,IFERROR(INDEX(ДОВ_ДОПЛ_ДІТ,MATCH($A14,КАТЕГОРІЇ,0)),0))</f>
        <v>0</v>
      </c>
      <c r="AO14" s="6" t="n">
        <f aca="false">IF(OR(AH$2=0,$N$5=0),0,IFERROR(INDEX(ПАКЕТИ_ЦІНИ,MATCH($N$6&amp;"|Будні",ПАКЕТИ_КЛЮЧ,0),AH$2+0),0))</f>
        <v>0</v>
      </c>
      <c r="AP14" s="6" t="n">
        <f aca="false">IF(OR(AH$2=0,$N$5=0),0,IFERROR(INDEX(ПАКЕТИ_ЦІНИ,MATCH($N$6&amp;"|Будні",ПАКЕТИ_КЛЮЧ,0),AH$2+1),0))</f>
        <v>0</v>
      </c>
      <c r="AQ14" s="6" t="n">
        <f aca="false">IF(OR(AH$2=0,$N$5=0),0,IFERROR(INDEX(ПАКЕТИ_ЦІНИ,MATCH($N$6&amp;"|Вихідні",ПАКЕТИ_КЛЮЧ,0),AH$2+0),0))</f>
        <v>0</v>
      </c>
      <c r="AR14" s="6" t="n">
        <f aca="false">IF(OR(AH$2=0,$N$5=0),0,IFERROR(INDEX(ПАКЕТИ_ЦІНИ,MATCH($N$6&amp;"|Вихідні",ПАКЕТИ_КЛЮЧ,0),AH$2+1),0))</f>
        <v>0</v>
      </c>
      <c r="AS14" s="6" t="n">
        <f aca="false">IF(OR(AH$2=0,$N$7=0,$A14=""),0,IFERROR(INDEX(SPA_ЦІНИ,MATCH(INDEX(ДОВ_SPA,MATCH($A14,КАТЕГОРІЇ,0)),SPA_РІВЕНЬ,0),AH$2+0),0))</f>
        <v>0</v>
      </c>
      <c r="AT14" s="6" t="n">
        <f aca="false">IF(OR(AH$2=0,$N$7=0,$A14=""),0,IFERROR(INDEX(SPA_ЦІНИ,MATCH(INDEX(ДОВ_SPA,MATCH($A14,КАТЕГОРІЇ,0)),SPA_РІВЕНЬ,0),AH$2+1),0))</f>
        <v>0</v>
      </c>
      <c r="AU14" s="6" t="n">
        <f aca="false">IF(OR($A14="",AH14=0,AND($N$5=1,$D$4&gt;0,AO14=0),AND($N$5=1,$F$4&gt;0,AP14=0),AND($N$7=1,AS14=0)),0,1)</f>
        <v>0</v>
      </c>
      <c r="AV14" s="6" t="n">
        <f aca="false">IF(OR($A14="",AI14=0,AND($N$5=1,$D$4&gt;0,AQ14=0),AND($N$5=1,$F$4&gt;0,AR14=0),AND($N$7=1,AT14=0)),0,1)</f>
        <v>0</v>
      </c>
    </row>
    <row r="15" customFormat="false" ht="15" hidden="false" customHeight="false" outlineLevel="0" collapsed="false">
      <c r="A15" s="16" t="str">
        <f aca="false">IF('Довідник категорій'!B13="","",'Довідник категорій'!B13)</f>
        <v/>
      </c>
      <c r="B15" s="35" t="str">
        <f aca="false">IF(OR(AC15=0,($D$4+$F$4)=0,($D$4+$F$4)&gt;R15,($D$4+$F$4)&lt;T15),"",ROUND(P15*(1-P$3)/ОКРУГЛЕННЯ,0)*ОКРУГЛЕННЯ+(MAX(0,$D$4-S15)*U15+(MAX(0,($D$4+$F$4)-S15)-MAX(0,$D$4-S15))*V15)*(1-P$3)+($D$4*W15+$F$4*X15)*(1-P$3*P$4)+AA15*(1-P$3*P$5))</f>
        <v/>
      </c>
      <c r="C15" s="35" t="str">
        <f aca="false">IF(OR(AD15=0,($D$4+$F$4)=0,($D$4+$F$4)&gt;R15,($D$4+$F$4)&lt;T15),"",ROUND(Q15*(1-P$3)/ОКРУГЛЕННЯ,0)*ОКРУГЛЕННЯ+(MAX(0,$D$4-S15)*U15+(MAX(0,($D$4+$F$4)-S15)-MAX(0,$D$4-S15))*V15)*(1-P$3)+($D$4*Y15+$F$4*Z15)*(1-P$3*P$4)+AB15*(1-P$3*P$5))</f>
        <v/>
      </c>
      <c r="D15" s="35" t="str">
        <f aca="false">IF(OR(AU15=0,($D$4+$F$4)=0,($D$4+$F$4)&gt;AJ15,($D$4+$F$4)&lt;AL15),"",ROUND(AH15*(1-AH$3)/ОКРУГЛЕННЯ,0)*ОКРУГЛЕННЯ+(MAX(0,$D$4-AK15)*AM15+(MAX(0,($D$4+$F$4)-AK15)-MAX(0,$D$4-AK15))*AN15)*(1-AH$3)+($D$4*AO15+$F$4*AP15)*(1-AH$3*AH$4)+AS15*(1-AH$3*AH$5))</f>
        <v/>
      </c>
      <c r="E15" s="35" t="str">
        <f aca="false">IF(OR(AV15=0,($D$4+$F$4)=0,($D$4+$F$4)&gt;AJ15,($D$4+$F$4)&lt;AL15),"",ROUND(AI15*(1-AH$3)/ОКРУГЛЕННЯ,0)*ОКРУГЛЕННЯ+(MAX(0,$D$4-AK15)*AM15+(MAX(0,($D$4+$F$4)-AK15)-MAX(0,$D$4-AK15))*AN15)*(1-AH$3)+($D$4*AQ15+$F$4*AR15)*(1-AH$3*AH$4)+AT15*(1-AH$3*AH$5))</f>
        <v/>
      </c>
      <c r="F15" s="35" t="str">
        <f aca="false">IF(OR(B15="",D15=""),"",D15-B15)</f>
        <v/>
      </c>
      <c r="G15" s="35" t="str">
        <f aca="false">IF(OR(C15="",E15=""),"",E15-C15)</f>
        <v/>
      </c>
      <c r="H15" s="77" t="str">
        <f aca="false">IF(OR(B15="",D15="",B15=0),"",D15/B15-1)</f>
        <v/>
      </c>
      <c r="I15" s="77" t="str">
        <f aca="false">IF(OR(C15="",E15="",C15=0),"",E15/C15-1)</f>
        <v/>
      </c>
      <c r="P15" s="6" t="n">
        <f aca="false">IF(OR(P$2=0,$A15=""),0,IFERROR(INDEX(БАЗА_ЦІНИ,MATCH($A15,БАЗА_КАТ,0),P$2),0))</f>
        <v>0</v>
      </c>
      <c r="Q15" s="6" t="n">
        <f aca="false">IF(OR(P$2=0,$A15=""),0,IFERROR(INDEX(БАЗА_ЦІНИ,MATCH($A15,БАЗА_КАТ,0),P$2+1),0))</f>
        <v>0</v>
      </c>
      <c r="R15" s="6" t="n">
        <f aca="false">IF($A15="",0,IFERROR(INDEX(ДОВ_МАКС,MATCH($A15,КАТЕГОРІЇ,0)),0))</f>
        <v>0</v>
      </c>
      <c r="S15" s="6" t="n">
        <f aca="false">IF($A15="",0,IFERROR(INDEX(ДОВ_ВКЛ,MATCH($A15,КАТЕГОРІЇ,0)),0))</f>
        <v>0</v>
      </c>
      <c r="T15" s="6" t="n">
        <f aca="false">IF($A15="",0,IFERROR(INDEX(ДОВ_МІН,MATCH($A15,КАТЕГОРІЇ,0)),0))</f>
        <v>0</v>
      </c>
      <c r="U15" s="6" t="n">
        <f aca="false">IF($A15="",0,IFERROR(INDEX(ДОВ_ДОПЛ_ДОР,MATCH($A15,КАТЕГОРІЇ,0)),0))</f>
        <v>0</v>
      </c>
      <c r="V15" s="6" t="n">
        <f aca="false">IF($A15="",0,IFERROR(INDEX(ДОВ_ДОПЛ_ДІТ,MATCH($A15,КАТЕГОРІЇ,0)),0))</f>
        <v>0</v>
      </c>
      <c r="W15" s="6" t="n">
        <f aca="false">IF(OR(P$2=0,$N$5=0),0,IFERROR(INDEX(ПАКЕТИ_ЦІНИ,MATCH($N$6&amp;"|Будні",ПАКЕТИ_КЛЮЧ,0),P$2+0),0))</f>
        <v>0</v>
      </c>
      <c r="X15" s="6" t="n">
        <f aca="false">IF(OR(P$2=0,$N$5=0),0,IFERROR(INDEX(ПАКЕТИ_ЦІНИ,MATCH($N$6&amp;"|Будні",ПАКЕТИ_КЛЮЧ,0),P$2+1),0))</f>
        <v>0</v>
      </c>
      <c r="Y15" s="6" t="n">
        <f aca="false">IF(OR(P$2=0,$N$5=0),0,IFERROR(INDEX(ПАКЕТИ_ЦІНИ,MATCH($N$6&amp;"|Вихідні",ПАКЕТИ_КЛЮЧ,0),P$2+0),0))</f>
        <v>0</v>
      </c>
      <c r="Z15" s="6" t="n">
        <f aca="false">IF(OR(P$2=0,$N$5=0),0,IFERROR(INDEX(ПАКЕТИ_ЦІНИ,MATCH($N$6&amp;"|Вихідні",ПАКЕТИ_КЛЮЧ,0),P$2+1),0))</f>
        <v>0</v>
      </c>
      <c r="AA15" s="6" t="n">
        <f aca="false">IF(OR(P$2=0,$N$7=0,$A15=""),0,IFERROR(INDEX(SPA_ЦІНИ,MATCH(INDEX(ДОВ_SPA,MATCH($A15,КАТЕГОРІЇ,0)),SPA_РІВЕНЬ,0),P$2+0),0))</f>
        <v>0</v>
      </c>
      <c r="AB15" s="6" t="n">
        <f aca="false">IF(OR(P$2=0,$N$7=0,$A15=""),0,IFERROR(INDEX(SPA_ЦІНИ,MATCH(INDEX(ДОВ_SPA,MATCH($A15,КАТЕГОРІЇ,0)),SPA_РІВЕНЬ,0),P$2+1),0))</f>
        <v>0</v>
      </c>
      <c r="AC15" s="6" t="n">
        <f aca="false">IF(OR($A15="",P15=0,AND($N$5=1,$D$4&gt;0,W15=0),AND($N$5=1,$F$4&gt;0,X15=0),AND($N$7=1,AA15=0)),0,1)</f>
        <v>0</v>
      </c>
      <c r="AD15" s="6" t="n">
        <f aca="false">IF(OR($A15="",Q15=0,AND($N$5=1,$D$4&gt;0,Y15=0),AND($N$5=1,$F$4&gt;0,Z15=0),AND($N$7=1,AB15=0)),0,1)</f>
        <v>0</v>
      </c>
      <c r="AH15" s="6" t="n">
        <f aca="false">IF(OR(AH$2=0,$A15=""),0,IFERROR(INDEX(БАЗА_ЦІНИ,MATCH($A15,БАЗА_КАТ,0),AH$2),0))</f>
        <v>0</v>
      </c>
      <c r="AI15" s="6" t="n">
        <f aca="false">IF(OR(AH$2=0,$A15=""),0,IFERROR(INDEX(БАЗА_ЦІНИ,MATCH($A15,БАЗА_КАТ,0),AH$2+1),0))</f>
        <v>0</v>
      </c>
      <c r="AJ15" s="6" t="n">
        <f aca="false">IF($A15="",0,IFERROR(INDEX(ДОВ_МАКС,MATCH($A15,КАТЕГОРІЇ,0)),0))</f>
        <v>0</v>
      </c>
      <c r="AK15" s="6" t="n">
        <f aca="false">IF($A15="",0,IFERROR(INDEX(ДОВ_ВКЛ,MATCH($A15,КАТЕГОРІЇ,0)),0))</f>
        <v>0</v>
      </c>
      <c r="AL15" s="6" t="n">
        <f aca="false">IF($A15="",0,IFERROR(INDEX(ДОВ_МІН,MATCH($A15,КАТЕГОРІЇ,0)),0))</f>
        <v>0</v>
      </c>
      <c r="AM15" s="6" t="n">
        <f aca="false">IF($A15="",0,IFERROR(INDEX(ДОВ_ДОПЛ_ДОР,MATCH($A15,КАТЕГОРІЇ,0)),0))</f>
        <v>0</v>
      </c>
      <c r="AN15" s="6" t="n">
        <f aca="false">IF($A15="",0,IFERROR(INDEX(ДОВ_ДОПЛ_ДІТ,MATCH($A15,КАТЕГОРІЇ,0)),0))</f>
        <v>0</v>
      </c>
      <c r="AO15" s="6" t="n">
        <f aca="false">IF(OR(AH$2=0,$N$5=0),0,IFERROR(INDEX(ПАКЕТИ_ЦІНИ,MATCH($N$6&amp;"|Будні",ПАКЕТИ_КЛЮЧ,0),AH$2+0),0))</f>
        <v>0</v>
      </c>
      <c r="AP15" s="6" t="n">
        <f aca="false">IF(OR(AH$2=0,$N$5=0),0,IFERROR(INDEX(ПАКЕТИ_ЦІНИ,MATCH($N$6&amp;"|Будні",ПАКЕТИ_КЛЮЧ,0),AH$2+1),0))</f>
        <v>0</v>
      </c>
      <c r="AQ15" s="6" t="n">
        <f aca="false">IF(OR(AH$2=0,$N$5=0),0,IFERROR(INDEX(ПАКЕТИ_ЦІНИ,MATCH($N$6&amp;"|Вихідні",ПАКЕТИ_КЛЮЧ,0),AH$2+0),0))</f>
        <v>0</v>
      </c>
      <c r="AR15" s="6" t="n">
        <f aca="false">IF(OR(AH$2=0,$N$5=0),0,IFERROR(INDEX(ПАКЕТИ_ЦІНИ,MATCH($N$6&amp;"|Вихідні",ПАКЕТИ_КЛЮЧ,0),AH$2+1),0))</f>
        <v>0</v>
      </c>
      <c r="AS15" s="6" t="n">
        <f aca="false">IF(OR(AH$2=0,$N$7=0,$A15=""),0,IFERROR(INDEX(SPA_ЦІНИ,MATCH(INDEX(ДОВ_SPA,MATCH($A15,КАТЕГОРІЇ,0)),SPA_РІВЕНЬ,0),AH$2+0),0))</f>
        <v>0</v>
      </c>
      <c r="AT15" s="6" t="n">
        <f aca="false">IF(OR(AH$2=0,$N$7=0,$A15=""),0,IFERROR(INDEX(SPA_ЦІНИ,MATCH(INDEX(ДОВ_SPA,MATCH($A15,КАТЕГОРІЇ,0)),SPA_РІВЕНЬ,0),AH$2+1),0))</f>
        <v>0</v>
      </c>
      <c r="AU15" s="6" t="n">
        <f aca="false">IF(OR($A15="",AH15=0,AND($N$5=1,$D$4&gt;0,AO15=0),AND($N$5=1,$F$4&gt;0,AP15=0),AND($N$7=1,AS15=0)),0,1)</f>
        <v>0</v>
      </c>
      <c r="AV15" s="6" t="n">
        <f aca="false">IF(OR($A15="",AI15=0,AND($N$5=1,$D$4&gt;0,AQ15=0),AND($N$5=1,$F$4&gt;0,AR15=0),AND($N$7=1,AT15=0)),0,1)</f>
        <v>0</v>
      </c>
    </row>
    <row r="16" customFormat="false" ht="15" hidden="false" customHeight="true" outlineLevel="0" collapsed="false">
      <c r="A16" s="23" t="str">
        <f aca="false">IF('Довідник категорій'!B14="","",'Довідник категорій'!B14)</f>
        <v/>
      </c>
      <c r="B16" s="78" t="str">
        <f aca="false">IF(OR(AC16=0,($D$4+$F$4)=0,($D$4+$F$4)&gt;R16,($D$4+$F$4)&lt;T16),"",ROUND(P16*(1-P$3)/ОКРУГЛЕННЯ,0)*ОКРУГЛЕННЯ+(MAX(0,$D$4-S16)*U16+(MAX(0,($D$4+$F$4)-S16)-MAX(0,$D$4-S16))*V16)*(1-P$3)+($D$4*W16+$F$4*X16)*(1-P$3*P$4)+AA16*(1-P$3*P$5))</f>
        <v/>
      </c>
      <c r="C16" s="78" t="str">
        <f aca="false">IF(OR(AD16=0,($D$4+$F$4)=0,($D$4+$F$4)&gt;R16,($D$4+$F$4)&lt;T16),"",ROUND(Q16*(1-P$3)/ОКРУГЛЕННЯ,0)*ОКРУГЛЕННЯ+(MAX(0,$D$4-S16)*U16+(MAX(0,($D$4+$F$4)-S16)-MAX(0,$D$4-S16))*V16)*(1-P$3)+($D$4*Y16+$F$4*Z16)*(1-P$3*P$4)+AB16*(1-P$3*P$5))</f>
        <v/>
      </c>
      <c r="D16" s="78" t="str">
        <f aca="false">IF(OR(AU16=0,($D$4+$F$4)=0,($D$4+$F$4)&gt;AJ16,($D$4+$F$4)&lt;AL16),"",ROUND(AH16*(1-AH$3)/ОКРУГЛЕННЯ,0)*ОКРУГЛЕННЯ+(MAX(0,$D$4-AK16)*AM16+(MAX(0,($D$4+$F$4)-AK16)-MAX(0,$D$4-AK16))*AN16)*(1-AH$3)+($D$4*AO16+$F$4*AP16)*(1-AH$3*AH$4)+AS16*(1-AH$3*AH$5))</f>
        <v/>
      </c>
      <c r="E16" s="78" t="str">
        <f aca="false">IF(OR(AV16=0,($D$4+$F$4)=0,($D$4+$F$4)&gt;AJ16,($D$4+$F$4)&lt;AL16),"",ROUND(AI16*(1-AH$3)/ОКРУГЛЕННЯ,0)*ОКРУГЛЕННЯ+(MAX(0,$D$4-AK16)*AM16+(MAX(0,($D$4+$F$4)-AK16)-MAX(0,$D$4-AK16))*AN16)*(1-AH$3)+($D$4*AQ16+$F$4*AR16)*(1-AH$3*AH$4)+AT16*(1-AH$3*AH$5))</f>
        <v/>
      </c>
      <c r="F16" s="78" t="str">
        <f aca="false">IF(OR(B16="",D16=""),"",D16-B16)</f>
        <v/>
      </c>
      <c r="G16" s="78" t="str">
        <f aca="false">IF(OR(C16="",E16=""),"",E16-C16)</f>
        <v/>
      </c>
      <c r="H16" s="71" t="str">
        <f aca="false">IF(OR(B16="",D16="",B16=0),"",D16/B16-1)</f>
        <v/>
      </c>
      <c r="I16" s="71" t="str">
        <f aca="false">IF(OR(C16="",E16="",C16=0),"",E16/C16-1)</f>
        <v/>
      </c>
      <c r="K16" s="81" t="s">
        <v>162</v>
      </c>
      <c r="L16" s="81"/>
      <c r="P16" s="6" t="n">
        <f aca="false">IF(OR(P$2=0,$A16=""),0,IFERROR(INDEX(БАЗА_ЦІНИ,MATCH($A16,БАЗА_КАТ,0),P$2),0))</f>
        <v>0</v>
      </c>
      <c r="Q16" s="6" t="n">
        <f aca="false">IF(OR(P$2=0,$A16=""),0,IFERROR(INDEX(БАЗА_ЦІНИ,MATCH($A16,БАЗА_КАТ,0),P$2+1),0))</f>
        <v>0</v>
      </c>
      <c r="R16" s="6" t="n">
        <f aca="false">IF($A16="",0,IFERROR(INDEX(ДОВ_МАКС,MATCH($A16,КАТЕГОРІЇ,0)),0))</f>
        <v>0</v>
      </c>
      <c r="S16" s="6" t="n">
        <f aca="false">IF($A16="",0,IFERROR(INDEX(ДОВ_ВКЛ,MATCH($A16,КАТЕГОРІЇ,0)),0))</f>
        <v>0</v>
      </c>
      <c r="T16" s="6" t="n">
        <f aca="false">IF($A16="",0,IFERROR(INDEX(ДОВ_МІН,MATCH($A16,КАТЕГОРІЇ,0)),0))</f>
        <v>0</v>
      </c>
      <c r="U16" s="6" t="n">
        <f aca="false">IF($A16="",0,IFERROR(INDEX(ДОВ_ДОПЛ_ДОР,MATCH($A16,КАТЕГОРІЇ,0)),0))</f>
        <v>0</v>
      </c>
      <c r="V16" s="6" t="n">
        <f aca="false">IF($A16="",0,IFERROR(INDEX(ДОВ_ДОПЛ_ДІТ,MATCH($A16,КАТЕГОРІЇ,0)),0))</f>
        <v>0</v>
      </c>
      <c r="W16" s="6" t="n">
        <f aca="false">IF(OR(P$2=0,$N$5=0),0,IFERROR(INDEX(ПАКЕТИ_ЦІНИ,MATCH($N$6&amp;"|Будні",ПАКЕТИ_КЛЮЧ,0),P$2+0),0))</f>
        <v>0</v>
      </c>
      <c r="X16" s="6" t="n">
        <f aca="false">IF(OR(P$2=0,$N$5=0),0,IFERROR(INDEX(ПАКЕТИ_ЦІНИ,MATCH($N$6&amp;"|Будні",ПАКЕТИ_КЛЮЧ,0),P$2+1),0))</f>
        <v>0</v>
      </c>
      <c r="Y16" s="6" t="n">
        <f aca="false">IF(OR(P$2=0,$N$5=0),0,IFERROR(INDEX(ПАКЕТИ_ЦІНИ,MATCH($N$6&amp;"|Вихідні",ПАКЕТИ_КЛЮЧ,0),P$2+0),0))</f>
        <v>0</v>
      </c>
      <c r="Z16" s="6" t="n">
        <f aca="false">IF(OR(P$2=0,$N$5=0),0,IFERROR(INDEX(ПАКЕТИ_ЦІНИ,MATCH($N$6&amp;"|Вихідні",ПАКЕТИ_КЛЮЧ,0),P$2+1),0))</f>
        <v>0</v>
      </c>
      <c r="AA16" s="6" t="n">
        <f aca="false">IF(OR(P$2=0,$N$7=0,$A16=""),0,IFERROR(INDEX(SPA_ЦІНИ,MATCH(INDEX(ДОВ_SPA,MATCH($A16,КАТЕГОРІЇ,0)),SPA_РІВЕНЬ,0),P$2+0),0))</f>
        <v>0</v>
      </c>
      <c r="AB16" s="6" t="n">
        <f aca="false">IF(OR(P$2=0,$N$7=0,$A16=""),0,IFERROR(INDEX(SPA_ЦІНИ,MATCH(INDEX(ДОВ_SPA,MATCH($A16,КАТЕГОРІЇ,0)),SPA_РІВЕНЬ,0),P$2+1),0))</f>
        <v>0</v>
      </c>
      <c r="AC16" s="6" t="n">
        <f aca="false">IF(OR($A16="",P16=0,AND($N$5=1,$D$4&gt;0,W16=0),AND($N$5=1,$F$4&gt;0,X16=0),AND($N$7=1,AA16=0)),0,1)</f>
        <v>0</v>
      </c>
      <c r="AD16" s="6" t="n">
        <f aca="false">IF(OR($A16="",Q16=0,AND($N$5=1,$D$4&gt;0,Y16=0),AND($N$5=1,$F$4&gt;0,Z16=0),AND($N$7=1,AB16=0)),0,1)</f>
        <v>0</v>
      </c>
      <c r="AH16" s="6" t="n">
        <f aca="false">IF(OR(AH$2=0,$A16=""),0,IFERROR(INDEX(БАЗА_ЦІНИ,MATCH($A16,БАЗА_КАТ,0),AH$2),0))</f>
        <v>0</v>
      </c>
      <c r="AI16" s="6" t="n">
        <f aca="false">IF(OR(AH$2=0,$A16=""),0,IFERROR(INDEX(БАЗА_ЦІНИ,MATCH($A16,БАЗА_КАТ,0),AH$2+1),0))</f>
        <v>0</v>
      </c>
      <c r="AJ16" s="6" t="n">
        <f aca="false">IF($A16="",0,IFERROR(INDEX(ДОВ_МАКС,MATCH($A16,КАТЕГОРІЇ,0)),0))</f>
        <v>0</v>
      </c>
      <c r="AK16" s="6" t="n">
        <f aca="false">IF($A16="",0,IFERROR(INDEX(ДОВ_ВКЛ,MATCH($A16,КАТЕГОРІЇ,0)),0))</f>
        <v>0</v>
      </c>
      <c r="AL16" s="6" t="n">
        <f aca="false">IF($A16="",0,IFERROR(INDEX(ДОВ_МІН,MATCH($A16,КАТЕГОРІЇ,0)),0))</f>
        <v>0</v>
      </c>
      <c r="AM16" s="6" t="n">
        <f aca="false">IF($A16="",0,IFERROR(INDEX(ДОВ_ДОПЛ_ДОР,MATCH($A16,КАТЕГОРІЇ,0)),0))</f>
        <v>0</v>
      </c>
      <c r="AN16" s="6" t="n">
        <f aca="false">IF($A16="",0,IFERROR(INDEX(ДОВ_ДОПЛ_ДІТ,MATCH($A16,КАТЕГОРІЇ,0)),0))</f>
        <v>0</v>
      </c>
      <c r="AO16" s="6" t="n">
        <f aca="false">IF(OR(AH$2=0,$N$5=0),0,IFERROR(INDEX(ПАКЕТИ_ЦІНИ,MATCH($N$6&amp;"|Будні",ПАКЕТИ_КЛЮЧ,0),AH$2+0),0))</f>
        <v>0</v>
      </c>
      <c r="AP16" s="6" t="n">
        <f aca="false">IF(OR(AH$2=0,$N$5=0),0,IFERROR(INDEX(ПАКЕТИ_ЦІНИ,MATCH($N$6&amp;"|Будні",ПАКЕТИ_КЛЮЧ,0),AH$2+1),0))</f>
        <v>0</v>
      </c>
      <c r="AQ16" s="6" t="n">
        <f aca="false">IF(OR(AH$2=0,$N$5=0),0,IFERROR(INDEX(ПАКЕТИ_ЦІНИ,MATCH($N$6&amp;"|Вихідні",ПАКЕТИ_КЛЮЧ,0),AH$2+0),0))</f>
        <v>0</v>
      </c>
      <c r="AR16" s="6" t="n">
        <f aca="false">IF(OR(AH$2=0,$N$5=0),0,IFERROR(INDEX(ПАКЕТИ_ЦІНИ,MATCH($N$6&amp;"|Вихідні",ПАКЕТИ_КЛЮЧ,0),AH$2+1),0))</f>
        <v>0</v>
      </c>
      <c r="AS16" s="6" t="n">
        <f aca="false">IF(OR(AH$2=0,$N$7=0,$A16=""),0,IFERROR(INDEX(SPA_ЦІНИ,MATCH(INDEX(ДОВ_SPA,MATCH($A16,КАТЕГОРІЇ,0)),SPA_РІВЕНЬ,0),AH$2+0),0))</f>
        <v>0</v>
      </c>
      <c r="AT16" s="6" t="n">
        <f aca="false">IF(OR(AH$2=0,$N$7=0,$A16=""),0,IFERROR(INDEX(SPA_ЦІНИ,MATCH(INDEX(ДОВ_SPA,MATCH($A16,КАТЕГОРІЇ,0)),SPA_РІВЕНЬ,0),AH$2+1),0))</f>
        <v>0</v>
      </c>
      <c r="AU16" s="6" t="n">
        <f aca="false">IF(OR($A16="",AH16=0,AND($N$5=1,$D$4&gt;0,AO16=0),AND($N$5=1,$F$4&gt;0,AP16=0),AND($N$7=1,AS16=0)),0,1)</f>
        <v>0</v>
      </c>
      <c r="AV16" s="6" t="n">
        <f aca="false">IF(OR($A16="",AI16=0,AND($N$5=1,$D$4&gt;0,AQ16=0),AND($N$5=1,$F$4&gt;0,AR16=0),AND($N$7=1,AT16=0)),0,1)</f>
        <v>0</v>
      </c>
    </row>
    <row r="17" customFormat="false" ht="15" hidden="false" customHeight="false" outlineLevel="0" collapsed="false">
      <c r="A17" s="16" t="str">
        <f aca="false">IF('Довідник категорій'!B15="","",'Довідник категорій'!B15)</f>
        <v/>
      </c>
      <c r="B17" s="35" t="str">
        <f aca="false">IF(OR(AC17=0,($D$4+$F$4)=0,($D$4+$F$4)&gt;R17,($D$4+$F$4)&lt;T17),"",ROUND(P17*(1-P$3)/ОКРУГЛЕННЯ,0)*ОКРУГЛЕННЯ+(MAX(0,$D$4-S17)*U17+(MAX(0,($D$4+$F$4)-S17)-MAX(0,$D$4-S17))*V17)*(1-P$3)+($D$4*W17+$F$4*X17)*(1-P$3*P$4)+AA17*(1-P$3*P$5))</f>
        <v/>
      </c>
      <c r="C17" s="35" t="str">
        <f aca="false">IF(OR(AD17=0,($D$4+$F$4)=0,($D$4+$F$4)&gt;R17,($D$4+$F$4)&lt;T17),"",ROUND(Q17*(1-P$3)/ОКРУГЛЕННЯ,0)*ОКРУГЛЕННЯ+(MAX(0,$D$4-S17)*U17+(MAX(0,($D$4+$F$4)-S17)-MAX(0,$D$4-S17))*V17)*(1-P$3)+($D$4*Y17+$F$4*Z17)*(1-P$3*P$4)+AB17*(1-P$3*P$5))</f>
        <v/>
      </c>
      <c r="D17" s="35" t="str">
        <f aca="false">IF(OR(AU17=0,($D$4+$F$4)=0,($D$4+$F$4)&gt;AJ17,($D$4+$F$4)&lt;AL17),"",ROUND(AH17*(1-AH$3)/ОКРУГЛЕННЯ,0)*ОКРУГЛЕННЯ+(MAX(0,$D$4-AK17)*AM17+(MAX(0,($D$4+$F$4)-AK17)-MAX(0,$D$4-AK17))*AN17)*(1-AH$3)+($D$4*AO17+$F$4*AP17)*(1-AH$3*AH$4)+AS17*(1-AH$3*AH$5))</f>
        <v/>
      </c>
      <c r="E17" s="35" t="str">
        <f aca="false">IF(OR(AV17=0,($D$4+$F$4)=0,($D$4+$F$4)&gt;AJ17,($D$4+$F$4)&lt;AL17),"",ROUND(AI17*(1-AH$3)/ОКРУГЛЕННЯ,0)*ОКРУГЛЕННЯ+(MAX(0,$D$4-AK17)*AM17+(MAX(0,($D$4+$F$4)-AK17)-MAX(0,$D$4-AK17))*AN17)*(1-AH$3)+($D$4*AQ17+$F$4*AR17)*(1-AH$3*AH$4)+AT17*(1-AH$3*AH$5))</f>
        <v/>
      </c>
      <c r="F17" s="35" t="str">
        <f aca="false">IF(OR(B17="",D17=""),"",D17-B17)</f>
        <v/>
      </c>
      <c r="G17" s="35" t="str">
        <f aca="false">IF(OR(C17="",E17=""),"",E17-C17)</f>
        <v/>
      </c>
      <c r="H17" s="77" t="str">
        <f aca="false">IF(OR(B17="",D17="",B17=0),"",D17/B17-1)</f>
        <v/>
      </c>
      <c r="I17" s="77" t="str">
        <f aca="false">IF(OR(C17="",E17="",C17=0),"",E17/C17-1)</f>
        <v/>
      </c>
      <c r="K17" s="81"/>
      <c r="L17" s="81"/>
      <c r="P17" s="6" t="n">
        <f aca="false">IF(OR(P$2=0,$A17=""),0,IFERROR(INDEX(БАЗА_ЦІНИ,MATCH($A17,БАЗА_КАТ,0),P$2),0))</f>
        <v>0</v>
      </c>
      <c r="Q17" s="6" t="n">
        <f aca="false">IF(OR(P$2=0,$A17=""),0,IFERROR(INDEX(БАЗА_ЦІНИ,MATCH($A17,БАЗА_КАТ,0),P$2+1),0))</f>
        <v>0</v>
      </c>
      <c r="R17" s="6" t="n">
        <f aca="false">IF($A17="",0,IFERROR(INDEX(ДОВ_МАКС,MATCH($A17,КАТЕГОРІЇ,0)),0))</f>
        <v>0</v>
      </c>
      <c r="S17" s="6" t="n">
        <f aca="false">IF($A17="",0,IFERROR(INDEX(ДОВ_ВКЛ,MATCH($A17,КАТЕГОРІЇ,0)),0))</f>
        <v>0</v>
      </c>
      <c r="T17" s="6" t="n">
        <f aca="false">IF($A17="",0,IFERROR(INDEX(ДОВ_МІН,MATCH($A17,КАТЕГОРІЇ,0)),0))</f>
        <v>0</v>
      </c>
      <c r="U17" s="6" t="n">
        <f aca="false">IF($A17="",0,IFERROR(INDEX(ДОВ_ДОПЛ_ДОР,MATCH($A17,КАТЕГОРІЇ,0)),0))</f>
        <v>0</v>
      </c>
      <c r="V17" s="6" t="n">
        <f aca="false">IF($A17="",0,IFERROR(INDEX(ДОВ_ДОПЛ_ДІТ,MATCH($A17,КАТЕГОРІЇ,0)),0))</f>
        <v>0</v>
      </c>
      <c r="W17" s="6" t="n">
        <f aca="false">IF(OR(P$2=0,$N$5=0),0,IFERROR(INDEX(ПАКЕТИ_ЦІНИ,MATCH($N$6&amp;"|Будні",ПАКЕТИ_КЛЮЧ,0),P$2+0),0))</f>
        <v>0</v>
      </c>
      <c r="X17" s="6" t="n">
        <f aca="false">IF(OR(P$2=0,$N$5=0),0,IFERROR(INDEX(ПАКЕТИ_ЦІНИ,MATCH($N$6&amp;"|Будні",ПАКЕТИ_КЛЮЧ,0),P$2+1),0))</f>
        <v>0</v>
      </c>
      <c r="Y17" s="6" t="n">
        <f aca="false">IF(OR(P$2=0,$N$5=0),0,IFERROR(INDEX(ПАКЕТИ_ЦІНИ,MATCH($N$6&amp;"|Вихідні",ПАКЕТИ_КЛЮЧ,0),P$2+0),0))</f>
        <v>0</v>
      </c>
      <c r="Z17" s="6" t="n">
        <f aca="false">IF(OR(P$2=0,$N$5=0),0,IFERROR(INDEX(ПАКЕТИ_ЦІНИ,MATCH($N$6&amp;"|Вихідні",ПАКЕТИ_КЛЮЧ,0),P$2+1),0))</f>
        <v>0</v>
      </c>
      <c r="AA17" s="6" t="n">
        <f aca="false">IF(OR(P$2=0,$N$7=0,$A17=""),0,IFERROR(INDEX(SPA_ЦІНИ,MATCH(INDEX(ДОВ_SPA,MATCH($A17,КАТЕГОРІЇ,0)),SPA_РІВЕНЬ,0),P$2+0),0))</f>
        <v>0</v>
      </c>
      <c r="AB17" s="6" t="n">
        <f aca="false">IF(OR(P$2=0,$N$7=0,$A17=""),0,IFERROR(INDEX(SPA_ЦІНИ,MATCH(INDEX(ДОВ_SPA,MATCH($A17,КАТЕГОРІЇ,0)),SPA_РІВЕНЬ,0),P$2+1),0))</f>
        <v>0</v>
      </c>
      <c r="AC17" s="6" t="n">
        <f aca="false">IF(OR($A17="",P17=0,AND($N$5=1,$D$4&gt;0,W17=0),AND($N$5=1,$F$4&gt;0,X17=0),AND($N$7=1,AA17=0)),0,1)</f>
        <v>0</v>
      </c>
      <c r="AD17" s="6" t="n">
        <f aca="false">IF(OR($A17="",Q17=0,AND($N$5=1,$D$4&gt;0,Y17=0),AND($N$5=1,$F$4&gt;0,Z17=0),AND($N$7=1,AB17=0)),0,1)</f>
        <v>0</v>
      </c>
      <c r="AH17" s="6" t="n">
        <f aca="false">IF(OR(AH$2=0,$A17=""),0,IFERROR(INDEX(БАЗА_ЦІНИ,MATCH($A17,БАЗА_КАТ,0),AH$2),0))</f>
        <v>0</v>
      </c>
      <c r="AI17" s="6" t="n">
        <f aca="false">IF(OR(AH$2=0,$A17=""),0,IFERROR(INDEX(БАЗА_ЦІНИ,MATCH($A17,БАЗА_КАТ,0),AH$2+1),0))</f>
        <v>0</v>
      </c>
      <c r="AJ17" s="6" t="n">
        <f aca="false">IF($A17="",0,IFERROR(INDEX(ДОВ_МАКС,MATCH($A17,КАТЕГОРІЇ,0)),0))</f>
        <v>0</v>
      </c>
      <c r="AK17" s="6" t="n">
        <f aca="false">IF($A17="",0,IFERROR(INDEX(ДОВ_ВКЛ,MATCH($A17,КАТЕГОРІЇ,0)),0))</f>
        <v>0</v>
      </c>
      <c r="AL17" s="6" t="n">
        <f aca="false">IF($A17="",0,IFERROR(INDEX(ДОВ_МІН,MATCH($A17,КАТЕГОРІЇ,0)),0))</f>
        <v>0</v>
      </c>
      <c r="AM17" s="6" t="n">
        <f aca="false">IF($A17="",0,IFERROR(INDEX(ДОВ_ДОПЛ_ДОР,MATCH($A17,КАТЕГОРІЇ,0)),0))</f>
        <v>0</v>
      </c>
      <c r="AN17" s="6" t="n">
        <f aca="false">IF($A17="",0,IFERROR(INDEX(ДОВ_ДОПЛ_ДІТ,MATCH($A17,КАТЕГОРІЇ,0)),0))</f>
        <v>0</v>
      </c>
      <c r="AO17" s="6" t="n">
        <f aca="false">IF(OR(AH$2=0,$N$5=0),0,IFERROR(INDEX(ПАКЕТИ_ЦІНИ,MATCH($N$6&amp;"|Будні",ПАКЕТИ_КЛЮЧ,0),AH$2+0),0))</f>
        <v>0</v>
      </c>
      <c r="AP17" s="6" t="n">
        <f aca="false">IF(OR(AH$2=0,$N$5=0),0,IFERROR(INDEX(ПАКЕТИ_ЦІНИ,MATCH($N$6&amp;"|Будні",ПАКЕТИ_КЛЮЧ,0),AH$2+1),0))</f>
        <v>0</v>
      </c>
      <c r="AQ17" s="6" t="n">
        <f aca="false">IF(OR(AH$2=0,$N$5=0),0,IFERROR(INDEX(ПАКЕТИ_ЦІНИ,MATCH($N$6&amp;"|Вихідні",ПАКЕТИ_КЛЮЧ,0),AH$2+0),0))</f>
        <v>0</v>
      </c>
      <c r="AR17" s="6" t="n">
        <f aca="false">IF(OR(AH$2=0,$N$5=0),0,IFERROR(INDEX(ПАКЕТИ_ЦІНИ,MATCH($N$6&amp;"|Вихідні",ПАКЕТИ_КЛЮЧ,0),AH$2+1),0))</f>
        <v>0</v>
      </c>
      <c r="AS17" s="6" t="n">
        <f aca="false">IF(OR(AH$2=0,$N$7=0,$A17=""),0,IFERROR(INDEX(SPA_ЦІНИ,MATCH(INDEX(ДОВ_SPA,MATCH($A17,КАТЕГОРІЇ,0)),SPA_РІВЕНЬ,0),AH$2+0),0))</f>
        <v>0</v>
      </c>
      <c r="AT17" s="6" t="n">
        <f aca="false">IF(OR(AH$2=0,$N$7=0,$A17=""),0,IFERROR(INDEX(SPA_ЦІНИ,MATCH(INDEX(ДОВ_SPA,MATCH($A17,КАТЕГОРІЇ,0)),SPA_РІВЕНЬ,0),AH$2+1),0))</f>
        <v>0</v>
      </c>
      <c r="AU17" s="6" t="n">
        <f aca="false">IF(OR($A17="",AH17=0,AND($N$5=1,$D$4&gt;0,AO17=0),AND($N$5=1,$F$4&gt;0,AP17=0),AND($N$7=1,AS17=0)),0,1)</f>
        <v>0</v>
      </c>
      <c r="AV17" s="6" t="n">
        <f aca="false">IF(OR($A17="",AI17=0,AND($N$5=1,$D$4&gt;0,AQ17=0),AND($N$5=1,$F$4&gt;0,AR17=0),AND($N$7=1,AT17=0)),0,1)</f>
        <v>0</v>
      </c>
    </row>
    <row r="18" customFormat="false" ht="15" hidden="false" customHeight="false" outlineLevel="0" collapsed="false">
      <c r="A18" s="23" t="str">
        <f aca="false">IF('Довідник категорій'!B16="","",'Довідник категорій'!B16)</f>
        <v/>
      </c>
      <c r="B18" s="78" t="str">
        <f aca="false">IF(OR(AC18=0,($D$4+$F$4)=0,($D$4+$F$4)&gt;R18,($D$4+$F$4)&lt;T18),"",ROUND(P18*(1-P$3)/ОКРУГЛЕННЯ,0)*ОКРУГЛЕННЯ+(MAX(0,$D$4-S18)*U18+(MAX(0,($D$4+$F$4)-S18)-MAX(0,$D$4-S18))*V18)*(1-P$3)+($D$4*W18+$F$4*X18)*(1-P$3*P$4)+AA18*(1-P$3*P$5))</f>
        <v/>
      </c>
      <c r="C18" s="78" t="str">
        <f aca="false">IF(OR(AD18=0,($D$4+$F$4)=0,($D$4+$F$4)&gt;R18,($D$4+$F$4)&lt;T18),"",ROUND(Q18*(1-P$3)/ОКРУГЛЕННЯ,0)*ОКРУГЛЕННЯ+(MAX(0,$D$4-S18)*U18+(MAX(0,($D$4+$F$4)-S18)-MAX(0,$D$4-S18))*V18)*(1-P$3)+($D$4*Y18+$F$4*Z18)*(1-P$3*P$4)+AB18*(1-P$3*P$5))</f>
        <v/>
      </c>
      <c r="D18" s="78" t="str">
        <f aca="false">IF(OR(AU18=0,($D$4+$F$4)=0,($D$4+$F$4)&gt;AJ18,($D$4+$F$4)&lt;AL18),"",ROUND(AH18*(1-AH$3)/ОКРУГЛЕННЯ,0)*ОКРУГЛЕННЯ+(MAX(0,$D$4-AK18)*AM18+(MAX(0,($D$4+$F$4)-AK18)-MAX(0,$D$4-AK18))*AN18)*(1-AH$3)+($D$4*AO18+$F$4*AP18)*(1-AH$3*AH$4)+AS18*(1-AH$3*AH$5))</f>
        <v/>
      </c>
      <c r="E18" s="78" t="str">
        <f aca="false">IF(OR(AV18=0,($D$4+$F$4)=0,($D$4+$F$4)&gt;AJ18,($D$4+$F$4)&lt;AL18),"",ROUND(AI18*(1-AH$3)/ОКРУГЛЕННЯ,0)*ОКРУГЛЕННЯ+(MAX(0,$D$4-AK18)*AM18+(MAX(0,($D$4+$F$4)-AK18)-MAX(0,$D$4-AK18))*AN18)*(1-AH$3)+($D$4*AQ18+$F$4*AR18)*(1-AH$3*AH$4)+AT18*(1-AH$3*AH$5))</f>
        <v/>
      </c>
      <c r="F18" s="78" t="str">
        <f aca="false">IF(OR(B18="",D18=""),"",D18-B18)</f>
        <v/>
      </c>
      <c r="G18" s="78" t="str">
        <f aca="false">IF(OR(C18="",E18=""),"",E18-C18)</f>
        <v/>
      </c>
      <c r="H18" s="71" t="str">
        <f aca="false">IF(OR(B18="",D18="",B18=0),"",D18/B18-1)</f>
        <v/>
      </c>
      <c r="I18" s="71" t="str">
        <f aca="false">IF(OR(C18="",E18="",C18=0),"",E18/C18-1)</f>
        <v/>
      </c>
      <c r="P18" s="6" t="n">
        <f aca="false">IF(OR(P$2=0,$A18=""),0,IFERROR(INDEX(БАЗА_ЦІНИ,MATCH($A18,БАЗА_КАТ,0),P$2),0))</f>
        <v>0</v>
      </c>
      <c r="Q18" s="6" t="n">
        <f aca="false">IF(OR(P$2=0,$A18=""),0,IFERROR(INDEX(БАЗА_ЦІНИ,MATCH($A18,БАЗА_КАТ,0),P$2+1),0))</f>
        <v>0</v>
      </c>
      <c r="R18" s="6" t="n">
        <f aca="false">IF($A18="",0,IFERROR(INDEX(ДОВ_МАКС,MATCH($A18,КАТЕГОРІЇ,0)),0))</f>
        <v>0</v>
      </c>
      <c r="S18" s="6" t="n">
        <f aca="false">IF($A18="",0,IFERROR(INDEX(ДОВ_ВКЛ,MATCH($A18,КАТЕГОРІЇ,0)),0))</f>
        <v>0</v>
      </c>
      <c r="T18" s="6" t="n">
        <f aca="false">IF($A18="",0,IFERROR(INDEX(ДОВ_МІН,MATCH($A18,КАТЕГОРІЇ,0)),0))</f>
        <v>0</v>
      </c>
      <c r="U18" s="6" t="n">
        <f aca="false">IF($A18="",0,IFERROR(INDEX(ДОВ_ДОПЛ_ДОР,MATCH($A18,КАТЕГОРІЇ,0)),0))</f>
        <v>0</v>
      </c>
      <c r="V18" s="6" t="n">
        <f aca="false">IF($A18="",0,IFERROR(INDEX(ДОВ_ДОПЛ_ДІТ,MATCH($A18,КАТЕГОРІЇ,0)),0))</f>
        <v>0</v>
      </c>
      <c r="W18" s="6" t="n">
        <f aca="false">IF(OR(P$2=0,$N$5=0),0,IFERROR(INDEX(ПАКЕТИ_ЦІНИ,MATCH($N$6&amp;"|Будні",ПАКЕТИ_КЛЮЧ,0),P$2+0),0))</f>
        <v>0</v>
      </c>
      <c r="X18" s="6" t="n">
        <f aca="false">IF(OR(P$2=0,$N$5=0),0,IFERROR(INDEX(ПАКЕТИ_ЦІНИ,MATCH($N$6&amp;"|Будні",ПАКЕТИ_КЛЮЧ,0),P$2+1),0))</f>
        <v>0</v>
      </c>
      <c r="Y18" s="6" t="n">
        <f aca="false">IF(OR(P$2=0,$N$5=0),0,IFERROR(INDEX(ПАКЕТИ_ЦІНИ,MATCH($N$6&amp;"|Вихідні",ПАКЕТИ_КЛЮЧ,0),P$2+0),0))</f>
        <v>0</v>
      </c>
      <c r="Z18" s="6" t="n">
        <f aca="false">IF(OR(P$2=0,$N$5=0),0,IFERROR(INDEX(ПАКЕТИ_ЦІНИ,MATCH($N$6&amp;"|Вихідні",ПАКЕТИ_КЛЮЧ,0),P$2+1),0))</f>
        <v>0</v>
      </c>
      <c r="AA18" s="6" t="n">
        <f aca="false">IF(OR(P$2=0,$N$7=0,$A18=""),0,IFERROR(INDEX(SPA_ЦІНИ,MATCH(INDEX(ДОВ_SPA,MATCH($A18,КАТЕГОРІЇ,0)),SPA_РІВЕНЬ,0),P$2+0),0))</f>
        <v>0</v>
      </c>
      <c r="AB18" s="6" t="n">
        <f aca="false">IF(OR(P$2=0,$N$7=0,$A18=""),0,IFERROR(INDEX(SPA_ЦІНИ,MATCH(INDEX(ДОВ_SPA,MATCH($A18,КАТЕГОРІЇ,0)),SPA_РІВЕНЬ,0),P$2+1),0))</f>
        <v>0</v>
      </c>
      <c r="AC18" s="6" t="n">
        <f aca="false">IF(OR($A18="",P18=0,AND($N$5=1,$D$4&gt;0,W18=0),AND($N$5=1,$F$4&gt;0,X18=0),AND($N$7=1,AA18=0)),0,1)</f>
        <v>0</v>
      </c>
      <c r="AD18" s="6" t="n">
        <f aca="false">IF(OR($A18="",Q18=0,AND($N$5=1,$D$4&gt;0,Y18=0),AND($N$5=1,$F$4&gt;0,Z18=0),AND($N$7=1,AB18=0)),0,1)</f>
        <v>0</v>
      </c>
      <c r="AH18" s="6" t="n">
        <f aca="false">IF(OR(AH$2=0,$A18=""),0,IFERROR(INDEX(БАЗА_ЦІНИ,MATCH($A18,БАЗА_КАТ,0),AH$2),0))</f>
        <v>0</v>
      </c>
      <c r="AI18" s="6" t="n">
        <f aca="false">IF(OR(AH$2=0,$A18=""),0,IFERROR(INDEX(БАЗА_ЦІНИ,MATCH($A18,БАЗА_КАТ,0),AH$2+1),0))</f>
        <v>0</v>
      </c>
      <c r="AJ18" s="6" t="n">
        <f aca="false">IF($A18="",0,IFERROR(INDEX(ДОВ_МАКС,MATCH($A18,КАТЕГОРІЇ,0)),0))</f>
        <v>0</v>
      </c>
      <c r="AK18" s="6" t="n">
        <f aca="false">IF($A18="",0,IFERROR(INDEX(ДОВ_ВКЛ,MATCH($A18,КАТЕГОРІЇ,0)),0))</f>
        <v>0</v>
      </c>
      <c r="AL18" s="6" t="n">
        <f aca="false">IF($A18="",0,IFERROR(INDEX(ДОВ_МІН,MATCH($A18,КАТЕГОРІЇ,0)),0))</f>
        <v>0</v>
      </c>
      <c r="AM18" s="6" t="n">
        <f aca="false">IF($A18="",0,IFERROR(INDEX(ДОВ_ДОПЛ_ДОР,MATCH($A18,КАТЕГОРІЇ,0)),0))</f>
        <v>0</v>
      </c>
      <c r="AN18" s="6" t="n">
        <f aca="false">IF($A18="",0,IFERROR(INDEX(ДОВ_ДОПЛ_ДІТ,MATCH($A18,КАТЕГОРІЇ,0)),0))</f>
        <v>0</v>
      </c>
      <c r="AO18" s="6" t="n">
        <f aca="false">IF(OR(AH$2=0,$N$5=0),0,IFERROR(INDEX(ПАКЕТИ_ЦІНИ,MATCH($N$6&amp;"|Будні",ПАКЕТИ_КЛЮЧ,0),AH$2+0),0))</f>
        <v>0</v>
      </c>
      <c r="AP18" s="6" t="n">
        <f aca="false">IF(OR(AH$2=0,$N$5=0),0,IFERROR(INDEX(ПАКЕТИ_ЦІНИ,MATCH($N$6&amp;"|Будні",ПАКЕТИ_КЛЮЧ,0),AH$2+1),0))</f>
        <v>0</v>
      </c>
      <c r="AQ18" s="6" t="n">
        <f aca="false">IF(OR(AH$2=0,$N$5=0),0,IFERROR(INDEX(ПАКЕТИ_ЦІНИ,MATCH($N$6&amp;"|Вихідні",ПАКЕТИ_КЛЮЧ,0),AH$2+0),0))</f>
        <v>0</v>
      </c>
      <c r="AR18" s="6" t="n">
        <f aca="false">IF(OR(AH$2=0,$N$5=0),0,IFERROR(INDEX(ПАКЕТИ_ЦІНИ,MATCH($N$6&amp;"|Вихідні",ПАКЕТИ_КЛЮЧ,0),AH$2+1),0))</f>
        <v>0</v>
      </c>
      <c r="AS18" s="6" t="n">
        <f aca="false">IF(OR(AH$2=0,$N$7=0,$A18=""),0,IFERROR(INDEX(SPA_ЦІНИ,MATCH(INDEX(ДОВ_SPA,MATCH($A18,КАТЕГОРІЇ,0)),SPA_РІВЕНЬ,0),AH$2+0),0))</f>
        <v>0</v>
      </c>
      <c r="AT18" s="6" t="n">
        <f aca="false">IF(OR(AH$2=0,$N$7=0,$A18=""),0,IFERROR(INDEX(SPA_ЦІНИ,MATCH(INDEX(ДОВ_SPA,MATCH($A18,КАТЕГОРІЇ,0)),SPA_РІВЕНЬ,0),AH$2+1),0))</f>
        <v>0</v>
      </c>
      <c r="AU18" s="6" t="n">
        <f aca="false">IF(OR($A18="",AH18=0,AND($N$5=1,$D$4&gt;0,AO18=0),AND($N$5=1,$F$4&gt;0,AP18=0),AND($N$7=1,AS18=0)),0,1)</f>
        <v>0</v>
      </c>
      <c r="AV18" s="6" t="n">
        <f aca="false">IF(OR($A18="",AI18=0,AND($N$5=1,$D$4&gt;0,AQ18=0),AND($N$5=1,$F$4&gt;0,AR18=0),AND($N$7=1,AT18=0)),0,1)</f>
        <v>0</v>
      </c>
    </row>
  </sheetData>
  <sheetProtection sheet="true"/>
  <mergeCells count="5">
    <mergeCell ref="A1:I1"/>
    <mergeCell ref="K3:M3"/>
    <mergeCell ref="A5:I5"/>
    <mergeCell ref="K8:L8"/>
    <mergeCell ref="K16:L17"/>
  </mergeCells>
  <conditionalFormatting sqref="F7:G18">
    <cfRule type="cellIs" priority="2" operator="lessThan" aboveAverage="0" equalAverage="0" bottom="0" percent="0" rank="0" text="" dxfId="3">
      <formula>0</formula>
    </cfRule>
  </conditionalFormatting>
  <conditionalFormatting sqref="H7:I18">
    <cfRule type="cellIs" priority="3" operator="lessThan" aboveAverage="0" equalAverage="0" bottom="0" percent="0" rank="0" text="" dxfId="3">
      <formula>0</formula>
    </cfRule>
  </conditionalFormatting>
  <conditionalFormatting sqref="L4">
    <cfRule type="cellIs" priority="4" operator="greaterThan" aboveAverage="0" equalAverage="0" bottom="0" percent="0" rank="0" text="" dxfId="2">
      <formula>0</formula>
    </cfRule>
  </conditionalFormatting>
  <conditionalFormatting sqref="L5">
    <cfRule type="cellIs" priority="5" operator="greaterThan" aboveAverage="0" equalAverage="0" bottom="0" percent="0" rank="0" text="" dxfId="2">
      <formula>0</formula>
    </cfRule>
  </conditionalFormatting>
  <conditionalFormatting sqref="L6">
    <cfRule type="cellIs" priority="6" operator="greaterThan" aboveAverage="0" equalAverage="0" bottom="0" percent="0" rank="0" text="" dxfId="2">
      <formula>0</formula>
    </cfRule>
  </conditionalFormatting>
  <conditionalFormatting sqref="K8:L8">
    <cfRule type="expression" priority="7" aboveAverage="0" equalAverage="0" bottom="0" percent="0" rank="0" text="" dxfId="4">
      <formula>$K$8="ГОТОВО ДО ПУБЛІКАЦІЇ"</formula>
    </cfRule>
    <cfRule type="expression" priority="8" aboveAverage="0" equalAverage="0" bottom="0" percent="0" rank="0" text="" dxfId="5">
      <formula>$K$8="ПОТРІБНЕ ЗАПОВНЕННЯ"</formula>
    </cfRule>
  </conditionalFormatting>
  <dataValidations count="6">
    <dataValidation allowBlank="false" errorStyle="stop" operator="between" showDropDown="false" showErrorMessage="false" showInputMessage="false" sqref="B3" type="list">
      <formula1>ПРАЙС_ЛИСТИ</formula1>
      <formula2>0</formula2>
    </dataValidation>
    <dataValidation allowBlank="false" errorStyle="stop" operator="between" showDropDown="false" showErrorMessage="false" showInputMessage="false" sqref="F3" type="list">
      <formula1>ПРАЙС_ЛИСТИ</formula1>
      <formula2>0</formula2>
    </dataValidation>
    <dataValidation allowBlank="false" errorStyle="stop" operator="between" showDropDown="false" showErrorMessage="false" showInputMessage="false" sqref="D3" type="list">
      <formula1>ТАРИФИ_НАЗВИ</formula1>
      <formula2>0</formula2>
    </dataValidation>
    <dataValidation allowBlank="false" errorStyle="stop" operator="between" showDropDown="false" showErrorMessage="false" showInputMessage="false" sqref="H3" type="list">
      <formula1>ТАРИФИ_НАЗВИ</formula1>
      <formula2>0</formula2>
    </dataValidation>
    <dataValidation allowBlank="false" errorStyle="stop" operator="between" showDropDown="false" showErrorMessage="false" showInputMessage="false" sqref="B4" type="list">
      <formula1>СПИСОК_ПАКЕТІВ</formula1>
      <formula2>0</formula2>
    </dataValidation>
    <dataValidation allowBlank="false" error="Ціле число від 0 до 30." errorStyle="stop" errorTitle="Кількість гостей" operator="between" showDropDown="false" showErrorMessage="true" showInputMessage="false" sqref="D4 F4" type="whole">
      <formula1>0</formula1>
      <formula2>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14" min="3" style="0" width="13"/>
    <col collapsed="false" customWidth="true" hidden="true" outlineLevel="0" max="20" min="19" style="0" width="13"/>
  </cols>
  <sheetData>
    <row r="1" customFormat="false" ht="27.75" hidden="false" customHeight="true" outlineLevel="0" collapsed="false">
      <c r="A1" s="1" t="s">
        <v>163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2" t="s">
        <v>140</v>
      </c>
    </row>
    <row r="2" customFormat="false" ht="15" hidden="false" customHeight="false" outlineLevel="0" collapsed="false">
      <c r="S2" s="6" t="n">
        <f aca="false">IFERROR(MATCH($B$3,ПЛ_РЯДОК,0),0)</f>
        <v>5</v>
      </c>
    </row>
    <row r="3" customFormat="false" ht="15" hidden="false" customHeight="false" outlineLevel="0" collapsed="false">
      <c r="A3" s="3" t="s">
        <v>164</v>
      </c>
      <c r="B3" s="4" t="s">
        <v>2</v>
      </c>
    </row>
    <row r="4" customFormat="false" ht="33.75" hidden="false" customHeight="true" outlineLevel="0" collapsed="false">
      <c r="A4" s="8" t="s">
        <v>165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6" customFormat="false" ht="15" hidden="false" customHeight="false" outlineLevel="0" collapsed="false">
      <c r="C6" s="10" t="s">
        <v>166</v>
      </c>
      <c r="D6" s="10"/>
      <c r="E6" s="10" t="s">
        <v>167</v>
      </c>
      <c r="F6" s="10"/>
      <c r="G6" s="10"/>
      <c r="H6" s="10"/>
      <c r="I6" s="10" t="s">
        <v>168</v>
      </c>
      <c r="J6" s="10"/>
      <c r="K6" s="10"/>
      <c r="L6" s="10"/>
      <c r="M6" s="10" t="s">
        <v>169</v>
      </c>
      <c r="N6" s="10"/>
    </row>
    <row r="7" customFormat="false" ht="30" hidden="false" customHeight="true" outlineLevel="0" collapsed="false">
      <c r="A7" s="11" t="s">
        <v>14</v>
      </c>
      <c r="B7" s="11" t="s">
        <v>16</v>
      </c>
      <c r="C7" s="11" t="s">
        <v>127</v>
      </c>
      <c r="D7" s="11" t="s">
        <v>128</v>
      </c>
      <c r="E7" s="11" t="s">
        <v>127</v>
      </c>
      <c r="F7" s="11" t="s">
        <v>128</v>
      </c>
      <c r="G7" s="11" t="s">
        <v>170</v>
      </c>
      <c r="H7" s="11" t="s">
        <v>171</v>
      </c>
      <c r="I7" s="11" t="s">
        <v>127</v>
      </c>
      <c r="J7" s="11" t="s">
        <v>128</v>
      </c>
      <c r="K7" s="11" t="s">
        <v>170</v>
      </c>
      <c r="L7" s="11" t="s">
        <v>171</v>
      </c>
      <c r="M7" s="11" t="s">
        <v>170</v>
      </c>
      <c r="N7" s="11" t="s">
        <v>171</v>
      </c>
    </row>
    <row r="8" customFormat="false" ht="15" hidden="false" customHeight="false" outlineLevel="0" collapsed="false">
      <c r="A8" s="16" t="str">
        <f aca="false">IF('Довідник категорій'!B5="","",'Довідник категорій'!B5)</f>
        <v>Classic Chalet</v>
      </c>
      <c r="B8" s="82" t="str">
        <f aca="false">IF($A8="","",IFERROR(INDEX(ДОВ_КОД,MATCH($A8,КАТЕГОРІЇ,0)),""))</f>
        <v>CH-CL</v>
      </c>
      <c r="C8" s="35" t="n">
        <f aca="false">IF(OR($S$2=0,$A8=""),"",IFERROR(INDEX(БАЗА_ЦІНИ,MATCH($A8,БАЗА_КАТ,0),$S$2),""))</f>
        <v>4200</v>
      </c>
      <c r="D8" s="35" t="n">
        <f aca="false">IF(OR($S$2=0,$A8=""),"",IFERROR(INDEX(БАЗА_ЦІНИ,MATCH($A8,БАЗА_КАТ,0),$S$2+1),""))</f>
        <v>4700</v>
      </c>
      <c r="E8" s="51"/>
      <c r="F8" s="51"/>
      <c r="G8" s="35" t="str">
        <f aca="false">IF(OR(E8="",$C8=""),"",E8-$C8)</f>
        <v/>
      </c>
      <c r="H8" s="77" t="str">
        <f aca="false">IF(OR(E8="",$C8="",$C8=0),"",E8/$C8-1)</f>
        <v/>
      </c>
      <c r="I8" s="83"/>
      <c r="J8" s="83"/>
      <c r="K8" s="35" t="str">
        <f aca="false">IF(OR(I8="",$C8=""),"",I8-$C8)</f>
        <v/>
      </c>
      <c r="L8" s="77" t="str">
        <f aca="false">IF(OR(I8="",$C8="",$C8=0),"",I8/$C8-1)</f>
        <v/>
      </c>
      <c r="M8" s="35" t="str">
        <f aca="false">IF(OR(I8="",E8=""),"",I8-E8)</f>
        <v/>
      </c>
      <c r="N8" s="77" t="str">
        <f aca="false">IF(OR(I8="",E8="",E8=0),"",I8/E8-1)</f>
        <v/>
      </c>
    </row>
    <row r="9" customFormat="false" ht="15" hidden="false" customHeight="false" outlineLevel="0" collapsed="false">
      <c r="A9" s="23" t="str">
        <f aca="false">IF('Довідник категорій'!B6="","",'Довідник категорій'!B6)</f>
        <v>Forest View Chalet</v>
      </c>
      <c r="B9" s="84" t="str">
        <f aca="false">IF($A9="","",IFERROR(INDEX(ДОВ_КОД,MATCH($A9,КАТЕГОРІЇ,0)),""))</f>
        <v>CH-FV</v>
      </c>
      <c r="C9" s="78" t="n">
        <f aca="false">IF(OR($S$2=0,$A9=""),"",IFERROR(INDEX(БАЗА_ЦІНИ,MATCH($A9,БАЗА_КАТ,0),$S$2),""))</f>
        <v>4550</v>
      </c>
      <c r="D9" s="78" t="n">
        <f aca="false">IF(OR($S$2=0,$A9=""),"",IFERROR(INDEX(БАЗА_ЦІНИ,MATCH($A9,БАЗА_КАТ,0),$S$2+1),""))</f>
        <v>5150</v>
      </c>
      <c r="E9" s="51"/>
      <c r="F9" s="51"/>
      <c r="G9" s="78" t="str">
        <f aca="false">IF(OR(E9="",$C9=""),"",E9-$C9)</f>
        <v/>
      </c>
      <c r="H9" s="71" t="str">
        <f aca="false">IF(OR(E9="",$C9="",$C9=0),"",E9/$C9-1)</f>
        <v/>
      </c>
      <c r="I9" s="83"/>
      <c r="J9" s="83"/>
      <c r="K9" s="78" t="str">
        <f aca="false">IF(OR(I9="",$C9=""),"",I9-$C9)</f>
        <v/>
      </c>
      <c r="L9" s="71" t="str">
        <f aca="false">IF(OR(I9="",$C9="",$C9=0),"",I9/$C9-1)</f>
        <v/>
      </c>
      <c r="M9" s="78" t="str">
        <f aca="false">IF(OR(I9="",E9=""),"",I9-E9)</f>
        <v/>
      </c>
      <c r="N9" s="71" t="str">
        <f aca="false">IF(OR(I9="",E9="",E9=0),"",I9/E9-1)</f>
        <v/>
      </c>
    </row>
    <row r="10" customFormat="false" ht="15" hidden="false" customHeight="false" outlineLevel="0" collapsed="false">
      <c r="A10" s="16" t="str">
        <f aca="false">IF('Довідник категорій'!B7="","",'Довідник категорій'!B7)</f>
        <v>Premium Chalet</v>
      </c>
      <c r="B10" s="82" t="str">
        <f aca="false">IF($A10="","",IFERROR(INDEX(ДОВ_КОД,MATCH($A10,КАТЕГОРІЇ,0)),""))</f>
        <v>CH-PR</v>
      </c>
      <c r="C10" s="35" t="n">
        <f aca="false">IF(OR($S$2=0,$A10=""),"",IFERROR(INDEX(БАЗА_ЦІНИ,MATCH($A10,БАЗА_КАТ,0),$S$2),""))</f>
        <v>7770</v>
      </c>
      <c r="D10" s="35" t="n">
        <f aca="false">IF(OR($S$2=0,$A10=""),"",IFERROR(INDEX(БАЗА_ЦІНИ,MATCH($A10,БАЗА_КАТ,0),$S$2+1),""))</f>
        <v>9770</v>
      </c>
      <c r="E10" s="51"/>
      <c r="F10" s="51"/>
      <c r="G10" s="35" t="str">
        <f aca="false">IF(OR(E10="",$C10=""),"",E10-$C10)</f>
        <v/>
      </c>
      <c r="H10" s="77" t="str">
        <f aca="false">IF(OR(E10="",$C10="",$C10=0),"",E10/$C10-1)</f>
        <v/>
      </c>
      <c r="I10" s="83"/>
      <c r="J10" s="83"/>
      <c r="K10" s="35" t="str">
        <f aca="false">IF(OR(I10="",$C10=""),"",I10-$C10)</f>
        <v/>
      </c>
      <c r="L10" s="77" t="str">
        <f aca="false">IF(OR(I10="",$C10="",$C10=0),"",I10/$C10-1)</f>
        <v/>
      </c>
      <c r="M10" s="35" t="str">
        <f aca="false">IF(OR(I10="",E10=""),"",I10-E10)</f>
        <v/>
      </c>
      <c r="N10" s="77" t="str">
        <f aca="false">IF(OR(I10="",E10="",E10=0),"",I10/E10-1)</f>
        <v/>
      </c>
    </row>
    <row r="11" customFormat="false" ht="15" hidden="false" customHeight="false" outlineLevel="0" collapsed="false">
      <c r="A11" s="23" t="str">
        <f aca="false">IF('Довідник категорій'!B8="","",'Довідник категорій'!B8)</f>
        <v/>
      </c>
      <c r="B11" s="84" t="str">
        <f aca="false">IF($A11="","",IFERROR(INDEX(ДОВ_КОД,MATCH($A11,КАТЕГОРІЇ,0)),""))</f>
        <v/>
      </c>
      <c r="C11" s="78" t="str">
        <f aca="false">IF(OR($S$2=0,$A11=""),"",IFERROR(INDEX(БАЗА_ЦІНИ,MATCH($A11,БАЗА_КАТ,0),$S$2),""))</f>
        <v/>
      </c>
      <c r="D11" s="78" t="str">
        <f aca="false">IF(OR($S$2=0,$A11=""),"",IFERROR(INDEX(БАЗА_ЦІНИ,MATCH($A11,БАЗА_КАТ,0),$S$2+1),""))</f>
        <v/>
      </c>
      <c r="E11" s="51"/>
      <c r="F11" s="51"/>
      <c r="G11" s="78" t="str">
        <f aca="false">IF(OR(E11="",$C11=""),"",E11-$C11)</f>
        <v/>
      </c>
      <c r="H11" s="71" t="str">
        <f aca="false">IF(OR(E11="",$C11="",$C11=0),"",E11/$C11-1)</f>
        <v/>
      </c>
      <c r="I11" s="83"/>
      <c r="J11" s="83"/>
      <c r="K11" s="78" t="str">
        <f aca="false">IF(OR(I11="",$C11=""),"",I11-$C11)</f>
        <v/>
      </c>
      <c r="L11" s="71" t="str">
        <f aca="false">IF(OR(I11="",$C11="",$C11=0),"",I11/$C11-1)</f>
        <v/>
      </c>
      <c r="M11" s="78" t="str">
        <f aca="false">IF(OR(I11="",E11=""),"",I11-E11)</f>
        <v/>
      </c>
      <c r="N11" s="71" t="str">
        <f aca="false">IF(OR(I11="",E11="",E11=0),"",I11/E11-1)</f>
        <v/>
      </c>
    </row>
    <row r="12" customFormat="false" ht="15" hidden="false" customHeight="false" outlineLevel="0" collapsed="false">
      <c r="A12" s="16" t="str">
        <f aca="false">IF('Довідник категорій'!B9="","",'Довідник категорій'!B9)</f>
        <v/>
      </c>
      <c r="B12" s="82" t="str">
        <f aca="false">IF($A12="","",IFERROR(INDEX(ДОВ_КОД,MATCH($A12,КАТЕГОРІЇ,0)),""))</f>
        <v/>
      </c>
      <c r="C12" s="35" t="str">
        <f aca="false">IF(OR($S$2=0,$A12=""),"",IFERROR(INDEX(БАЗА_ЦІНИ,MATCH($A12,БАЗА_КАТ,0),$S$2),""))</f>
        <v/>
      </c>
      <c r="D12" s="35" t="str">
        <f aca="false">IF(OR($S$2=0,$A12=""),"",IFERROR(INDEX(БАЗА_ЦІНИ,MATCH($A12,БАЗА_КАТ,0),$S$2+1),""))</f>
        <v/>
      </c>
      <c r="E12" s="51"/>
      <c r="F12" s="51"/>
      <c r="G12" s="35" t="str">
        <f aca="false">IF(OR(E12="",$C12=""),"",E12-$C12)</f>
        <v/>
      </c>
      <c r="H12" s="77" t="str">
        <f aca="false">IF(OR(E12="",$C12="",$C12=0),"",E12/$C12-1)</f>
        <v/>
      </c>
      <c r="I12" s="83"/>
      <c r="J12" s="83"/>
      <c r="K12" s="35" t="str">
        <f aca="false">IF(OR(I12="",$C12=""),"",I12-$C12)</f>
        <v/>
      </c>
      <c r="L12" s="77" t="str">
        <f aca="false">IF(OR(I12="",$C12="",$C12=0),"",I12/$C12-1)</f>
        <v/>
      </c>
      <c r="M12" s="35" t="str">
        <f aca="false">IF(OR(I12="",E12=""),"",I12-E12)</f>
        <v/>
      </c>
      <c r="N12" s="77" t="str">
        <f aca="false">IF(OR(I12="",E12="",E12=0),"",I12/E12-1)</f>
        <v/>
      </c>
    </row>
    <row r="13" customFormat="false" ht="15" hidden="false" customHeight="false" outlineLevel="0" collapsed="false">
      <c r="A13" s="23" t="str">
        <f aca="false">IF('Довідник категорій'!B10="","",'Довідник категорій'!B10)</f>
        <v/>
      </c>
      <c r="B13" s="84" t="str">
        <f aca="false">IF($A13="","",IFERROR(INDEX(ДОВ_КОД,MATCH($A13,КАТЕГОРІЇ,0)),""))</f>
        <v/>
      </c>
      <c r="C13" s="78" t="str">
        <f aca="false">IF(OR($S$2=0,$A13=""),"",IFERROR(INDEX(БАЗА_ЦІНИ,MATCH($A13,БАЗА_КАТ,0),$S$2),""))</f>
        <v/>
      </c>
      <c r="D13" s="78" t="str">
        <f aca="false">IF(OR($S$2=0,$A13=""),"",IFERROR(INDEX(БАЗА_ЦІНИ,MATCH($A13,БАЗА_КАТ,0),$S$2+1),""))</f>
        <v/>
      </c>
      <c r="E13" s="51"/>
      <c r="F13" s="51"/>
      <c r="G13" s="78" t="str">
        <f aca="false">IF(OR(E13="",$C13=""),"",E13-$C13)</f>
        <v/>
      </c>
      <c r="H13" s="71" t="str">
        <f aca="false">IF(OR(E13="",$C13="",$C13=0),"",E13/$C13-1)</f>
        <v/>
      </c>
      <c r="I13" s="83"/>
      <c r="J13" s="83"/>
      <c r="K13" s="78" t="str">
        <f aca="false">IF(OR(I13="",$C13=""),"",I13-$C13)</f>
        <v/>
      </c>
      <c r="L13" s="71" t="str">
        <f aca="false">IF(OR(I13="",$C13="",$C13=0),"",I13/$C13-1)</f>
        <v/>
      </c>
      <c r="M13" s="78" t="str">
        <f aca="false">IF(OR(I13="",E13=""),"",I13-E13)</f>
        <v/>
      </c>
      <c r="N13" s="71" t="str">
        <f aca="false">IF(OR(I13="",E13="",E13=0),"",I13/E13-1)</f>
        <v/>
      </c>
    </row>
    <row r="14" customFormat="false" ht="15" hidden="false" customHeight="false" outlineLevel="0" collapsed="false">
      <c r="A14" s="16" t="str">
        <f aca="false">IF('Довідник категорій'!B11="","",'Довідник категорій'!B11)</f>
        <v/>
      </c>
      <c r="B14" s="82" t="str">
        <f aca="false">IF($A14="","",IFERROR(INDEX(ДОВ_КОД,MATCH($A14,КАТЕГОРІЇ,0)),""))</f>
        <v/>
      </c>
      <c r="C14" s="35" t="str">
        <f aca="false">IF(OR($S$2=0,$A14=""),"",IFERROR(INDEX(БАЗА_ЦІНИ,MATCH($A14,БАЗА_КАТ,0),$S$2),""))</f>
        <v/>
      </c>
      <c r="D14" s="35" t="str">
        <f aca="false">IF(OR($S$2=0,$A14=""),"",IFERROR(INDEX(БАЗА_ЦІНИ,MATCH($A14,БАЗА_КАТ,0),$S$2+1),""))</f>
        <v/>
      </c>
      <c r="E14" s="51"/>
      <c r="F14" s="51"/>
      <c r="G14" s="35" t="str">
        <f aca="false">IF(OR(E14="",$C14=""),"",E14-$C14)</f>
        <v/>
      </c>
      <c r="H14" s="77" t="str">
        <f aca="false">IF(OR(E14="",$C14="",$C14=0),"",E14/$C14-1)</f>
        <v/>
      </c>
      <c r="I14" s="83"/>
      <c r="J14" s="83"/>
      <c r="K14" s="35" t="str">
        <f aca="false">IF(OR(I14="",$C14=""),"",I14-$C14)</f>
        <v/>
      </c>
      <c r="L14" s="77" t="str">
        <f aca="false">IF(OR(I14="",$C14="",$C14=0),"",I14/$C14-1)</f>
        <v/>
      </c>
      <c r="M14" s="35" t="str">
        <f aca="false">IF(OR(I14="",E14=""),"",I14-E14)</f>
        <v/>
      </c>
      <c r="N14" s="77" t="str">
        <f aca="false">IF(OR(I14="",E14="",E14=0),"",I14/E14-1)</f>
        <v/>
      </c>
    </row>
    <row r="15" customFormat="false" ht="15" hidden="false" customHeight="false" outlineLevel="0" collapsed="false">
      <c r="A15" s="23" t="str">
        <f aca="false">IF('Довідник категорій'!B12="","",'Довідник категорій'!B12)</f>
        <v/>
      </c>
      <c r="B15" s="84" t="str">
        <f aca="false">IF($A15="","",IFERROR(INDEX(ДОВ_КОД,MATCH($A15,КАТЕГОРІЇ,0)),""))</f>
        <v/>
      </c>
      <c r="C15" s="78" t="str">
        <f aca="false">IF(OR($S$2=0,$A15=""),"",IFERROR(INDEX(БАЗА_ЦІНИ,MATCH($A15,БАЗА_КАТ,0),$S$2),""))</f>
        <v/>
      </c>
      <c r="D15" s="78" t="str">
        <f aca="false">IF(OR($S$2=0,$A15=""),"",IFERROR(INDEX(БАЗА_ЦІНИ,MATCH($A15,БАЗА_КАТ,0),$S$2+1),""))</f>
        <v/>
      </c>
      <c r="E15" s="51"/>
      <c r="F15" s="51"/>
      <c r="G15" s="78" t="str">
        <f aca="false">IF(OR(E15="",$C15=""),"",E15-$C15)</f>
        <v/>
      </c>
      <c r="H15" s="71" t="str">
        <f aca="false">IF(OR(E15="",$C15="",$C15=0),"",E15/$C15-1)</f>
        <v/>
      </c>
      <c r="I15" s="83"/>
      <c r="J15" s="83"/>
      <c r="K15" s="78" t="str">
        <f aca="false">IF(OR(I15="",$C15=""),"",I15-$C15)</f>
        <v/>
      </c>
      <c r="L15" s="71" t="str">
        <f aca="false">IF(OR(I15="",$C15="",$C15=0),"",I15/$C15-1)</f>
        <v/>
      </c>
      <c r="M15" s="78" t="str">
        <f aca="false">IF(OR(I15="",E15=""),"",I15-E15)</f>
        <v/>
      </c>
      <c r="N15" s="71" t="str">
        <f aca="false">IF(OR(I15="",E15="",E15=0),"",I15/E15-1)</f>
        <v/>
      </c>
    </row>
    <row r="16" customFormat="false" ht="15" hidden="false" customHeight="false" outlineLevel="0" collapsed="false">
      <c r="A16" s="16" t="str">
        <f aca="false">IF('Довідник категорій'!B13="","",'Довідник категорій'!B13)</f>
        <v/>
      </c>
      <c r="B16" s="82" t="str">
        <f aca="false">IF($A16="","",IFERROR(INDEX(ДОВ_КОД,MATCH($A16,КАТЕГОРІЇ,0)),""))</f>
        <v/>
      </c>
      <c r="C16" s="35" t="str">
        <f aca="false">IF(OR($S$2=0,$A16=""),"",IFERROR(INDEX(БАЗА_ЦІНИ,MATCH($A16,БАЗА_КАТ,0),$S$2),""))</f>
        <v/>
      </c>
      <c r="D16" s="35" t="str">
        <f aca="false">IF(OR($S$2=0,$A16=""),"",IFERROR(INDEX(БАЗА_ЦІНИ,MATCH($A16,БАЗА_КАТ,0),$S$2+1),""))</f>
        <v/>
      </c>
      <c r="E16" s="51"/>
      <c r="F16" s="51"/>
      <c r="G16" s="35" t="str">
        <f aca="false">IF(OR(E16="",$C16=""),"",E16-$C16)</f>
        <v/>
      </c>
      <c r="H16" s="77" t="str">
        <f aca="false">IF(OR(E16="",$C16="",$C16=0),"",E16/$C16-1)</f>
        <v/>
      </c>
      <c r="I16" s="83"/>
      <c r="J16" s="83"/>
      <c r="K16" s="35" t="str">
        <f aca="false">IF(OR(I16="",$C16=""),"",I16-$C16)</f>
        <v/>
      </c>
      <c r="L16" s="77" t="str">
        <f aca="false">IF(OR(I16="",$C16="",$C16=0),"",I16/$C16-1)</f>
        <v/>
      </c>
      <c r="M16" s="35" t="str">
        <f aca="false">IF(OR(I16="",E16=""),"",I16-E16)</f>
        <v/>
      </c>
      <c r="N16" s="77" t="str">
        <f aca="false">IF(OR(I16="",E16="",E16=0),"",I16/E16-1)</f>
        <v/>
      </c>
    </row>
    <row r="17" customFormat="false" ht="15" hidden="false" customHeight="false" outlineLevel="0" collapsed="false">
      <c r="A17" s="23" t="str">
        <f aca="false">IF('Довідник категорій'!B14="","",'Довідник категорій'!B14)</f>
        <v/>
      </c>
      <c r="B17" s="84" t="str">
        <f aca="false">IF($A17="","",IFERROR(INDEX(ДОВ_КОД,MATCH($A17,КАТЕГОРІЇ,0)),""))</f>
        <v/>
      </c>
      <c r="C17" s="78" t="str">
        <f aca="false">IF(OR($S$2=0,$A17=""),"",IFERROR(INDEX(БАЗА_ЦІНИ,MATCH($A17,БАЗА_КАТ,0),$S$2),""))</f>
        <v/>
      </c>
      <c r="D17" s="78" t="str">
        <f aca="false">IF(OR($S$2=0,$A17=""),"",IFERROR(INDEX(БАЗА_ЦІНИ,MATCH($A17,БАЗА_КАТ,0),$S$2+1),""))</f>
        <v/>
      </c>
      <c r="E17" s="51"/>
      <c r="F17" s="51"/>
      <c r="G17" s="78" t="str">
        <f aca="false">IF(OR(E17="",$C17=""),"",E17-$C17)</f>
        <v/>
      </c>
      <c r="H17" s="71" t="str">
        <f aca="false">IF(OR(E17="",$C17="",$C17=0),"",E17/$C17-1)</f>
        <v/>
      </c>
      <c r="I17" s="83"/>
      <c r="J17" s="83"/>
      <c r="K17" s="78" t="str">
        <f aca="false">IF(OR(I17="",$C17=""),"",I17-$C17)</f>
        <v/>
      </c>
      <c r="L17" s="71" t="str">
        <f aca="false">IF(OR(I17="",$C17="",$C17=0),"",I17/$C17-1)</f>
        <v/>
      </c>
      <c r="M17" s="78" t="str">
        <f aca="false">IF(OR(I17="",E17=""),"",I17-E17)</f>
        <v/>
      </c>
      <c r="N17" s="71" t="str">
        <f aca="false">IF(OR(I17="",E17="",E17=0),"",I17/E17-1)</f>
        <v/>
      </c>
    </row>
    <row r="18" customFormat="false" ht="15" hidden="false" customHeight="false" outlineLevel="0" collapsed="false">
      <c r="A18" s="16" t="str">
        <f aca="false">IF('Довідник категорій'!B15="","",'Довідник категорій'!B15)</f>
        <v/>
      </c>
      <c r="B18" s="82" t="str">
        <f aca="false">IF($A18="","",IFERROR(INDEX(ДОВ_КОД,MATCH($A18,КАТЕГОРІЇ,0)),""))</f>
        <v/>
      </c>
      <c r="C18" s="35" t="str">
        <f aca="false">IF(OR($S$2=0,$A18=""),"",IFERROR(INDEX(БАЗА_ЦІНИ,MATCH($A18,БАЗА_КАТ,0),$S$2),""))</f>
        <v/>
      </c>
      <c r="D18" s="35" t="str">
        <f aca="false">IF(OR($S$2=0,$A18=""),"",IFERROR(INDEX(БАЗА_ЦІНИ,MATCH($A18,БАЗА_КАТ,0),$S$2+1),""))</f>
        <v/>
      </c>
      <c r="E18" s="51"/>
      <c r="F18" s="51"/>
      <c r="G18" s="35" t="str">
        <f aca="false">IF(OR(E18="",$C18=""),"",E18-$C18)</f>
        <v/>
      </c>
      <c r="H18" s="77" t="str">
        <f aca="false">IF(OR(E18="",$C18="",$C18=0),"",E18/$C18-1)</f>
        <v/>
      </c>
      <c r="I18" s="83"/>
      <c r="J18" s="83"/>
      <c r="K18" s="35" t="str">
        <f aca="false">IF(OR(I18="",$C18=""),"",I18-$C18)</f>
        <v/>
      </c>
      <c r="L18" s="77" t="str">
        <f aca="false">IF(OR(I18="",$C18="",$C18=0),"",I18/$C18-1)</f>
        <v/>
      </c>
      <c r="M18" s="35" t="str">
        <f aca="false">IF(OR(I18="",E18=""),"",I18-E18)</f>
        <v/>
      </c>
      <c r="N18" s="77" t="str">
        <f aca="false">IF(OR(I18="",E18="",E18=0),"",I18/E18-1)</f>
        <v/>
      </c>
    </row>
    <row r="19" customFormat="false" ht="15" hidden="false" customHeight="false" outlineLevel="0" collapsed="false">
      <c r="A19" s="23" t="str">
        <f aca="false">IF('Довідник категорій'!B16="","",'Довідник категорій'!B16)</f>
        <v/>
      </c>
      <c r="B19" s="84" t="str">
        <f aca="false">IF($A19="","",IFERROR(INDEX(ДОВ_КОД,MATCH($A19,КАТЕГОРІЇ,0)),""))</f>
        <v/>
      </c>
      <c r="C19" s="78" t="str">
        <f aca="false">IF(OR($S$2=0,$A19=""),"",IFERROR(INDEX(БАЗА_ЦІНИ,MATCH($A19,БАЗА_КАТ,0),$S$2),""))</f>
        <v/>
      </c>
      <c r="D19" s="78" t="str">
        <f aca="false">IF(OR($S$2=0,$A19=""),"",IFERROR(INDEX(БАЗА_ЦІНИ,MATCH($A19,БАЗА_КАТ,0),$S$2+1),""))</f>
        <v/>
      </c>
      <c r="E19" s="51"/>
      <c r="F19" s="51"/>
      <c r="G19" s="78" t="str">
        <f aca="false">IF(OR(E19="",$C19=""),"",E19-$C19)</f>
        <v/>
      </c>
      <c r="H19" s="71" t="str">
        <f aca="false">IF(OR(E19="",$C19="",$C19=0),"",E19/$C19-1)</f>
        <v/>
      </c>
      <c r="I19" s="83"/>
      <c r="J19" s="83"/>
      <c r="K19" s="78" t="str">
        <f aca="false">IF(OR(I19="",$C19=""),"",I19-$C19)</f>
        <v/>
      </c>
      <c r="L19" s="71" t="str">
        <f aca="false">IF(OR(I19="",$C19="",$C19=0),"",I19/$C19-1)</f>
        <v/>
      </c>
      <c r="M19" s="78" t="str">
        <f aca="false">IF(OR(I19="",E19=""),"",I19-E19)</f>
        <v/>
      </c>
      <c r="N19" s="71" t="str">
        <f aca="false">IF(OR(I19="",E19="",E19=0),"",I19/E19-1)</f>
        <v/>
      </c>
    </row>
  </sheetData>
  <sheetProtection sheet="true"/>
  <mergeCells count="6">
    <mergeCell ref="A1:Q1"/>
    <mergeCell ref="A4:Q4"/>
    <mergeCell ref="C6:D6"/>
    <mergeCell ref="E6:H6"/>
    <mergeCell ref="I6:L6"/>
    <mergeCell ref="M6:N6"/>
  </mergeCells>
  <conditionalFormatting sqref="G8:G19">
    <cfRule type="cellIs" priority="2" operator="lessThan" aboveAverage="0" equalAverage="0" bottom="0" percent="0" rank="0" text="" dxfId="3">
      <formula>0</formula>
    </cfRule>
  </conditionalFormatting>
  <conditionalFormatting sqref="H8:H19">
    <cfRule type="cellIs" priority="3" operator="lessThan" aboveAverage="0" equalAverage="0" bottom="0" percent="0" rank="0" text="" dxfId="3">
      <formula>0</formula>
    </cfRule>
  </conditionalFormatting>
  <conditionalFormatting sqref="K8:K19">
    <cfRule type="cellIs" priority="4" operator="lessThan" aboveAverage="0" equalAverage="0" bottom="0" percent="0" rank="0" text="" dxfId="3">
      <formula>0</formula>
    </cfRule>
  </conditionalFormatting>
  <conditionalFormatting sqref="L8:L19">
    <cfRule type="cellIs" priority="5" operator="lessThan" aboveAverage="0" equalAverage="0" bottom="0" percent="0" rank="0" text="" dxfId="3">
      <formula>0</formula>
    </cfRule>
  </conditionalFormatting>
  <conditionalFormatting sqref="M8:M19">
    <cfRule type="cellIs" priority="6" operator="lessThan" aboveAverage="0" equalAverage="0" bottom="0" percent="0" rank="0" text="" dxfId="3">
      <formula>0</formula>
    </cfRule>
  </conditionalFormatting>
  <conditionalFormatting sqref="N8:N19">
    <cfRule type="cellIs" priority="7" operator="lessThan" aboveAverage="0" equalAverage="0" bottom="0" percent="0" rank="0" text="" dxfId="3">
      <formula>0</formula>
    </cfRule>
  </conditionalFormatting>
  <dataValidations count="2">
    <dataValidation allowBlank="false" errorStyle="stop" operator="between" showDropDown="false" showErrorMessage="false" showInputMessage="false" sqref="B3" type="list">
      <formula1>ПРАЙС_ЛИСТИ</formula1>
      <formula2>0</formula2>
    </dataValidation>
    <dataValidation allowBlank="true" error="Ціна не може бути відʼємною." errorStyle="stop" errorTitle="Ціна" operator="greaterThanOrEqual" showDropDown="false" showErrorMessage="true" showInputMessage="false" sqref="E8:F19 I8:J19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6" min="5" style="0" width="17"/>
    <col collapsed="false" customWidth="true" hidden="false" outlineLevel="0" max="7" min="7" style="0" width="14"/>
    <col collapsed="false" customWidth="true" hidden="true" outlineLevel="0" max="9" min="9" style="0" width="13"/>
  </cols>
  <sheetData>
    <row r="1" customFormat="false" ht="27.75" hidden="false" customHeight="true" outlineLevel="0" collapsed="false">
      <c r="A1" s="1" t="s">
        <v>172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I2" s="6" t="n">
        <f aca="false">IFERROR(MATCH(Прайс!$B$3,ПЛ_РЯДОК,0),0)</f>
        <v>5</v>
      </c>
    </row>
    <row r="3" customFormat="false" ht="15" hidden="false" customHeight="false" outlineLevel="0" collapsed="false">
      <c r="A3" s="3" t="s">
        <v>1</v>
      </c>
      <c r="B3" s="85" t="str">
        <f aca="false">Прайс!$B$3</f>
        <v>0сінь 26 0-10%</v>
      </c>
    </row>
    <row r="4" customFormat="false" ht="25.5" hidden="false" customHeight="true" outlineLevel="0" collapsed="false">
      <c r="A4" s="8" t="s">
        <v>173</v>
      </c>
      <c r="B4" s="8"/>
      <c r="C4" s="8"/>
      <c r="D4" s="8"/>
      <c r="E4" s="8"/>
      <c r="F4" s="8"/>
      <c r="G4" s="8"/>
    </row>
    <row r="6" customFormat="false" ht="30" hidden="false" customHeight="true" outlineLevel="0" collapsed="false">
      <c r="A6" s="11" t="s">
        <v>14</v>
      </c>
      <c r="B6" s="11" t="s">
        <v>16</v>
      </c>
      <c r="C6" s="11" t="s">
        <v>174</v>
      </c>
      <c r="D6" s="11" t="s">
        <v>175</v>
      </c>
      <c r="E6" s="11" t="s">
        <v>176</v>
      </c>
      <c r="F6" s="11" t="s">
        <v>177</v>
      </c>
      <c r="G6" s="11" t="s">
        <v>35</v>
      </c>
    </row>
    <row r="7" customFormat="false" ht="15" hidden="false" customHeight="false" outlineLevel="0" collapsed="false">
      <c r="A7" s="16" t="str">
        <f aca="false">IF('Довідник категорій'!B5="","",'Довідник категорій'!B5)</f>
        <v>Classic Chalet</v>
      </c>
      <c r="B7" s="82" t="str">
        <f aca="false">IF($A7="","",IFERROR(INDEX(ДОВ_КОД,MATCH($A7,КАТЕГОРІЇ,0)),""))</f>
        <v>CH-CL</v>
      </c>
      <c r="C7" s="35" t="n">
        <f aca="false">IF(OR($I$2=0,$A7=""),"",IFERROR(INDEX(БАЗА_ЦІНИ,MATCH($A7,БАЗА_КАТ,0),$I$2),""))</f>
        <v>4200</v>
      </c>
      <c r="D7" s="35" t="n">
        <f aca="false">IF(OR($I$2=0,$A7=""),"",IFERROR(INDEX(БАЗА_ЦІНИ,MATCH($A7,БАЗА_КАТ,0),$I$2+1),""))</f>
        <v>4700</v>
      </c>
      <c r="E7" s="35" t="n">
        <f aca="false">IF(OR($C7="",$D7=""),"",$D7-$C7)</f>
        <v>500</v>
      </c>
      <c r="F7" s="86" t="n">
        <f aca="false">IF($A7="","",IFERROR(INDEX(ДОВ_ВКЛ,MATCH($A7,КАТЕГОРІЇ,0)),""))</f>
        <v>2</v>
      </c>
      <c r="G7" s="86" t="n">
        <f aca="false">IF($A7="","",IFERROR(INDEX(ДОВ_МАКС,MATCH($A7,КАТЕГОРІЇ,0)),""))</f>
        <v>3</v>
      </c>
    </row>
    <row r="8" customFormat="false" ht="15" hidden="false" customHeight="false" outlineLevel="0" collapsed="false">
      <c r="A8" s="23" t="str">
        <f aca="false">IF('Довідник категорій'!B6="","",'Довідник категорій'!B6)</f>
        <v>Forest View Chalet</v>
      </c>
      <c r="B8" s="84" t="str">
        <f aca="false">IF($A8="","",IFERROR(INDEX(ДОВ_КОД,MATCH($A8,КАТЕГОРІЇ,0)),""))</f>
        <v>CH-FV</v>
      </c>
      <c r="C8" s="78" t="n">
        <f aca="false">IF(OR($I$2=0,$A8=""),"",IFERROR(INDEX(БАЗА_ЦІНИ,MATCH($A8,БАЗА_КАТ,0),$I$2),""))</f>
        <v>4550</v>
      </c>
      <c r="D8" s="78" t="n">
        <f aca="false">IF(OR($I$2=0,$A8=""),"",IFERROR(INDEX(БАЗА_ЦІНИ,MATCH($A8,БАЗА_КАТ,0),$I$2+1),""))</f>
        <v>5150</v>
      </c>
      <c r="E8" s="78" t="n">
        <f aca="false">IF(OR($C8="",$D8=""),"",$D8-$C8)</f>
        <v>600</v>
      </c>
      <c r="F8" s="87" t="n">
        <f aca="false">IF($A8="","",IFERROR(INDEX(ДОВ_ВКЛ,MATCH($A8,КАТЕГОРІЇ,0)),""))</f>
        <v>2</v>
      </c>
      <c r="G8" s="87" t="n">
        <f aca="false">IF($A8="","",IFERROR(INDEX(ДОВ_МАКС,MATCH($A8,КАТЕГОРІЇ,0)),""))</f>
        <v>3</v>
      </c>
    </row>
    <row r="9" customFormat="false" ht="15" hidden="false" customHeight="false" outlineLevel="0" collapsed="false">
      <c r="A9" s="16" t="str">
        <f aca="false">IF('Довідник категорій'!B7="","",'Довідник категорій'!B7)</f>
        <v>Premium Chalet</v>
      </c>
      <c r="B9" s="82" t="str">
        <f aca="false">IF($A9="","",IFERROR(INDEX(ДОВ_КОД,MATCH($A9,КАТЕГОРІЇ,0)),""))</f>
        <v>CH-PR</v>
      </c>
      <c r="C9" s="35" t="n">
        <f aca="false">IF(OR($I$2=0,$A9=""),"",IFERROR(INDEX(БАЗА_ЦІНИ,MATCH($A9,БАЗА_КАТ,0),$I$2),""))</f>
        <v>7770</v>
      </c>
      <c r="D9" s="35" t="n">
        <f aca="false">IF(OR($I$2=0,$A9=""),"",IFERROR(INDEX(БАЗА_ЦІНИ,MATCH($A9,БАЗА_КАТ,0),$I$2+1),""))</f>
        <v>9770</v>
      </c>
      <c r="E9" s="35" t="n">
        <f aca="false">IF(OR($C9="",$D9=""),"",$D9-$C9)</f>
        <v>2000</v>
      </c>
      <c r="F9" s="86" t="n">
        <f aca="false">IF($A9="","",IFERROR(INDEX(ДОВ_ВКЛ,MATCH($A9,КАТЕГОРІЇ,0)),""))</f>
        <v>6</v>
      </c>
      <c r="G9" s="86" t="n">
        <f aca="false">IF($A9="","",IFERROR(INDEX(ДОВ_МАКС,MATCH($A9,КАТЕГОРІЇ,0)),""))</f>
        <v>8</v>
      </c>
    </row>
    <row r="10" customFormat="false" ht="15" hidden="false" customHeight="false" outlineLevel="0" collapsed="false">
      <c r="A10" s="23" t="str">
        <f aca="false">IF('Довідник категорій'!B8="","",'Довідник категорій'!B8)</f>
        <v/>
      </c>
      <c r="B10" s="84" t="str">
        <f aca="false">IF($A10="","",IFERROR(INDEX(ДОВ_КОД,MATCH($A10,КАТЕГОРІЇ,0)),""))</f>
        <v/>
      </c>
      <c r="C10" s="78" t="str">
        <f aca="false">IF(OR($I$2=0,$A10=""),"",IFERROR(INDEX(БАЗА_ЦІНИ,MATCH($A10,БАЗА_КАТ,0),$I$2),""))</f>
        <v/>
      </c>
      <c r="D10" s="78" t="str">
        <f aca="false">IF(OR($I$2=0,$A10=""),"",IFERROR(INDEX(БАЗА_ЦІНИ,MATCH($A10,БАЗА_КАТ,0),$I$2+1),""))</f>
        <v/>
      </c>
      <c r="E10" s="78" t="str">
        <f aca="false">IF(OR($C10="",$D10=""),"",$D10-$C10)</f>
        <v/>
      </c>
      <c r="F10" s="87" t="str">
        <f aca="false">IF($A10="","",IFERROR(INDEX(ДОВ_ВКЛ,MATCH($A10,КАТЕГОРІЇ,0)),""))</f>
        <v/>
      </c>
      <c r="G10" s="87" t="str">
        <f aca="false">IF($A10="","",IFERROR(INDEX(ДОВ_МАКС,MATCH($A10,КАТЕГОРІЇ,0)),""))</f>
        <v/>
      </c>
    </row>
    <row r="11" customFormat="false" ht="15" hidden="false" customHeight="false" outlineLevel="0" collapsed="false">
      <c r="A11" s="16" t="str">
        <f aca="false">IF('Довідник категорій'!B9="","",'Довідник категорій'!B9)</f>
        <v/>
      </c>
      <c r="B11" s="82" t="str">
        <f aca="false">IF($A11="","",IFERROR(INDEX(ДОВ_КОД,MATCH($A11,КАТЕГОРІЇ,0)),""))</f>
        <v/>
      </c>
      <c r="C11" s="35" t="str">
        <f aca="false">IF(OR($I$2=0,$A11=""),"",IFERROR(INDEX(БАЗА_ЦІНИ,MATCH($A11,БАЗА_КАТ,0),$I$2),""))</f>
        <v/>
      </c>
      <c r="D11" s="35" t="str">
        <f aca="false">IF(OR($I$2=0,$A11=""),"",IFERROR(INDEX(БАЗА_ЦІНИ,MATCH($A11,БАЗА_КАТ,0),$I$2+1),""))</f>
        <v/>
      </c>
      <c r="E11" s="35" t="str">
        <f aca="false">IF(OR($C11="",$D11=""),"",$D11-$C11)</f>
        <v/>
      </c>
      <c r="F11" s="86" t="str">
        <f aca="false">IF($A11="","",IFERROR(INDEX(ДОВ_ВКЛ,MATCH($A11,КАТЕГОРІЇ,0)),""))</f>
        <v/>
      </c>
      <c r="G11" s="86" t="str">
        <f aca="false">IF($A11="","",IFERROR(INDEX(ДОВ_МАКС,MATCH($A11,КАТЕГОРІЇ,0)),""))</f>
        <v/>
      </c>
    </row>
    <row r="12" customFormat="false" ht="15" hidden="false" customHeight="false" outlineLevel="0" collapsed="false">
      <c r="A12" s="23" t="str">
        <f aca="false">IF('Довідник категорій'!B10="","",'Довідник категорій'!B10)</f>
        <v/>
      </c>
      <c r="B12" s="84" t="str">
        <f aca="false">IF($A12="","",IFERROR(INDEX(ДОВ_КОД,MATCH($A12,КАТЕГОРІЇ,0)),""))</f>
        <v/>
      </c>
      <c r="C12" s="78" t="str">
        <f aca="false">IF(OR($I$2=0,$A12=""),"",IFERROR(INDEX(БАЗА_ЦІНИ,MATCH($A12,БАЗА_КАТ,0),$I$2),""))</f>
        <v/>
      </c>
      <c r="D12" s="78" t="str">
        <f aca="false">IF(OR($I$2=0,$A12=""),"",IFERROR(INDEX(БАЗА_ЦІНИ,MATCH($A12,БАЗА_КАТ,0),$I$2+1),""))</f>
        <v/>
      </c>
      <c r="E12" s="78" t="str">
        <f aca="false">IF(OR($C12="",$D12=""),"",$D12-$C12)</f>
        <v/>
      </c>
      <c r="F12" s="87" t="str">
        <f aca="false">IF($A12="","",IFERROR(INDEX(ДОВ_ВКЛ,MATCH($A12,КАТЕГОРІЇ,0)),""))</f>
        <v/>
      </c>
      <c r="G12" s="87" t="str">
        <f aca="false">IF($A12="","",IFERROR(INDEX(ДОВ_МАКС,MATCH($A12,КАТЕГОРІЇ,0)),""))</f>
        <v/>
      </c>
    </row>
    <row r="13" customFormat="false" ht="15" hidden="false" customHeight="false" outlineLevel="0" collapsed="false">
      <c r="A13" s="16" t="str">
        <f aca="false">IF('Довідник категорій'!B11="","",'Довідник категорій'!B11)</f>
        <v/>
      </c>
      <c r="B13" s="82" t="str">
        <f aca="false">IF($A13="","",IFERROR(INDEX(ДОВ_КОД,MATCH($A13,КАТЕГОРІЇ,0)),""))</f>
        <v/>
      </c>
      <c r="C13" s="35" t="str">
        <f aca="false">IF(OR($I$2=0,$A13=""),"",IFERROR(INDEX(БАЗА_ЦІНИ,MATCH($A13,БАЗА_КАТ,0),$I$2),""))</f>
        <v/>
      </c>
      <c r="D13" s="35" t="str">
        <f aca="false">IF(OR($I$2=0,$A13=""),"",IFERROR(INDEX(БАЗА_ЦІНИ,MATCH($A13,БАЗА_КАТ,0),$I$2+1),""))</f>
        <v/>
      </c>
      <c r="E13" s="35" t="str">
        <f aca="false">IF(OR($C13="",$D13=""),"",$D13-$C13)</f>
        <v/>
      </c>
      <c r="F13" s="86" t="str">
        <f aca="false">IF($A13="","",IFERROR(INDEX(ДОВ_ВКЛ,MATCH($A13,КАТЕГОРІЇ,0)),""))</f>
        <v/>
      </c>
      <c r="G13" s="86" t="str">
        <f aca="false">IF($A13="","",IFERROR(INDEX(ДОВ_МАКС,MATCH($A13,КАТЕГОРІЇ,0)),""))</f>
        <v/>
      </c>
    </row>
    <row r="14" customFormat="false" ht="15" hidden="false" customHeight="false" outlineLevel="0" collapsed="false">
      <c r="A14" s="23" t="str">
        <f aca="false">IF('Довідник категорій'!B12="","",'Довідник категорій'!B12)</f>
        <v/>
      </c>
      <c r="B14" s="84" t="str">
        <f aca="false">IF($A14="","",IFERROR(INDEX(ДОВ_КОД,MATCH($A14,КАТЕГОРІЇ,0)),""))</f>
        <v/>
      </c>
      <c r="C14" s="78" t="str">
        <f aca="false">IF(OR($I$2=0,$A14=""),"",IFERROR(INDEX(БАЗА_ЦІНИ,MATCH($A14,БАЗА_КАТ,0),$I$2),""))</f>
        <v/>
      </c>
      <c r="D14" s="78" t="str">
        <f aca="false">IF(OR($I$2=0,$A14=""),"",IFERROR(INDEX(БАЗА_ЦІНИ,MATCH($A14,БАЗА_КАТ,0),$I$2+1),""))</f>
        <v/>
      </c>
      <c r="E14" s="78" t="str">
        <f aca="false">IF(OR($C14="",$D14=""),"",$D14-$C14)</f>
        <v/>
      </c>
      <c r="F14" s="87" t="str">
        <f aca="false">IF($A14="","",IFERROR(INDEX(ДОВ_ВКЛ,MATCH($A14,КАТЕГОРІЇ,0)),""))</f>
        <v/>
      </c>
      <c r="G14" s="87" t="str">
        <f aca="false">IF($A14="","",IFERROR(INDEX(ДОВ_МАКС,MATCH($A14,КАТЕГОРІЇ,0)),""))</f>
        <v/>
      </c>
    </row>
    <row r="15" customFormat="false" ht="15" hidden="false" customHeight="false" outlineLevel="0" collapsed="false">
      <c r="A15" s="16" t="str">
        <f aca="false">IF('Довідник категорій'!B13="","",'Довідник категорій'!B13)</f>
        <v/>
      </c>
      <c r="B15" s="82" t="str">
        <f aca="false">IF($A15="","",IFERROR(INDEX(ДОВ_КОД,MATCH($A15,КАТЕГОРІЇ,0)),""))</f>
        <v/>
      </c>
      <c r="C15" s="35" t="str">
        <f aca="false">IF(OR($I$2=0,$A15=""),"",IFERROR(INDEX(БАЗА_ЦІНИ,MATCH($A15,БАЗА_КАТ,0),$I$2),""))</f>
        <v/>
      </c>
      <c r="D15" s="35" t="str">
        <f aca="false">IF(OR($I$2=0,$A15=""),"",IFERROR(INDEX(БАЗА_ЦІНИ,MATCH($A15,БАЗА_КАТ,0),$I$2+1),""))</f>
        <v/>
      </c>
      <c r="E15" s="35" t="str">
        <f aca="false">IF(OR($C15="",$D15=""),"",$D15-$C15)</f>
        <v/>
      </c>
      <c r="F15" s="86" t="str">
        <f aca="false">IF($A15="","",IFERROR(INDEX(ДОВ_ВКЛ,MATCH($A15,КАТЕГОРІЇ,0)),""))</f>
        <v/>
      </c>
      <c r="G15" s="86" t="str">
        <f aca="false">IF($A15="","",IFERROR(INDEX(ДОВ_МАКС,MATCH($A15,КАТЕГОРІЇ,0)),""))</f>
        <v/>
      </c>
    </row>
    <row r="16" customFormat="false" ht="15" hidden="false" customHeight="false" outlineLevel="0" collapsed="false">
      <c r="A16" s="23" t="str">
        <f aca="false">IF('Довідник категорій'!B14="","",'Довідник категорій'!B14)</f>
        <v/>
      </c>
      <c r="B16" s="84" t="str">
        <f aca="false">IF($A16="","",IFERROR(INDEX(ДОВ_КОД,MATCH($A16,КАТЕГОРІЇ,0)),""))</f>
        <v/>
      </c>
      <c r="C16" s="78" t="str">
        <f aca="false">IF(OR($I$2=0,$A16=""),"",IFERROR(INDEX(БАЗА_ЦІНИ,MATCH($A16,БАЗА_КАТ,0),$I$2),""))</f>
        <v/>
      </c>
      <c r="D16" s="78" t="str">
        <f aca="false">IF(OR($I$2=0,$A16=""),"",IFERROR(INDEX(БАЗА_ЦІНИ,MATCH($A16,БАЗА_КАТ,0),$I$2+1),""))</f>
        <v/>
      </c>
      <c r="E16" s="78" t="str">
        <f aca="false">IF(OR($C16="",$D16=""),"",$D16-$C16)</f>
        <v/>
      </c>
      <c r="F16" s="87" t="str">
        <f aca="false">IF($A16="","",IFERROR(INDEX(ДОВ_ВКЛ,MATCH($A16,КАТЕГОРІЇ,0)),""))</f>
        <v/>
      </c>
      <c r="G16" s="87" t="str">
        <f aca="false">IF($A16="","",IFERROR(INDEX(ДОВ_МАКС,MATCH($A16,КАТЕГОРІЇ,0)),""))</f>
        <v/>
      </c>
    </row>
    <row r="17" customFormat="false" ht="15" hidden="false" customHeight="false" outlineLevel="0" collapsed="false">
      <c r="A17" s="16" t="str">
        <f aca="false">IF('Довідник категорій'!B15="","",'Довідник категорій'!B15)</f>
        <v/>
      </c>
      <c r="B17" s="82" t="str">
        <f aca="false">IF($A17="","",IFERROR(INDEX(ДОВ_КОД,MATCH($A17,КАТЕГОРІЇ,0)),""))</f>
        <v/>
      </c>
      <c r="C17" s="35" t="str">
        <f aca="false">IF(OR($I$2=0,$A17=""),"",IFERROR(INDEX(БАЗА_ЦІНИ,MATCH($A17,БАЗА_КАТ,0),$I$2),""))</f>
        <v/>
      </c>
      <c r="D17" s="35" t="str">
        <f aca="false">IF(OR($I$2=0,$A17=""),"",IFERROR(INDEX(БАЗА_ЦІНИ,MATCH($A17,БАЗА_КАТ,0),$I$2+1),""))</f>
        <v/>
      </c>
      <c r="E17" s="35" t="str">
        <f aca="false">IF(OR($C17="",$D17=""),"",$D17-$C17)</f>
        <v/>
      </c>
      <c r="F17" s="86" t="str">
        <f aca="false">IF($A17="","",IFERROR(INDEX(ДОВ_ВКЛ,MATCH($A17,КАТЕГОРІЇ,0)),""))</f>
        <v/>
      </c>
      <c r="G17" s="86" t="str">
        <f aca="false">IF($A17="","",IFERROR(INDEX(ДОВ_МАКС,MATCH($A17,КАТЕГОРІЇ,0)),""))</f>
        <v/>
      </c>
    </row>
    <row r="18" customFormat="false" ht="15" hidden="false" customHeight="false" outlineLevel="0" collapsed="false">
      <c r="A18" s="23" t="str">
        <f aca="false">IF('Довідник категорій'!B16="","",'Довідник категорій'!B16)</f>
        <v/>
      </c>
      <c r="B18" s="84" t="str">
        <f aca="false">IF($A18="","",IFERROR(INDEX(ДОВ_КОД,MATCH($A18,КАТЕГОРІЇ,0)),""))</f>
        <v/>
      </c>
      <c r="C18" s="78" t="str">
        <f aca="false">IF(OR($I$2=0,$A18=""),"",IFERROR(INDEX(БАЗА_ЦІНИ,MATCH($A18,БАЗА_КАТ,0),$I$2),""))</f>
        <v/>
      </c>
      <c r="D18" s="78" t="str">
        <f aca="false">IF(OR($I$2=0,$A18=""),"",IFERROR(INDEX(БАЗА_ЦІНИ,MATCH($A18,БАЗА_КАТ,0),$I$2+1),""))</f>
        <v/>
      </c>
      <c r="E18" s="78" t="str">
        <f aca="false">IF(OR($C18="",$D18=""),"",$D18-$C18)</f>
        <v/>
      </c>
      <c r="F18" s="87" t="str">
        <f aca="false">IF($A18="","",IFERROR(INDEX(ДОВ_ВКЛ,MATCH($A18,КАТЕГОРІЇ,0)),""))</f>
        <v/>
      </c>
      <c r="G18" s="87" t="str">
        <f aca="false">IF($A18="","",IFERROR(INDEX(ДОВ_МАКС,MATCH($A18,КАТЕГОРІЇ,0)),""))</f>
        <v/>
      </c>
    </row>
  </sheetData>
  <sheetProtection sheet="true"/>
  <mergeCells count="2">
    <mergeCell ref="A1:G1"/>
    <mergeCell ref="A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6" min="6" style="0" width="13"/>
    <col collapsed="false" customWidth="true" hidden="false" outlineLevel="0" max="8" min="7" style="0" width="17"/>
    <col collapsed="false" customWidth="true" hidden="false" outlineLevel="0" max="9" min="9" style="0" width="30"/>
    <col collapsed="false" customWidth="true" hidden="false" outlineLevel="0" max="10" min="10" style="0" width="10"/>
  </cols>
  <sheetData>
    <row r="1" customFormat="false" ht="27.75" hidden="false" customHeight="true" outlineLevel="0" collapsed="false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42" hidden="false" customHeight="true" outlineLevel="0" collapsed="false">
      <c r="A2" s="8" t="s">
        <v>179</v>
      </c>
      <c r="B2" s="8"/>
      <c r="C2" s="8"/>
      <c r="D2" s="8"/>
      <c r="E2" s="8"/>
      <c r="F2" s="8"/>
      <c r="G2" s="8"/>
      <c r="H2" s="8"/>
      <c r="I2" s="8"/>
      <c r="J2" s="8"/>
    </row>
    <row r="4" customFormat="false" ht="33.75" hidden="false" customHeight="true" outlineLevel="0" collapsed="false">
      <c r="A4" s="11" t="s">
        <v>16</v>
      </c>
      <c r="B4" s="11" t="s">
        <v>14</v>
      </c>
      <c r="C4" s="11" t="s">
        <v>15</v>
      </c>
      <c r="D4" s="11" t="s">
        <v>30</v>
      </c>
      <c r="E4" s="11" t="s">
        <v>177</v>
      </c>
      <c r="F4" s="11" t="s">
        <v>35</v>
      </c>
      <c r="G4" s="11" t="s">
        <v>180</v>
      </c>
      <c r="H4" s="11" t="s">
        <v>181</v>
      </c>
      <c r="I4" s="11" t="s">
        <v>182</v>
      </c>
      <c r="J4" s="11" t="s">
        <v>27</v>
      </c>
    </row>
    <row r="5" customFormat="false" ht="15" hidden="false" customHeight="false" outlineLevel="0" collapsed="false">
      <c r="A5" s="17" t="s">
        <v>183</v>
      </c>
      <c r="B5" s="16" t="s">
        <v>29</v>
      </c>
      <c r="C5" s="17" t="s">
        <v>184</v>
      </c>
      <c r="D5" s="88" t="n">
        <v>2</v>
      </c>
      <c r="E5" s="88" t="n">
        <v>2</v>
      </c>
      <c r="F5" s="88" t="n">
        <v>3</v>
      </c>
      <c r="G5" s="89" t="n">
        <v>1000</v>
      </c>
      <c r="H5" s="89" t="n">
        <v>500</v>
      </c>
      <c r="I5" s="17" t="s">
        <v>129</v>
      </c>
      <c r="J5" s="17" t="s">
        <v>185</v>
      </c>
    </row>
    <row r="6" customFormat="false" ht="15" hidden="false" customHeight="false" outlineLevel="0" collapsed="false">
      <c r="A6" s="24" t="s">
        <v>186</v>
      </c>
      <c r="B6" s="23" t="s">
        <v>187</v>
      </c>
      <c r="C6" s="24" t="s">
        <v>188</v>
      </c>
      <c r="D6" s="88" t="n">
        <v>2</v>
      </c>
      <c r="E6" s="88" t="n">
        <v>2</v>
      </c>
      <c r="F6" s="88" t="n">
        <v>3</v>
      </c>
      <c r="G6" s="89" t="n">
        <v>1000</v>
      </c>
      <c r="H6" s="89" t="n">
        <v>500</v>
      </c>
      <c r="I6" s="24" t="s">
        <v>129</v>
      </c>
      <c r="J6" s="24" t="s">
        <v>185</v>
      </c>
    </row>
    <row r="7" customFormat="false" ht="15" hidden="false" customHeight="false" outlineLevel="0" collapsed="false">
      <c r="A7" s="17" t="s">
        <v>189</v>
      </c>
      <c r="B7" s="16" t="s">
        <v>190</v>
      </c>
      <c r="C7" s="17" t="s">
        <v>191</v>
      </c>
      <c r="D7" s="88" t="n">
        <v>2</v>
      </c>
      <c r="E7" s="88" t="n">
        <v>6</v>
      </c>
      <c r="F7" s="88" t="n">
        <v>8</v>
      </c>
      <c r="G7" s="89" t="n">
        <v>1000</v>
      </c>
      <c r="H7" s="89" t="n">
        <v>500</v>
      </c>
      <c r="I7" s="17" t="s">
        <v>130</v>
      </c>
      <c r="J7" s="17" t="s">
        <v>185</v>
      </c>
    </row>
    <row r="8" customFormat="false" ht="15" hidden="false" customHeight="false" outlineLevel="0" collapsed="false">
      <c r="A8" s="24"/>
      <c r="B8" s="23"/>
      <c r="C8" s="24"/>
      <c r="D8" s="88"/>
      <c r="E8" s="88"/>
      <c r="F8" s="88"/>
      <c r="G8" s="89"/>
      <c r="H8" s="89"/>
      <c r="I8" s="24"/>
      <c r="J8" s="24"/>
    </row>
    <row r="9" customFormat="false" ht="15" hidden="false" customHeight="false" outlineLevel="0" collapsed="false">
      <c r="A9" s="17"/>
      <c r="B9" s="16"/>
      <c r="C9" s="17"/>
      <c r="D9" s="88"/>
      <c r="E9" s="88"/>
      <c r="F9" s="88"/>
      <c r="G9" s="89"/>
      <c r="H9" s="89"/>
      <c r="I9" s="17"/>
      <c r="J9" s="17"/>
    </row>
    <row r="10" customFormat="false" ht="15" hidden="false" customHeight="false" outlineLevel="0" collapsed="false">
      <c r="A10" s="24"/>
      <c r="B10" s="23"/>
      <c r="C10" s="24"/>
      <c r="D10" s="88"/>
      <c r="E10" s="88"/>
      <c r="F10" s="88"/>
      <c r="G10" s="89"/>
      <c r="H10" s="89"/>
      <c r="I10" s="24"/>
      <c r="J10" s="24"/>
    </row>
    <row r="11" customFormat="false" ht="15" hidden="false" customHeight="false" outlineLevel="0" collapsed="false">
      <c r="A11" s="17"/>
      <c r="B11" s="16"/>
      <c r="C11" s="17"/>
      <c r="D11" s="88"/>
      <c r="E11" s="88"/>
      <c r="F11" s="88"/>
      <c r="G11" s="89"/>
      <c r="H11" s="89"/>
      <c r="I11" s="17"/>
      <c r="J11" s="17"/>
    </row>
    <row r="12" customFormat="false" ht="15" hidden="false" customHeight="false" outlineLevel="0" collapsed="false">
      <c r="A12" s="24"/>
      <c r="B12" s="23"/>
      <c r="C12" s="24"/>
      <c r="D12" s="88"/>
      <c r="E12" s="88"/>
      <c r="F12" s="88"/>
      <c r="G12" s="89"/>
      <c r="H12" s="89"/>
      <c r="I12" s="24"/>
      <c r="J12" s="24"/>
    </row>
    <row r="13" customFormat="false" ht="15" hidden="false" customHeight="false" outlineLevel="0" collapsed="false">
      <c r="A13" s="17"/>
      <c r="B13" s="16"/>
      <c r="C13" s="17"/>
      <c r="D13" s="88"/>
      <c r="E13" s="88"/>
      <c r="F13" s="88"/>
      <c r="G13" s="89"/>
      <c r="H13" s="89"/>
      <c r="I13" s="17"/>
      <c r="J13" s="17"/>
    </row>
    <row r="14" customFormat="false" ht="15" hidden="false" customHeight="false" outlineLevel="0" collapsed="false">
      <c r="A14" s="24"/>
      <c r="B14" s="23"/>
      <c r="C14" s="24"/>
      <c r="D14" s="88"/>
      <c r="E14" s="88"/>
      <c r="F14" s="88"/>
      <c r="G14" s="89"/>
      <c r="H14" s="89"/>
      <c r="I14" s="24"/>
      <c r="J14" s="24"/>
    </row>
    <row r="15" customFormat="false" ht="15" hidden="false" customHeight="false" outlineLevel="0" collapsed="false">
      <c r="A15" s="17"/>
      <c r="B15" s="16"/>
      <c r="C15" s="17"/>
      <c r="D15" s="88"/>
      <c r="E15" s="88"/>
      <c r="F15" s="88"/>
      <c r="G15" s="89"/>
      <c r="H15" s="89"/>
      <c r="I15" s="17"/>
      <c r="J15" s="17"/>
    </row>
    <row r="16" customFormat="false" ht="15" hidden="false" customHeight="false" outlineLevel="0" collapsed="false">
      <c r="A16" s="24"/>
      <c r="B16" s="23"/>
      <c r="C16" s="24"/>
      <c r="D16" s="88"/>
      <c r="E16" s="88"/>
      <c r="F16" s="88"/>
      <c r="G16" s="89"/>
      <c r="H16" s="89"/>
      <c r="I16" s="24"/>
      <c r="J16" s="24"/>
    </row>
  </sheetData>
  <sheetProtection sheet="true"/>
  <mergeCells count="2">
    <mergeCell ref="A1:J1"/>
    <mergeCell ref="A2:J2"/>
  </mergeCells>
  <dataValidations count="4">
    <dataValidation allowBlank="true" errorStyle="stop" operator="between" showDropDown="false" showErrorMessage="false" showInputMessage="false" sqref="I5:I16" type="list">
      <formula1>СПИСОК_SPA</formula1>
      <formula2>0</formula2>
    </dataValidation>
    <dataValidation allowBlank="true" errorStyle="stop" operator="between" showDropDown="false" showErrorMessage="false" showInputMessage="false" sqref="J5:J16" type="list">
      <formula1>"OK,Не продається"</formula1>
      <formula2>0</formula2>
    </dataValidation>
    <dataValidation allowBlank="true" error="Введіть ціле число від 0 до 30." errorStyle="stop" errorTitle="Місткість" operator="between" showDropDown="false" showErrorMessage="true" showInputMessage="false" sqref="D5:F16" type="whole">
      <formula1>0</formula1>
      <formula2>30</formula2>
    </dataValidation>
    <dataValidation allowBlank="true" error="Доплата не може бути відʼємною." errorStyle="stop" errorTitle="Доплата" operator="greaterThanOrEqual" showDropDown="false" showErrorMessage="true" showInputMessage="false" sqref="G5:H16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5" min="5" style="0" width="26"/>
  </cols>
  <sheetData>
    <row r="1" customFormat="false" ht="27.75" hidden="false" customHeight="true" outlineLevel="0" collapsed="false">
      <c r="A1" s="1" t="s">
        <v>192</v>
      </c>
      <c r="B1" s="1"/>
      <c r="C1" s="1"/>
      <c r="D1" s="1"/>
      <c r="E1" s="1"/>
    </row>
    <row r="2" customFormat="false" ht="39.75" hidden="false" customHeight="true" outlineLevel="0" collapsed="false">
      <c r="A2" s="8" t="s">
        <v>193</v>
      </c>
      <c r="B2" s="8"/>
      <c r="C2" s="8"/>
      <c r="D2" s="8"/>
      <c r="E2" s="8"/>
    </row>
    <row r="4" customFormat="false" ht="15" hidden="false" customHeight="false" outlineLevel="0" collapsed="false">
      <c r="A4" s="90" t="s">
        <v>194</v>
      </c>
      <c r="B4" s="90" t="s">
        <v>195</v>
      </c>
    </row>
    <row r="5" customFormat="false" ht="15" hidden="false" customHeight="false" outlineLevel="0" collapsed="false">
      <c r="A5" s="90" t="s">
        <v>196</v>
      </c>
      <c r="B5" s="90" t="s">
        <v>197</v>
      </c>
    </row>
    <row r="6" customFormat="false" ht="15" hidden="false" customHeight="false" outlineLevel="0" collapsed="false">
      <c r="A6" s="90" t="s">
        <v>198</v>
      </c>
      <c r="B6" s="90" t="s">
        <v>199</v>
      </c>
    </row>
    <row r="7" customFormat="false" ht="15" hidden="false" customHeight="false" outlineLevel="0" collapsed="false">
      <c r="A7" s="90" t="s">
        <v>200</v>
      </c>
      <c r="B7" s="90" t="s">
        <v>201</v>
      </c>
    </row>
    <row r="9" customFormat="false" ht="15" hidden="false" customHeight="false" outlineLevel="0" collapsed="false">
      <c r="A9" s="29" t="s">
        <v>202</v>
      </c>
      <c r="B9" s="29"/>
      <c r="C9" s="29"/>
      <c r="D9" s="29"/>
      <c r="E9" s="29"/>
    </row>
    <row r="10" customFormat="false" ht="28.35" hidden="false" customHeight="false" outlineLevel="0" collapsed="false">
      <c r="A10" s="11" t="s">
        <v>203</v>
      </c>
      <c r="B10" s="11" t="s">
        <v>204</v>
      </c>
      <c r="C10" s="11" t="s">
        <v>205</v>
      </c>
      <c r="D10" s="11" t="s">
        <v>206</v>
      </c>
      <c r="E10" s="11" t="s">
        <v>200</v>
      </c>
    </row>
    <row r="11" customFormat="false" ht="15" hidden="false" customHeight="false" outlineLevel="0" collapsed="false">
      <c r="A11" s="90" t="s">
        <v>207</v>
      </c>
      <c r="B11" s="91" t="n">
        <v>500</v>
      </c>
      <c r="C11" s="91" t="n">
        <v>400</v>
      </c>
      <c r="D11" s="91" t="n">
        <v>320</v>
      </c>
    </row>
    <row r="12" customFormat="false" ht="15" hidden="false" customHeight="false" outlineLevel="0" collapsed="false">
      <c r="A12" s="90" t="s">
        <v>208</v>
      </c>
      <c r="B12" s="91" t="n">
        <v>250</v>
      </c>
      <c r="C12" s="91" t="n">
        <v>200</v>
      </c>
      <c r="D12" s="91" t="n">
        <v>160</v>
      </c>
    </row>
    <row r="14" customFormat="false" ht="15" hidden="false" customHeight="false" outlineLevel="0" collapsed="false">
      <c r="A14" s="90" t="s">
        <v>209</v>
      </c>
      <c r="B14" s="91" t="n">
        <v>1000</v>
      </c>
      <c r="C14" s="90" t="s">
        <v>210</v>
      </c>
      <c r="D14" s="90" t="s">
        <v>210</v>
      </c>
    </row>
    <row r="15" customFormat="false" ht="15" hidden="false" customHeight="false" outlineLevel="0" collapsed="false">
      <c r="A15" s="90" t="s">
        <v>211</v>
      </c>
      <c r="B15" s="91" t="n">
        <v>500</v>
      </c>
      <c r="C15" s="90" t="s">
        <v>210</v>
      </c>
      <c r="D15" s="90" t="s">
        <v>210</v>
      </c>
    </row>
    <row r="16" customFormat="false" ht="15" hidden="false" customHeight="false" outlineLevel="0" collapsed="false">
      <c r="A16" s="90" t="s">
        <v>212</v>
      </c>
      <c r="B16" s="91" t="n">
        <v>500</v>
      </c>
      <c r="C16" s="90" t="s">
        <v>210</v>
      </c>
      <c r="D16" s="90" t="s">
        <v>210</v>
      </c>
    </row>
    <row r="18" customFormat="false" ht="15" hidden="false" customHeight="false" outlineLevel="0" collapsed="false">
      <c r="A18" s="90" t="s">
        <v>213</v>
      </c>
      <c r="B18" s="91" t="n">
        <v>1200</v>
      </c>
      <c r="C18" s="91" t="n">
        <v>400</v>
      </c>
      <c r="D18" s="91" t="n">
        <v>400</v>
      </c>
    </row>
    <row r="19" customFormat="false" ht="15" hidden="false" customHeight="false" outlineLevel="0" collapsed="false">
      <c r="A19" s="90" t="s">
        <v>214</v>
      </c>
      <c r="B19" s="91" t="n">
        <v>600</v>
      </c>
      <c r="C19" s="91" t="n">
        <v>200</v>
      </c>
      <c r="D19" s="91" t="n">
        <v>200</v>
      </c>
    </row>
    <row r="20" customFormat="false" ht="15" hidden="false" customHeight="false" outlineLevel="0" collapsed="false">
      <c r="A20" s="90" t="s">
        <v>215</v>
      </c>
      <c r="B20" s="91" t="n">
        <v>1200</v>
      </c>
      <c r="C20" s="91" t="n">
        <v>800</v>
      </c>
      <c r="D20" s="91" t="n">
        <v>800</v>
      </c>
    </row>
    <row r="21" customFormat="false" ht="15" hidden="false" customHeight="false" outlineLevel="0" collapsed="false">
      <c r="A21" s="90" t="s">
        <v>214</v>
      </c>
      <c r="B21" s="91" t="n">
        <v>600</v>
      </c>
      <c r="C21" s="91" t="n">
        <v>300</v>
      </c>
      <c r="D21" s="91" t="n">
        <v>300</v>
      </c>
    </row>
    <row r="22" customFormat="false" ht="15" hidden="false" customHeight="false" outlineLevel="0" collapsed="false">
      <c r="A22" s="90" t="s">
        <v>216</v>
      </c>
    </row>
    <row r="24" customFormat="false" ht="15" hidden="false" customHeight="false" outlineLevel="0" collapsed="false">
      <c r="A24" s="29" t="s">
        <v>217</v>
      </c>
      <c r="B24" s="29"/>
      <c r="C24" s="29"/>
      <c r="D24" s="29"/>
      <c r="E24" s="29"/>
    </row>
    <row r="25" customFormat="false" ht="28.35" hidden="false" customHeight="false" outlineLevel="0" collapsed="false">
      <c r="A25" s="11" t="s">
        <v>203</v>
      </c>
      <c r="B25" s="11" t="s">
        <v>204</v>
      </c>
      <c r="C25" s="11" t="s">
        <v>205</v>
      </c>
      <c r="D25" s="11" t="s">
        <v>206</v>
      </c>
      <c r="E25" s="11" t="s">
        <v>200</v>
      </c>
    </row>
    <row r="26" customFormat="false" ht="15" hidden="false" customHeight="false" outlineLevel="0" collapsed="false">
      <c r="A26" s="90" t="s">
        <v>207</v>
      </c>
      <c r="B26" s="91" t="n">
        <v>500</v>
      </c>
      <c r="C26" s="91" t="n">
        <v>500</v>
      </c>
      <c r="D26" s="91" t="n">
        <v>400</v>
      </c>
      <c r="E26" s="91" t="n">
        <v>1.2</v>
      </c>
    </row>
    <row r="27" customFormat="false" ht="15" hidden="false" customHeight="false" outlineLevel="0" collapsed="false">
      <c r="A27" s="90" t="s">
        <v>208</v>
      </c>
      <c r="B27" s="91" t="n">
        <v>250</v>
      </c>
      <c r="C27" s="91" t="n">
        <v>250</v>
      </c>
      <c r="D27" s="91" t="n">
        <v>200</v>
      </c>
      <c r="E27" s="91" t="n">
        <v>1.2</v>
      </c>
    </row>
    <row r="29" customFormat="false" ht="15" hidden="false" customHeight="false" outlineLevel="0" collapsed="false">
      <c r="A29" s="90" t="s">
        <v>209</v>
      </c>
      <c r="B29" s="91" t="n">
        <v>1000</v>
      </c>
      <c r="C29" s="90" t="s">
        <v>210</v>
      </c>
      <c r="D29" s="90" t="s">
        <v>210</v>
      </c>
    </row>
    <row r="30" customFormat="false" ht="15" hidden="false" customHeight="false" outlineLevel="0" collapsed="false">
      <c r="A30" s="90" t="s">
        <v>211</v>
      </c>
      <c r="B30" s="91" t="n">
        <v>500</v>
      </c>
      <c r="C30" s="90" t="s">
        <v>210</v>
      </c>
      <c r="D30" s="90" t="s">
        <v>210</v>
      </c>
    </row>
    <row r="31" customFormat="false" ht="15" hidden="false" customHeight="false" outlineLevel="0" collapsed="false">
      <c r="A31" s="90" t="s">
        <v>212</v>
      </c>
      <c r="B31" s="91" t="n">
        <v>500</v>
      </c>
      <c r="C31" s="90" t="s">
        <v>210</v>
      </c>
      <c r="D31" s="90" t="s">
        <v>210</v>
      </c>
    </row>
    <row r="32" customFormat="false" ht="15" hidden="false" customHeight="false" outlineLevel="0" collapsed="false">
      <c r="A32" s="90" t="s">
        <v>218</v>
      </c>
    </row>
    <row r="33" customFormat="false" ht="15" hidden="false" customHeight="false" outlineLevel="0" collapsed="false">
      <c r="A33" s="90" t="s">
        <v>213</v>
      </c>
      <c r="B33" s="91" t="n">
        <v>1000</v>
      </c>
      <c r="C33" s="91" t="n">
        <v>850</v>
      </c>
      <c r="D33" s="91" t="n">
        <v>700</v>
      </c>
      <c r="E33" s="91" t="n">
        <v>1.2</v>
      </c>
    </row>
    <row r="34" customFormat="false" ht="15" hidden="false" customHeight="false" outlineLevel="0" collapsed="false">
      <c r="A34" s="90" t="s">
        <v>219</v>
      </c>
      <c r="B34" s="91" t="n">
        <v>500</v>
      </c>
      <c r="C34" s="91" t="n">
        <v>500</v>
      </c>
      <c r="D34" s="91" t="n">
        <v>400</v>
      </c>
      <c r="E34" s="91" t="n">
        <v>1.2</v>
      </c>
    </row>
    <row r="35" customFormat="false" ht="15" hidden="false" customHeight="false" outlineLevel="0" collapsed="false">
      <c r="A35" s="90" t="s">
        <v>220</v>
      </c>
      <c r="B35" s="91" t="n">
        <v>1400</v>
      </c>
      <c r="C35" s="91" t="n">
        <v>1200</v>
      </c>
      <c r="D35" s="91" t="n">
        <v>1000</v>
      </c>
      <c r="E35" s="91" t="n">
        <v>1.2</v>
      </c>
    </row>
    <row r="36" customFormat="false" ht="15" hidden="false" customHeight="false" outlineLevel="0" collapsed="false">
      <c r="A36" s="90" t="s">
        <v>214</v>
      </c>
      <c r="B36" s="91" t="n">
        <v>600</v>
      </c>
      <c r="C36" s="91" t="n">
        <v>600</v>
      </c>
      <c r="D36" s="91" t="n">
        <v>500</v>
      </c>
      <c r="E36" s="91" t="n">
        <v>1.2</v>
      </c>
    </row>
    <row r="37" customFormat="false" ht="15" hidden="false" customHeight="false" outlineLevel="0" collapsed="false">
      <c r="A37" s="90" t="s">
        <v>221</v>
      </c>
    </row>
    <row r="39" customFormat="false" ht="15" hidden="false" customHeight="false" outlineLevel="0" collapsed="false">
      <c r="A39" s="29" t="s">
        <v>222</v>
      </c>
      <c r="B39" s="29"/>
      <c r="C39" s="29"/>
      <c r="D39" s="29"/>
      <c r="E39" s="29"/>
    </row>
    <row r="40" customFormat="false" ht="28.35" hidden="false" customHeight="false" outlineLevel="0" collapsed="false">
      <c r="A40" s="11" t="s">
        <v>203</v>
      </c>
      <c r="B40" s="11" t="s">
        <v>204</v>
      </c>
      <c r="C40" s="11" t="s">
        <v>205</v>
      </c>
      <c r="D40" s="11" t="s">
        <v>206</v>
      </c>
      <c r="E40" s="11" t="s">
        <v>200</v>
      </c>
    </row>
    <row r="41" customFormat="false" ht="15" hidden="false" customHeight="false" outlineLevel="0" collapsed="false">
      <c r="A41" s="90" t="s">
        <v>207</v>
      </c>
      <c r="B41" s="91" t="n">
        <v>500</v>
      </c>
      <c r="C41" s="91" t="n">
        <v>500</v>
      </c>
      <c r="D41" s="91" t="n">
        <v>400</v>
      </c>
      <c r="E41" s="91" t="n">
        <v>1.2</v>
      </c>
    </row>
    <row r="42" customFormat="false" ht="15" hidden="false" customHeight="false" outlineLevel="0" collapsed="false">
      <c r="A42" s="90" t="s">
        <v>208</v>
      </c>
      <c r="B42" s="91" t="n">
        <v>250</v>
      </c>
      <c r="C42" s="91" t="n">
        <v>250</v>
      </c>
      <c r="D42" s="91" t="n">
        <v>200</v>
      </c>
      <c r="E42" s="91" t="n">
        <v>1.2</v>
      </c>
    </row>
    <row r="44" customFormat="false" ht="15" hidden="false" customHeight="false" outlineLevel="0" collapsed="false">
      <c r="A44" s="90" t="s">
        <v>209</v>
      </c>
      <c r="B44" s="91" t="n">
        <v>1000</v>
      </c>
      <c r="C44" s="90" t="s">
        <v>210</v>
      </c>
      <c r="D44" s="90" t="s">
        <v>210</v>
      </c>
    </row>
    <row r="45" customFormat="false" ht="15" hidden="false" customHeight="false" outlineLevel="0" collapsed="false">
      <c r="A45" s="90" t="s">
        <v>211</v>
      </c>
      <c r="B45" s="91" t="n">
        <v>500</v>
      </c>
      <c r="C45" s="90" t="s">
        <v>210</v>
      </c>
      <c r="D45" s="90" t="s">
        <v>210</v>
      </c>
    </row>
    <row r="46" customFormat="false" ht="15" hidden="false" customHeight="false" outlineLevel="0" collapsed="false">
      <c r="A46" s="90" t="s">
        <v>212</v>
      </c>
      <c r="B46" s="91" t="n">
        <v>500</v>
      </c>
      <c r="C46" s="90" t="s">
        <v>210</v>
      </c>
      <c r="D46" s="90" t="s">
        <v>210</v>
      </c>
    </row>
    <row r="47" customFormat="false" ht="15" hidden="false" customHeight="false" outlineLevel="0" collapsed="false">
      <c r="A47" s="90" t="s">
        <v>218</v>
      </c>
    </row>
    <row r="48" customFormat="false" ht="15" hidden="false" customHeight="false" outlineLevel="0" collapsed="false">
      <c r="A48" s="90" t="s">
        <v>213</v>
      </c>
      <c r="B48" s="90" t="s">
        <v>210</v>
      </c>
      <c r="C48" s="91" t="n">
        <v>850</v>
      </c>
      <c r="D48" s="91" t="n">
        <v>700</v>
      </c>
      <c r="E48" s="91" t="n">
        <v>1.2</v>
      </c>
    </row>
    <row r="49" customFormat="false" ht="15" hidden="false" customHeight="false" outlineLevel="0" collapsed="false">
      <c r="A49" s="90" t="s">
        <v>219</v>
      </c>
      <c r="B49" s="90" t="s">
        <v>210</v>
      </c>
      <c r="C49" s="91" t="n">
        <v>600</v>
      </c>
      <c r="D49" s="91" t="n">
        <v>500</v>
      </c>
      <c r="E49" s="91" t="n">
        <v>1.2</v>
      </c>
    </row>
    <row r="50" customFormat="false" ht="15" hidden="false" customHeight="false" outlineLevel="0" collapsed="false">
      <c r="A50" s="90" t="s">
        <v>220</v>
      </c>
      <c r="B50" s="90" t="s">
        <v>210</v>
      </c>
      <c r="C50" s="91" t="n">
        <v>1450</v>
      </c>
      <c r="D50" s="91" t="n">
        <v>1200</v>
      </c>
      <c r="E50" s="91" t="n">
        <v>1.2</v>
      </c>
    </row>
    <row r="51" customFormat="false" ht="15" hidden="false" customHeight="false" outlineLevel="0" collapsed="false">
      <c r="A51" s="90" t="s">
        <v>214</v>
      </c>
      <c r="B51" s="90" t="s">
        <v>210</v>
      </c>
      <c r="C51" s="91" t="n">
        <v>720</v>
      </c>
      <c r="D51" s="91" t="n">
        <v>600</v>
      </c>
      <c r="E51" s="91" t="n">
        <v>1.2</v>
      </c>
    </row>
    <row r="52" customFormat="false" ht="15" hidden="false" customHeight="false" outlineLevel="0" collapsed="false">
      <c r="A52" s="90" t="s">
        <v>223</v>
      </c>
    </row>
  </sheetData>
  <sheetProtection sheet="true"/>
  <mergeCells count="5">
    <mergeCell ref="A1:E1"/>
    <mergeCell ref="A2:E2"/>
    <mergeCell ref="A9:E9"/>
    <mergeCell ref="A24:E24"/>
    <mergeCell ref="A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6" min="5" style="0" width="20"/>
  </cols>
  <sheetData>
    <row r="1" customFormat="false" ht="27.75" hidden="false" customHeight="true" outlineLevel="0" collapsed="false">
      <c r="A1" s="1" t="s">
        <v>224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8" t="s">
        <v>225</v>
      </c>
      <c r="B2" s="8"/>
      <c r="C2" s="8"/>
      <c r="D2" s="8"/>
      <c r="E2" s="8"/>
      <c r="F2" s="8"/>
    </row>
    <row r="4" customFormat="false" ht="15" hidden="false" customHeight="false" outlineLevel="0" collapsed="false">
      <c r="A4" s="11" t="s">
        <v>226</v>
      </c>
      <c r="B4" s="11" t="s">
        <v>227</v>
      </c>
      <c r="C4" s="11" t="s">
        <v>228</v>
      </c>
      <c r="D4" s="11" t="s">
        <v>229</v>
      </c>
      <c r="E4" s="11" t="s">
        <v>230</v>
      </c>
      <c r="F4" s="11" t="s">
        <v>231</v>
      </c>
    </row>
    <row r="5" customFormat="false" ht="28.35" hidden="false" customHeight="false" outlineLevel="0" collapsed="false">
      <c r="A5" s="92" t="n">
        <v>46281</v>
      </c>
      <c r="B5" s="93" t="s">
        <v>232</v>
      </c>
      <c r="C5" s="93" t="s">
        <v>233</v>
      </c>
      <c r="D5" s="93" t="s">
        <v>234</v>
      </c>
      <c r="E5" s="93" t="s">
        <v>235</v>
      </c>
      <c r="F5" s="93" t="s">
        <v>236</v>
      </c>
    </row>
    <row r="6" customFormat="false" ht="41.75" hidden="false" customHeight="false" outlineLevel="0" collapsed="false">
      <c r="A6" s="94" t="n">
        <v>46281</v>
      </c>
      <c r="B6" s="95" t="s">
        <v>232</v>
      </c>
      <c r="C6" s="95" t="s">
        <v>237</v>
      </c>
      <c r="D6" s="95" t="s">
        <v>238</v>
      </c>
      <c r="E6" s="95" t="s">
        <v>134</v>
      </c>
      <c r="F6" s="95" t="s">
        <v>239</v>
      </c>
    </row>
    <row r="7" customFormat="false" ht="41.75" hidden="false" customHeight="false" outlineLevel="0" collapsed="false">
      <c r="A7" s="92" t="n">
        <v>46281</v>
      </c>
      <c r="B7" s="93" t="s">
        <v>232</v>
      </c>
      <c r="C7" s="93" t="s">
        <v>237</v>
      </c>
      <c r="D7" s="93" t="s">
        <v>240</v>
      </c>
      <c r="E7" s="93" t="s">
        <v>241</v>
      </c>
      <c r="F7" s="93" t="s">
        <v>242</v>
      </c>
    </row>
    <row r="8" customFormat="false" ht="41.75" hidden="false" customHeight="false" outlineLevel="0" collapsed="false">
      <c r="A8" s="94" t="n">
        <v>46281</v>
      </c>
      <c r="B8" s="95" t="s">
        <v>232</v>
      </c>
      <c r="C8" s="95" t="s">
        <v>243</v>
      </c>
      <c r="D8" s="95" t="s">
        <v>244</v>
      </c>
      <c r="E8" s="95" t="s">
        <v>134</v>
      </c>
      <c r="F8" s="95" t="s">
        <v>134</v>
      </c>
    </row>
    <row r="9" customFormat="false" ht="15" hidden="false" customHeight="false" outlineLevel="0" collapsed="false">
      <c r="A9" s="36"/>
      <c r="B9" s="4"/>
      <c r="C9" s="4"/>
      <c r="D9" s="4"/>
      <c r="E9" s="4"/>
      <c r="F9" s="4"/>
    </row>
    <row r="10" customFormat="false" ht="15" hidden="false" customHeight="false" outlineLevel="0" collapsed="false">
      <c r="A10" s="36"/>
      <c r="B10" s="4"/>
      <c r="C10" s="4"/>
      <c r="D10" s="4"/>
      <c r="E10" s="4"/>
      <c r="F10" s="4"/>
    </row>
    <row r="11" customFormat="false" ht="15" hidden="false" customHeight="false" outlineLevel="0" collapsed="false">
      <c r="A11" s="36"/>
      <c r="B11" s="4"/>
      <c r="C11" s="4"/>
      <c r="D11" s="4"/>
      <c r="E11" s="4"/>
      <c r="F11" s="4"/>
    </row>
    <row r="12" customFormat="false" ht="15" hidden="false" customHeight="false" outlineLevel="0" collapsed="false">
      <c r="A12" s="36"/>
      <c r="B12" s="4"/>
      <c r="C12" s="4"/>
      <c r="D12" s="4"/>
      <c r="E12" s="4"/>
      <c r="F12" s="4"/>
    </row>
    <row r="13" customFormat="false" ht="15" hidden="false" customHeight="false" outlineLevel="0" collapsed="false">
      <c r="A13" s="36"/>
      <c r="B13" s="4"/>
      <c r="C13" s="4"/>
      <c r="D13" s="4"/>
      <c r="E13" s="4"/>
      <c r="F13" s="4"/>
    </row>
    <row r="14" customFormat="false" ht="15" hidden="false" customHeight="false" outlineLevel="0" collapsed="false">
      <c r="A14" s="36"/>
      <c r="B14" s="4"/>
      <c r="C14" s="4"/>
      <c r="D14" s="4"/>
      <c r="E14" s="4"/>
      <c r="F14" s="4"/>
    </row>
    <row r="15" customFormat="false" ht="15" hidden="false" customHeight="false" outlineLevel="0" collapsed="false">
      <c r="A15" s="36"/>
      <c r="B15" s="4"/>
      <c r="C15" s="4"/>
      <c r="D15" s="4"/>
      <c r="E15" s="4"/>
      <c r="F15" s="4"/>
    </row>
    <row r="16" customFormat="false" ht="15" hidden="false" customHeight="false" outlineLevel="0" collapsed="false">
      <c r="A16" s="36"/>
      <c r="B16" s="4"/>
      <c r="C16" s="4"/>
      <c r="D16" s="4"/>
      <c r="E16" s="4"/>
      <c r="F16" s="4"/>
    </row>
    <row r="17" customFormat="false" ht="15" hidden="false" customHeight="false" outlineLevel="0" collapsed="false">
      <c r="A17" s="36"/>
      <c r="B17" s="4"/>
      <c r="C17" s="4"/>
      <c r="D17" s="4"/>
      <c r="E17" s="4"/>
      <c r="F17" s="4"/>
    </row>
    <row r="18" customFormat="false" ht="15" hidden="false" customHeight="false" outlineLevel="0" collapsed="false">
      <c r="A18" s="36"/>
      <c r="B18" s="4"/>
      <c r="C18" s="4"/>
      <c r="D18" s="4"/>
      <c r="E18" s="4"/>
      <c r="F18" s="4"/>
    </row>
    <row r="19" customFormat="false" ht="15" hidden="false" customHeight="false" outlineLevel="0" collapsed="false">
      <c r="A19" s="36"/>
      <c r="B19" s="4"/>
      <c r="C19" s="4"/>
      <c r="D19" s="4"/>
      <c r="E19" s="4"/>
      <c r="F19" s="4"/>
    </row>
    <row r="20" customFormat="false" ht="15" hidden="false" customHeight="false" outlineLevel="0" collapsed="false">
      <c r="A20" s="36"/>
      <c r="B20" s="4"/>
      <c r="C20" s="4"/>
      <c r="D20" s="4"/>
      <c r="E20" s="4"/>
      <c r="F20" s="4"/>
    </row>
    <row r="21" customFormat="false" ht="15" hidden="false" customHeight="false" outlineLevel="0" collapsed="false">
      <c r="A21" s="36"/>
      <c r="B21" s="4"/>
      <c r="C21" s="4"/>
      <c r="D21" s="4"/>
      <c r="E21" s="4"/>
      <c r="F21" s="4"/>
    </row>
    <row r="22" customFormat="false" ht="15" hidden="false" customHeight="false" outlineLevel="0" collapsed="false">
      <c r="A22" s="36"/>
      <c r="B22" s="4"/>
      <c r="C22" s="4"/>
      <c r="D22" s="4"/>
      <c r="E22" s="4"/>
      <c r="F22" s="4"/>
    </row>
    <row r="23" customFormat="false" ht="15" hidden="false" customHeight="false" outlineLevel="0" collapsed="false">
      <c r="A23" s="36"/>
      <c r="B23" s="4"/>
      <c r="C23" s="4"/>
      <c r="D23" s="4"/>
      <c r="E23" s="4"/>
      <c r="F23" s="4"/>
    </row>
    <row r="24" customFormat="false" ht="15" hidden="false" customHeight="false" outlineLevel="0" collapsed="false">
      <c r="A24" s="36"/>
      <c r="B24" s="4"/>
      <c r="C24" s="4"/>
      <c r="D24" s="4"/>
      <c r="E24" s="4"/>
      <c r="F24" s="4"/>
    </row>
    <row r="25" customFormat="false" ht="15" hidden="false" customHeight="false" outlineLevel="0" collapsed="false">
      <c r="A25" s="36"/>
      <c r="B25" s="4"/>
      <c r="C25" s="4"/>
      <c r="D25" s="4"/>
      <c r="E25" s="4"/>
      <c r="F25" s="4"/>
    </row>
    <row r="26" customFormat="false" ht="15" hidden="false" customHeight="false" outlineLevel="0" collapsed="false">
      <c r="A26" s="36"/>
      <c r="B26" s="4"/>
      <c r="C26" s="4"/>
      <c r="D26" s="4"/>
      <c r="E26" s="4"/>
      <c r="F26" s="4"/>
    </row>
    <row r="27" customFormat="false" ht="15" hidden="false" customHeight="false" outlineLevel="0" collapsed="false">
      <c r="A27" s="36"/>
      <c r="B27" s="4"/>
      <c r="C27" s="4"/>
      <c r="D27" s="4"/>
      <c r="E27" s="4"/>
      <c r="F27" s="4"/>
    </row>
    <row r="28" customFormat="false" ht="15" hidden="false" customHeight="false" outlineLevel="0" collapsed="false">
      <c r="A28" s="36"/>
      <c r="B28" s="4"/>
      <c r="C28" s="4"/>
      <c r="D28" s="4"/>
      <c r="E28" s="4"/>
      <c r="F28" s="4"/>
    </row>
    <row r="29" customFormat="false" ht="15" hidden="false" customHeight="false" outlineLevel="0" collapsed="false">
      <c r="A29" s="36"/>
      <c r="B29" s="4"/>
      <c r="C29" s="4"/>
      <c r="D29" s="4"/>
      <c r="E29" s="4"/>
      <c r="F29" s="4"/>
    </row>
    <row r="30" customFormat="false" ht="15" hidden="false" customHeight="false" outlineLevel="0" collapsed="false">
      <c r="A30" s="36"/>
      <c r="B30" s="4"/>
      <c r="C30" s="4"/>
      <c r="D30" s="4"/>
      <c r="E30" s="4"/>
      <c r="F30" s="4"/>
    </row>
    <row r="31" customFormat="false" ht="15" hidden="false" customHeight="false" outlineLevel="0" collapsed="false">
      <c r="A31" s="36"/>
      <c r="B31" s="4"/>
      <c r="C31" s="4"/>
      <c r="D31" s="4"/>
      <c r="E31" s="4"/>
      <c r="F31" s="4"/>
    </row>
    <row r="32" customFormat="false" ht="15" hidden="false" customHeight="false" outlineLevel="0" collapsed="false">
      <c r="A32" s="36"/>
      <c r="B32" s="4"/>
      <c r="C32" s="4"/>
      <c r="D32" s="4"/>
      <c r="E32" s="4"/>
      <c r="F32" s="4"/>
    </row>
    <row r="33" customFormat="false" ht="15" hidden="false" customHeight="false" outlineLevel="0" collapsed="false">
      <c r="A33" s="36"/>
      <c r="B33" s="4"/>
      <c r="C33" s="4"/>
      <c r="D33" s="4"/>
      <c r="E33" s="4"/>
      <c r="F33" s="4"/>
    </row>
    <row r="34" customFormat="false" ht="15" hidden="false" customHeight="false" outlineLevel="0" collapsed="false">
      <c r="A34" s="36"/>
      <c r="B34" s="4"/>
      <c r="C34" s="4"/>
      <c r="D34" s="4"/>
      <c r="E34" s="4"/>
      <c r="F34" s="4"/>
    </row>
    <row r="35" customFormat="false" ht="15" hidden="false" customHeight="false" outlineLevel="0" collapsed="false">
      <c r="A35" s="36"/>
      <c r="B35" s="4"/>
      <c r="C35" s="4"/>
      <c r="D35" s="4"/>
      <c r="E35" s="4"/>
      <c r="F35" s="4"/>
    </row>
    <row r="36" customFormat="false" ht="15" hidden="false" customHeight="false" outlineLevel="0" collapsed="false">
      <c r="A36" s="36"/>
      <c r="B36" s="4"/>
      <c r="C36" s="4"/>
      <c r="D36" s="4"/>
      <c r="E36" s="4"/>
      <c r="F36" s="4"/>
    </row>
    <row r="37" customFormat="false" ht="15" hidden="false" customHeight="false" outlineLevel="0" collapsed="false">
      <c r="A37" s="36"/>
      <c r="B37" s="4"/>
      <c r="C37" s="4"/>
      <c r="D37" s="4"/>
      <c r="E37" s="4"/>
      <c r="F37" s="4"/>
    </row>
    <row r="38" customFormat="false" ht="15" hidden="false" customHeight="false" outlineLevel="0" collapsed="false">
      <c r="A38" s="36"/>
      <c r="B38" s="4"/>
      <c r="C38" s="4"/>
      <c r="D38" s="4"/>
      <c r="E38" s="4"/>
      <c r="F38" s="4"/>
    </row>
    <row r="39" customFormat="false" ht="15" hidden="false" customHeight="false" outlineLevel="0" collapsed="false">
      <c r="A39" s="36"/>
      <c r="B39" s="4"/>
      <c r="C39" s="4"/>
      <c r="D39" s="4"/>
      <c r="E39" s="4"/>
      <c r="F39" s="4"/>
    </row>
    <row r="40" customFormat="false" ht="15" hidden="false" customHeight="false" outlineLevel="0" collapsed="false">
      <c r="A40" s="36"/>
      <c r="B40" s="4"/>
      <c r="C40" s="4"/>
      <c r="D40" s="4"/>
      <c r="E40" s="4"/>
      <c r="F40" s="4"/>
    </row>
    <row r="41" customFormat="false" ht="15" hidden="false" customHeight="false" outlineLevel="0" collapsed="false">
      <c r="A41" s="36"/>
      <c r="B41" s="4"/>
      <c r="C41" s="4"/>
      <c r="D41" s="4"/>
      <c r="E41" s="4"/>
      <c r="F41" s="4"/>
    </row>
    <row r="42" customFormat="false" ht="15" hidden="false" customHeight="false" outlineLevel="0" collapsed="false">
      <c r="A42" s="36"/>
      <c r="B42" s="4"/>
      <c r="C42" s="4"/>
      <c r="D42" s="4"/>
      <c r="E42" s="4"/>
      <c r="F42" s="4"/>
    </row>
    <row r="43" customFormat="false" ht="15" hidden="false" customHeight="false" outlineLevel="0" collapsed="false">
      <c r="A43" s="36"/>
      <c r="B43" s="4"/>
      <c r="C43" s="4"/>
      <c r="D43" s="4"/>
      <c r="E43" s="4"/>
      <c r="F43" s="4"/>
    </row>
    <row r="44" customFormat="false" ht="15" hidden="false" customHeight="false" outlineLevel="0" collapsed="false">
      <c r="A44" s="36"/>
      <c r="B44" s="4"/>
      <c r="C44" s="4"/>
      <c r="D44" s="4"/>
      <c r="E44" s="4"/>
      <c r="F44" s="4"/>
    </row>
    <row r="45" customFormat="false" ht="15" hidden="false" customHeight="false" outlineLevel="0" collapsed="false">
      <c r="A45" s="36"/>
      <c r="B45" s="4"/>
      <c r="C45" s="4"/>
      <c r="D45" s="4"/>
      <c r="E45" s="4"/>
      <c r="F45" s="4"/>
    </row>
    <row r="46" customFormat="false" ht="15" hidden="false" customHeight="false" outlineLevel="0" collapsed="false">
      <c r="A46" s="36"/>
      <c r="B46" s="4"/>
      <c r="C46" s="4"/>
      <c r="D46" s="4"/>
      <c r="E46" s="4"/>
      <c r="F46" s="4"/>
    </row>
    <row r="47" customFormat="false" ht="15" hidden="false" customHeight="false" outlineLevel="0" collapsed="false">
      <c r="A47" s="36"/>
      <c r="B47" s="4"/>
      <c r="C47" s="4"/>
      <c r="D47" s="4"/>
      <c r="E47" s="4"/>
      <c r="F47" s="4"/>
    </row>
    <row r="48" customFormat="false" ht="15" hidden="false" customHeight="false" outlineLevel="0" collapsed="false">
      <c r="A48" s="36"/>
      <c r="B48" s="4"/>
      <c r="C48" s="4"/>
      <c r="D48" s="4"/>
      <c r="E48" s="4"/>
      <c r="F48" s="4"/>
    </row>
    <row r="49" customFormat="false" ht="15" hidden="false" customHeight="false" outlineLevel="0" collapsed="false">
      <c r="A49" s="36"/>
      <c r="B49" s="4"/>
      <c r="C49" s="4"/>
      <c r="D49" s="4"/>
      <c r="E49" s="4"/>
      <c r="F49" s="4"/>
    </row>
    <row r="50" customFormat="false" ht="15" hidden="false" customHeight="false" outlineLevel="0" collapsed="false">
      <c r="A50" s="36"/>
      <c r="B50" s="4"/>
      <c r="C50" s="4"/>
      <c r="D50" s="4"/>
      <c r="E50" s="4"/>
      <c r="F50" s="4"/>
    </row>
    <row r="51" customFormat="false" ht="15" hidden="false" customHeight="false" outlineLevel="0" collapsed="false">
      <c r="A51" s="36"/>
      <c r="B51" s="4"/>
      <c r="C51" s="4"/>
      <c r="D51" s="4"/>
      <c r="E51" s="4"/>
      <c r="F51" s="4"/>
    </row>
    <row r="52" customFormat="false" ht="15" hidden="false" customHeight="false" outlineLevel="0" collapsed="false">
      <c r="A52" s="36"/>
      <c r="B52" s="4"/>
      <c r="C52" s="4"/>
      <c r="D52" s="4"/>
      <c r="E52" s="4"/>
      <c r="F52" s="4"/>
    </row>
    <row r="53" customFormat="false" ht="15" hidden="false" customHeight="false" outlineLevel="0" collapsed="false">
      <c r="A53" s="36"/>
      <c r="B53" s="4"/>
      <c r="C53" s="4"/>
      <c r="D53" s="4"/>
      <c r="E53" s="4"/>
      <c r="F53" s="4"/>
    </row>
    <row r="54" customFormat="false" ht="15" hidden="false" customHeight="false" outlineLevel="0" collapsed="false">
      <c r="A54" s="36"/>
      <c r="B54" s="4"/>
      <c r="C54" s="4"/>
      <c r="D54" s="4"/>
      <c r="E54" s="4"/>
      <c r="F54" s="4"/>
    </row>
    <row r="55" customFormat="false" ht="15" hidden="false" customHeight="false" outlineLevel="0" collapsed="false">
      <c r="A55" s="36"/>
      <c r="B55" s="4"/>
      <c r="C55" s="4"/>
      <c r="D55" s="4"/>
      <c r="E55" s="4"/>
      <c r="F55" s="4"/>
    </row>
    <row r="56" customFormat="false" ht="15" hidden="false" customHeight="false" outlineLevel="0" collapsed="false">
      <c r="A56" s="36"/>
      <c r="B56" s="4"/>
      <c r="C56" s="4"/>
      <c r="D56" s="4"/>
      <c r="E56" s="4"/>
      <c r="F56" s="4"/>
    </row>
    <row r="57" customFormat="false" ht="15" hidden="false" customHeight="false" outlineLevel="0" collapsed="false">
      <c r="A57" s="36"/>
      <c r="B57" s="4"/>
      <c r="C57" s="4"/>
      <c r="D57" s="4"/>
      <c r="E57" s="4"/>
      <c r="F57" s="4"/>
    </row>
    <row r="58" customFormat="false" ht="15" hidden="false" customHeight="false" outlineLevel="0" collapsed="false">
      <c r="A58" s="36"/>
      <c r="B58" s="4"/>
      <c r="C58" s="4"/>
      <c r="D58" s="4"/>
      <c r="E58" s="4"/>
      <c r="F58" s="4"/>
    </row>
    <row r="59" customFormat="false" ht="15" hidden="false" customHeight="false" outlineLevel="0" collapsed="false">
      <c r="A59" s="36"/>
      <c r="B59" s="4"/>
      <c r="C59" s="4"/>
      <c r="D59" s="4"/>
      <c r="E59" s="4"/>
      <c r="F59" s="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2026-09-16T05:42:50Z</dcterms:created>
  <dc:creator>openpyxl</dc:creator>
  <dc:description/>
  <dc:language>en-US</dc:language>
  <cp:lastModifiedBy/>
  <dcterms:modified xsi:type="dcterms:W3CDTF">2026-09-16T05:42:52Z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